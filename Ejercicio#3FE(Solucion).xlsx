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abri\Documents\Gaby\UFM\Financiera I\Financiera I 2017\03 Ejercicios\"/>
    </mc:Choice>
  </mc:AlternateContent>
  <bookViews>
    <workbookView xWindow="0" yWindow="0" windowWidth="16815" windowHeight="7365"/>
  </bookViews>
  <sheets>
    <sheet name="Ej #3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6" i="2" l="1"/>
  <c r="L33" i="2" l="1"/>
  <c r="H9" i="2"/>
  <c r="K31" i="2"/>
  <c r="K23" i="2"/>
  <c r="K17" i="2"/>
  <c r="K16" i="2"/>
  <c r="K9" i="2" l="1"/>
  <c r="F51" i="2" l="1"/>
  <c r="F48" i="2"/>
  <c r="K34" i="2"/>
  <c r="F46" i="2"/>
  <c r="F43" i="2"/>
  <c r="F44" i="2"/>
  <c r="F41" i="2"/>
  <c r="C38" i="2"/>
  <c r="F39" i="2"/>
  <c r="G45" i="2" l="1"/>
  <c r="F38" i="2"/>
  <c r="G40" i="2" s="1"/>
  <c r="K19" i="2" s="1"/>
  <c r="H35" i="2"/>
  <c r="H34" i="2"/>
  <c r="K29" i="2" s="1"/>
  <c r="H33" i="2"/>
  <c r="K28" i="2" s="1"/>
  <c r="H32" i="2"/>
  <c r="K27" i="2" s="1"/>
  <c r="H31" i="2"/>
  <c r="K26" i="2" s="1"/>
  <c r="H27" i="2"/>
  <c r="H26" i="2"/>
  <c r="H23" i="2"/>
  <c r="H22" i="2"/>
  <c r="K24" i="2" s="1"/>
  <c r="H21" i="2"/>
  <c r="K13" i="2" s="1"/>
  <c r="H17" i="2"/>
  <c r="K20" i="2" s="1"/>
  <c r="H16" i="2"/>
  <c r="H15" i="2"/>
  <c r="H14" i="2"/>
  <c r="H10" i="2"/>
  <c r="K11" i="2" s="1"/>
  <c r="H11" i="2"/>
  <c r="K12" i="2" s="1"/>
  <c r="C15" i="2"/>
  <c r="C17" i="2" s="1"/>
  <c r="G24" i="2"/>
  <c r="G28" i="2" s="1"/>
  <c r="G36" i="2" s="1"/>
  <c r="F24" i="2"/>
  <c r="F28" i="2" s="1"/>
  <c r="F36" i="2" s="1"/>
  <c r="G12" i="2"/>
  <c r="G18" i="2" s="1"/>
  <c r="F12" i="2"/>
  <c r="F18" i="2" s="1"/>
  <c r="K8" i="2" l="1"/>
  <c r="F49" i="2"/>
  <c r="G50" i="2" s="1"/>
  <c r="K30" i="2" s="1"/>
  <c r="K14" i="2"/>
  <c r="K21" i="2"/>
  <c r="K25" i="2"/>
  <c r="K33" i="2" l="1"/>
  <c r="K35" i="2" s="1"/>
</calcChain>
</file>

<file path=xl/sharedStrings.xml><?xml version="1.0" encoding="utf-8"?>
<sst xmlns="http://schemas.openxmlformats.org/spreadsheetml/2006/main" count="89" uniqueCount="75">
  <si>
    <t>ACTIVOS</t>
  </si>
  <si>
    <t>?</t>
  </si>
  <si>
    <t>Inventarios</t>
  </si>
  <si>
    <t>Total Activo Circulante</t>
  </si>
  <si>
    <t>Impuestos diferidos</t>
  </si>
  <si>
    <t>Otros activos de LP</t>
  </si>
  <si>
    <t>TOTAL ACTIVOS</t>
  </si>
  <si>
    <t>BALANCE GENERAL</t>
  </si>
  <si>
    <t>PASIVOS</t>
  </si>
  <si>
    <t>Porción corriente de deuda a LP</t>
  </si>
  <si>
    <t>Pasivo Corriente</t>
  </si>
  <si>
    <t>Caja y equivalentes</t>
  </si>
  <si>
    <t>Cuentas x cobrar</t>
  </si>
  <si>
    <t>Cuentas x pagar</t>
  </si>
  <si>
    <t>Documentos x pagar</t>
  </si>
  <si>
    <t>TOTAL PASIVOS</t>
  </si>
  <si>
    <t>PATRIMONIO</t>
  </si>
  <si>
    <t>Acciones preferentes</t>
  </si>
  <si>
    <t>Acciones comunes valor par</t>
  </si>
  <si>
    <t>Acciones en tesorería</t>
  </si>
  <si>
    <t>Utilidades retenidas</t>
  </si>
  <si>
    <t>TOTAL PASIVO + PATRIMONIO</t>
  </si>
  <si>
    <t>Capital adicional pagado</t>
  </si>
  <si>
    <t>ESTADO DE RESULTADOS</t>
  </si>
  <si>
    <t>Ventas Netas</t>
  </si>
  <si>
    <t>Costo de ventas</t>
  </si>
  <si>
    <t>Deuda a largo plazo</t>
  </si>
  <si>
    <t>Gastos de ventas, generales y administración</t>
  </si>
  <si>
    <t>Investigación y desarrollo</t>
  </si>
  <si>
    <t>Depreciación y amortización</t>
  </si>
  <si>
    <t>Otros gastos operativos</t>
  </si>
  <si>
    <t xml:space="preserve">Intereses </t>
  </si>
  <si>
    <t>Utilidad antes de impuestos</t>
  </si>
  <si>
    <t>Utilidad Neta</t>
  </si>
  <si>
    <t>ISR</t>
  </si>
  <si>
    <t>1 Los gastos de amortización son de $3m</t>
  </si>
  <si>
    <t>2 Los dividendos se pagaron en efectivo</t>
  </si>
  <si>
    <t>1/01 al 31/12/16</t>
  </si>
  <si>
    <t>FLUJO DE EFECTIVO</t>
  </si>
  <si>
    <t>Cambios en capital de trabajo</t>
  </si>
  <si>
    <t>Flujo Operativo</t>
  </si>
  <si>
    <t>01/16 -12/16</t>
  </si>
  <si>
    <t>CAPEX</t>
  </si>
  <si>
    <t>Otros activos de lp</t>
  </si>
  <si>
    <t xml:space="preserve">(-) Depreciación Acum. </t>
  </si>
  <si>
    <t>Depreciación</t>
  </si>
  <si>
    <t xml:space="preserve">Amortización </t>
  </si>
  <si>
    <t>Goodwill e intangibles (SI)</t>
  </si>
  <si>
    <t>(-) Amortización</t>
  </si>
  <si>
    <t>PP&amp;E, neto</t>
  </si>
  <si>
    <t>(+) Compras</t>
  </si>
  <si>
    <t>=Goodwill e intangibles (SF)</t>
  </si>
  <si>
    <t>Deuda LP</t>
  </si>
  <si>
    <t>Pago de dividendos</t>
  </si>
  <si>
    <t>Acciones comunes</t>
  </si>
  <si>
    <t>Flujo de Inversión</t>
  </si>
  <si>
    <t>Flujo de Financiamiento</t>
  </si>
  <si>
    <t>Flujo del Periodo</t>
  </si>
  <si>
    <t>Saldo al inicio del periodo</t>
  </si>
  <si>
    <t>Caja al final del periodo</t>
  </si>
  <si>
    <t>Utilidades Retenidas (SI)</t>
  </si>
  <si>
    <t>(+) Utilidad del periodo</t>
  </si>
  <si>
    <t>PP&amp;E, neto(saldo inicial)</t>
  </si>
  <si>
    <t>=PP&amp;E, neto (saldo final)</t>
  </si>
  <si>
    <t>= Ut. Retenidas (SF)</t>
  </si>
  <si>
    <t>(-) Dividendos</t>
  </si>
  <si>
    <t>Ejercicio # 3</t>
  </si>
  <si>
    <t>Construya el flujo de efectivo por el método indirecto</t>
  </si>
  <si>
    <t>Goodwill e intangibles, neto</t>
  </si>
  <si>
    <t>3 No hay venta de equipo</t>
  </si>
  <si>
    <t>Otros ajustes</t>
  </si>
  <si>
    <t>Re-clasificación de intereses</t>
  </si>
  <si>
    <t>Intereses</t>
  </si>
  <si>
    <t>Si no parte de utilidad neta para flujo operativo (-40)</t>
  </si>
  <si>
    <t>Ponderación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</si>
</sst>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;@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i/>
      <u/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2" fontId="1" fillId="0" borderId="0" xfId="0" applyNumberFormat="1" applyFont="1"/>
    <xf numFmtId="2" fontId="2" fillId="0" borderId="0" xfId="0" applyNumberFormat="1" applyFont="1"/>
    <xf numFmtId="0" fontId="2" fillId="0" borderId="0" xfId="0" quotePrefix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4"/>
  <sheetViews>
    <sheetView tabSelected="1" topLeftCell="F5" workbookViewId="0">
      <selection activeCell="N9" sqref="N9"/>
    </sheetView>
  </sheetViews>
  <sheetFormatPr defaultRowHeight="13.5" x14ac:dyDescent="0.25"/>
  <cols>
    <col min="1" max="1" width="3.85546875" style="1" customWidth="1"/>
    <col min="2" max="2" width="42.140625" style="1" bestFit="1" customWidth="1"/>
    <col min="3" max="3" width="11.85546875" style="1" bestFit="1" customWidth="1"/>
    <col min="4" max="4" width="9.140625" style="1"/>
    <col min="5" max="5" width="25.5703125" style="1" bestFit="1" customWidth="1"/>
    <col min="6" max="7" width="10.7109375" style="1" bestFit="1" customWidth="1"/>
    <col min="8" max="9" width="9.140625" style="1"/>
    <col min="10" max="10" width="37" style="1" bestFit="1" customWidth="1"/>
    <col min="11" max="16384" width="9.140625" style="1"/>
  </cols>
  <sheetData>
    <row r="1" spans="2:14" x14ac:dyDescent="0.25">
      <c r="B1" s="2" t="s">
        <v>66</v>
      </c>
    </row>
    <row r="2" spans="2:14" x14ac:dyDescent="0.25">
      <c r="B2" s="1" t="s">
        <v>67</v>
      </c>
    </row>
    <row r="6" spans="2:14" x14ac:dyDescent="0.25">
      <c r="B6" s="2" t="s">
        <v>23</v>
      </c>
      <c r="C6" s="2" t="s">
        <v>41</v>
      </c>
      <c r="E6" s="2" t="s">
        <v>7</v>
      </c>
      <c r="F6" s="5">
        <v>42369</v>
      </c>
      <c r="G6" s="5">
        <v>42735</v>
      </c>
      <c r="J6" s="2" t="s">
        <v>38</v>
      </c>
      <c r="K6" s="2" t="s">
        <v>37</v>
      </c>
      <c r="M6" s="2" t="s">
        <v>74</v>
      </c>
    </row>
    <row r="8" spans="2:14" x14ac:dyDescent="0.25">
      <c r="B8" s="1" t="s">
        <v>24</v>
      </c>
      <c r="C8" s="6">
        <v>670</v>
      </c>
      <c r="E8" s="2" t="s">
        <v>0</v>
      </c>
      <c r="J8" s="1" t="s">
        <v>33</v>
      </c>
      <c r="K8" s="3">
        <f>C17</f>
        <v>211</v>
      </c>
      <c r="M8" s="1">
        <v>5</v>
      </c>
      <c r="N8" s="1" t="s">
        <v>73</v>
      </c>
    </row>
    <row r="9" spans="2:14" x14ac:dyDescent="0.25">
      <c r="B9" s="1" t="s">
        <v>25</v>
      </c>
      <c r="C9" s="6">
        <v>216</v>
      </c>
      <c r="E9" s="1" t="s">
        <v>11</v>
      </c>
      <c r="F9" s="3">
        <v>17</v>
      </c>
      <c r="G9" s="3">
        <v>182</v>
      </c>
      <c r="H9" s="3">
        <f t="shared" ref="H9:H11" si="0">G9-F9</f>
        <v>165</v>
      </c>
      <c r="I9" s="3"/>
      <c r="J9" s="1" t="s">
        <v>29</v>
      </c>
      <c r="K9" s="3">
        <f>C12</f>
        <v>10</v>
      </c>
      <c r="M9" s="1">
        <v>5</v>
      </c>
    </row>
    <row r="10" spans="2:14" x14ac:dyDescent="0.25">
      <c r="B10" s="1" t="s">
        <v>27</v>
      </c>
      <c r="C10" s="6">
        <v>62</v>
      </c>
      <c r="E10" s="1" t="s">
        <v>12</v>
      </c>
      <c r="F10" s="3">
        <v>37</v>
      </c>
      <c r="G10" s="3">
        <v>41</v>
      </c>
      <c r="H10" s="3">
        <f t="shared" si="0"/>
        <v>4</v>
      </c>
      <c r="J10" s="9" t="s">
        <v>39</v>
      </c>
      <c r="K10" s="3"/>
    </row>
    <row r="11" spans="2:14" x14ac:dyDescent="0.25">
      <c r="B11" s="1" t="s">
        <v>28</v>
      </c>
      <c r="C11" s="6">
        <v>28</v>
      </c>
      <c r="E11" s="1" t="s">
        <v>2</v>
      </c>
      <c r="F11" s="3">
        <v>66</v>
      </c>
      <c r="G11" s="3">
        <v>73</v>
      </c>
      <c r="H11" s="3">
        <f t="shared" si="0"/>
        <v>7</v>
      </c>
      <c r="J11" s="1" t="s">
        <v>12</v>
      </c>
      <c r="K11" s="3">
        <f>-H10</f>
        <v>-4</v>
      </c>
      <c r="M11" s="1">
        <v>5</v>
      </c>
    </row>
    <row r="12" spans="2:14" x14ac:dyDescent="0.25">
      <c r="B12" s="1" t="s">
        <v>29</v>
      </c>
      <c r="C12" s="6">
        <v>10</v>
      </c>
      <c r="E12" s="2" t="s">
        <v>3</v>
      </c>
      <c r="F12" s="4">
        <f>SUM(F9:F11)</f>
        <v>120</v>
      </c>
      <c r="G12" s="4">
        <f>SUM(G9:G11)</f>
        <v>296</v>
      </c>
      <c r="J12" s="1" t="s">
        <v>2</v>
      </c>
      <c r="K12" s="3">
        <f>-H11</f>
        <v>-7</v>
      </c>
      <c r="M12" s="1">
        <v>5</v>
      </c>
    </row>
    <row r="13" spans="2:14" x14ac:dyDescent="0.25">
      <c r="B13" s="1" t="s">
        <v>30</v>
      </c>
      <c r="C13" s="6">
        <v>6</v>
      </c>
      <c r="F13" s="3"/>
      <c r="G13" s="3"/>
      <c r="J13" s="1" t="s">
        <v>13</v>
      </c>
      <c r="K13" s="3">
        <f>H21</f>
        <v>5</v>
      </c>
      <c r="M13" s="1">
        <v>5</v>
      </c>
    </row>
    <row r="14" spans="2:14" x14ac:dyDescent="0.25">
      <c r="B14" s="1" t="s">
        <v>31</v>
      </c>
      <c r="C14" s="6">
        <v>23</v>
      </c>
      <c r="E14" s="1" t="s">
        <v>49</v>
      </c>
      <c r="F14" s="3">
        <v>106</v>
      </c>
      <c r="G14" s="3">
        <v>130</v>
      </c>
      <c r="H14" s="3">
        <f t="shared" ref="H14:H17" si="1">G14-F14</f>
        <v>24</v>
      </c>
      <c r="J14" s="1" t="s">
        <v>4</v>
      </c>
      <c r="K14" s="3">
        <f>-H16+H27</f>
        <v>-5</v>
      </c>
      <c r="M14" s="1">
        <v>5</v>
      </c>
    </row>
    <row r="15" spans="2:14" x14ac:dyDescent="0.25">
      <c r="B15" s="2" t="s">
        <v>32</v>
      </c>
      <c r="C15" s="7">
        <f>C8-SUM(C9:C14)</f>
        <v>325</v>
      </c>
      <c r="D15" s="2"/>
      <c r="E15" s="1" t="s">
        <v>68</v>
      </c>
      <c r="F15" s="3">
        <v>17</v>
      </c>
      <c r="G15" s="3">
        <v>21</v>
      </c>
      <c r="H15" s="3">
        <f t="shared" si="1"/>
        <v>4</v>
      </c>
      <c r="J15" s="9" t="s">
        <v>70</v>
      </c>
      <c r="K15" s="3"/>
    </row>
    <row r="16" spans="2:14" x14ac:dyDescent="0.25">
      <c r="B16" s="1" t="s">
        <v>34</v>
      </c>
      <c r="C16" s="6">
        <v>114</v>
      </c>
      <c r="E16" s="1" t="s">
        <v>4</v>
      </c>
      <c r="F16" s="3">
        <v>8</v>
      </c>
      <c r="G16" s="3">
        <v>17</v>
      </c>
      <c r="H16" s="3">
        <f t="shared" si="1"/>
        <v>9</v>
      </c>
      <c r="J16" s="1" t="s">
        <v>71</v>
      </c>
      <c r="K16" s="3">
        <f>C14</f>
        <v>23</v>
      </c>
      <c r="M16" s="1">
        <v>5</v>
      </c>
    </row>
    <row r="17" spans="2:13" x14ac:dyDescent="0.25">
      <c r="B17" s="2" t="s">
        <v>33</v>
      </c>
      <c r="C17" s="7">
        <f>C15-C16</f>
        <v>211</v>
      </c>
      <c r="D17" s="2"/>
      <c r="E17" s="1" t="s">
        <v>5</v>
      </c>
      <c r="F17" s="3">
        <v>62</v>
      </c>
      <c r="G17" s="3">
        <v>73</v>
      </c>
      <c r="H17" s="3">
        <f t="shared" si="1"/>
        <v>11</v>
      </c>
      <c r="J17" s="2" t="s">
        <v>40</v>
      </c>
      <c r="K17" s="4">
        <f>SUM(K8:K16)</f>
        <v>233</v>
      </c>
      <c r="M17" s="1">
        <v>5</v>
      </c>
    </row>
    <row r="18" spans="2:13" x14ac:dyDescent="0.25">
      <c r="C18" s="6"/>
      <c r="E18" s="2" t="s">
        <v>6</v>
      </c>
      <c r="F18" s="4">
        <f>SUM(F12:F17)</f>
        <v>313</v>
      </c>
      <c r="G18" s="4">
        <f>SUM(G12:G17)</f>
        <v>537</v>
      </c>
    </row>
    <row r="19" spans="2:13" x14ac:dyDescent="0.25">
      <c r="F19" s="3"/>
      <c r="G19" s="3"/>
      <c r="J19" s="1" t="s">
        <v>42</v>
      </c>
      <c r="K19" s="3">
        <f>-(G40+G45)</f>
        <v>-38</v>
      </c>
      <c r="M19" s="1">
        <v>5</v>
      </c>
    </row>
    <row r="20" spans="2:13" x14ac:dyDescent="0.25">
      <c r="E20" s="1" t="s">
        <v>8</v>
      </c>
      <c r="F20" s="3"/>
      <c r="G20" s="3"/>
      <c r="J20" s="1" t="s">
        <v>43</v>
      </c>
      <c r="K20" s="3">
        <f>-H17</f>
        <v>-11</v>
      </c>
      <c r="M20" s="1">
        <v>5</v>
      </c>
    </row>
    <row r="21" spans="2:13" x14ac:dyDescent="0.25">
      <c r="E21" s="1" t="s">
        <v>13</v>
      </c>
      <c r="F21" s="3">
        <v>60</v>
      </c>
      <c r="G21" s="3">
        <v>65</v>
      </c>
      <c r="H21" s="3">
        <f t="shared" ref="H21:H23" si="2">G21-F21</f>
        <v>5</v>
      </c>
      <c r="J21" s="2" t="s">
        <v>55</v>
      </c>
      <c r="K21" s="4">
        <f>SUM(K19:K20)</f>
        <v>-49</v>
      </c>
      <c r="M21" s="1">
        <v>5</v>
      </c>
    </row>
    <row r="22" spans="2:13" x14ac:dyDescent="0.25">
      <c r="B22" s="1" t="s">
        <v>35</v>
      </c>
      <c r="E22" s="1" t="s">
        <v>14</v>
      </c>
      <c r="F22" s="3">
        <v>12</v>
      </c>
      <c r="G22" s="3">
        <v>17</v>
      </c>
      <c r="H22" s="3">
        <f t="shared" si="2"/>
        <v>5</v>
      </c>
    </row>
    <row r="23" spans="2:13" x14ac:dyDescent="0.25">
      <c r="B23" s="1" t="s">
        <v>36</v>
      </c>
      <c r="E23" s="1" t="s">
        <v>9</v>
      </c>
      <c r="F23" s="3">
        <v>25</v>
      </c>
      <c r="G23" s="3">
        <v>34</v>
      </c>
      <c r="H23" s="3">
        <f t="shared" si="2"/>
        <v>9</v>
      </c>
      <c r="J23" s="1" t="s">
        <v>72</v>
      </c>
      <c r="K23" s="3">
        <f>-K16</f>
        <v>-23</v>
      </c>
      <c r="M23" s="1">
        <v>5</v>
      </c>
    </row>
    <row r="24" spans="2:13" x14ac:dyDescent="0.25">
      <c r="B24" s="1" t="s">
        <v>69</v>
      </c>
      <c r="E24" s="2" t="s">
        <v>10</v>
      </c>
      <c r="F24" s="4">
        <f>SUM(F21:F23)</f>
        <v>97</v>
      </c>
      <c r="G24" s="4">
        <f>SUM(G21:G23)</f>
        <v>116</v>
      </c>
      <c r="J24" s="1" t="s">
        <v>14</v>
      </c>
      <c r="K24" s="3">
        <f>H22</f>
        <v>5</v>
      </c>
      <c r="M24" s="1">
        <v>5</v>
      </c>
    </row>
    <row r="25" spans="2:13" x14ac:dyDescent="0.25">
      <c r="F25" s="3"/>
      <c r="G25" s="3"/>
      <c r="J25" s="1" t="s">
        <v>52</v>
      </c>
      <c r="K25" s="3">
        <f>H23+H26</f>
        <v>9</v>
      </c>
      <c r="M25" s="1">
        <v>5</v>
      </c>
    </row>
    <row r="26" spans="2:13" x14ac:dyDescent="0.25">
      <c r="E26" s="1" t="s">
        <v>26</v>
      </c>
      <c r="F26" s="3">
        <v>107</v>
      </c>
      <c r="G26" s="3">
        <v>107</v>
      </c>
      <c r="H26" s="3">
        <f t="shared" ref="H26:H27" si="3">G26-F26</f>
        <v>0</v>
      </c>
      <c r="J26" s="1" t="s">
        <v>17</v>
      </c>
      <c r="K26" s="3">
        <f>H31</f>
        <v>1</v>
      </c>
      <c r="M26" s="1">
        <v>5</v>
      </c>
    </row>
    <row r="27" spans="2:13" x14ac:dyDescent="0.25">
      <c r="E27" s="1" t="s">
        <v>4</v>
      </c>
      <c r="F27" s="3">
        <v>22</v>
      </c>
      <c r="G27" s="3">
        <v>26</v>
      </c>
      <c r="H27" s="3">
        <f t="shared" si="3"/>
        <v>4</v>
      </c>
      <c r="J27" s="1" t="s">
        <v>54</v>
      </c>
      <c r="K27" s="3">
        <f>H32</f>
        <v>1</v>
      </c>
      <c r="M27" s="1">
        <v>5</v>
      </c>
    </row>
    <row r="28" spans="2:13" x14ac:dyDescent="0.25">
      <c r="E28" s="2" t="s">
        <v>15</v>
      </c>
      <c r="F28" s="4">
        <f>SUM(F24:F27)</f>
        <v>226</v>
      </c>
      <c r="G28" s="4">
        <f>SUM(G24:G27)</f>
        <v>249</v>
      </c>
      <c r="J28" s="1" t="s">
        <v>22</v>
      </c>
      <c r="K28" s="3">
        <f>H33</f>
        <v>9</v>
      </c>
      <c r="M28" s="1">
        <v>5</v>
      </c>
    </row>
    <row r="29" spans="2:13" x14ac:dyDescent="0.25">
      <c r="F29" s="3"/>
      <c r="G29" s="3"/>
      <c r="J29" s="1" t="s">
        <v>19</v>
      </c>
      <c r="K29" s="3">
        <f>H34</f>
        <v>-6</v>
      </c>
      <c r="M29" s="1">
        <v>5</v>
      </c>
    </row>
    <row r="30" spans="2:13" x14ac:dyDescent="0.25">
      <c r="E30" s="2" t="s">
        <v>16</v>
      </c>
      <c r="F30" s="3"/>
      <c r="G30" s="3"/>
      <c r="J30" s="1" t="s">
        <v>53</v>
      </c>
      <c r="K30" s="6">
        <f>-G50</f>
        <v>-15</v>
      </c>
      <c r="M30" s="1">
        <v>5</v>
      </c>
    </row>
    <row r="31" spans="2:13" x14ac:dyDescent="0.25">
      <c r="E31" s="1" t="s">
        <v>17</v>
      </c>
      <c r="F31" s="3">
        <v>6</v>
      </c>
      <c r="G31" s="3">
        <v>7</v>
      </c>
      <c r="H31" s="3">
        <f t="shared" ref="H31:H35" si="4">G31-F31</f>
        <v>1</v>
      </c>
      <c r="J31" s="2" t="s">
        <v>56</v>
      </c>
      <c r="K31" s="4">
        <f>SUM(K23:K30)</f>
        <v>-19</v>
      </c>
      <c r="M31" s="1">
        <v>5</v>
      </c>
    </row>
    <row r="32" spans="2:13" x14ac:dyDescent="0.25">
      <c r="E32" s="1" t="s">
        <v>18</v>
      </c>
      <c r="F32" s="3">
        <v>3</v>
      </c>
      <c r="G32" s="3">
        <v>4</v>
      </c>
      <c r="H32" s="3">
        <f t="shared" si="4"/>
        <v>1</v>
      </c>
    </row>
    <row r="33" spans="2:13" x14ac:dyDescent="0.25">
      <c r="E33" s="1" t="s">
        <v>22</v>
      </c>
      <c r="F33" s="3">
        <v>73</v>
      </c>
      <c r="G33" s="3">
        <v>82</v>
      </c>
      <c r="H33" s="3">
        <f t="shared" si="4"/>
        <v>9</v>
      </c>
      <c r="J33" s="2" t="s">
        <v>57</v>
      </c>
      <c r="K33" s="4">
        <f>SUM(K17,K21,K31)</f>
        <v>165</v>
      </c>
      <c r="L33" s="3">
        <f>K33-H9</f>
        <v>0</v>
      </c>
    </row>
    <row r="34" spans="2:13" x14ac:dyDescent="0.25">
      <c r="E34" s="1" t="s">
        <v>19</v>
      </c>
      <c r="F34" s="3">
        <v>-56</v>
      </c>
      <c r="G34" s="3">
        <v>-62</v>
      </c>
      <c r="H34" s="3">
        <f t="shared" si="4"/>
        <v>-6</v>
      </c>
      <c r="J34" s="1" t="s">
        <v>58</v>
      </c>
      <c r="K34" s="3">
        <f>F9</f>
        <v>17</v>
      </c>
    </row>
    <row r="35" spans="2:13" x14ac:dyDescent="0.25">
      <c r="E35" s="1" t="s">
        <v>20</v>
      </c>
      <c r="F35" s="3">
        <v>61</v>
      </c>
      <c r="G35" s="3">
        <v>257</v>
      </c>
      <c r="H35" s="3">
        <f t="shared" si="4"/>
        <v>196</v>
      </c>
      <c r="J35" s="2" t="s">
        <v>59</v>
      </c>
      <c r="K35" s="4">
        <f>K33+K34</f>
        <v>182</v>
      </c>
    </row>
    <row r="36" spans="2:13" x14ac:dyDescent="0.25">
      <c r="E36" s="2" t="s">
        <v>21</v>
      </c>
      <c r="F36" s="4">
        <f>SUM(F28:F35)</f>
        <v>313</v>
      </c>
      <c r="G36" s="4">
        <f>SUM(G28:G35)</f>
        <v>537</v>
      </c>
      <c r="M36" s="1">
        <f>SUM(M8:M34)</f>
        <v>100</v>
      </c>
    </row>
    <row r="37" spans="2:13" x14ac:dyDescent="0.25">
      <c r="F37" s="3"/>
      <c r="G37" s="3"/>
    </row>
    <row r="38" spans="2:13" x14ac:dyDescent="0.25">
      <c r="B38" s="1" t="s">
        <v>45</v>
      </c>
      <c r="C38" s="6">
        <f>C12-C39</f>
        <v>7</v>
      </c>
      <c r="E38" s="1" t="s">
        <v>62</v>
      </c>
      <c r="F38" s="3">
        <f>F14</f>
        <v>106</v>
      </c>
      <c r="G38" s="3"/>
    </row>
    <row r="39" spans="2:13" x14ac:dyDescent="0.25">
      <c r="B39" s="1" t="s">
        <v>46</v>
      </c>
      <c r="C39" s="6">
        <v>3</v>
      </c>
      <c r="E39" s="1" t="s">
        <v>44</v>
      </c>
      <c r="F39" s="3">
        <f>C12-3</f>
        <v>7</v>
      </c>
      <c r="G39" s="3"/>
      <c r="J39" s="2"/>
      <c r="K39" s="2"/>
    </row>
    <row r="40" spans="2:13" x14ac:dyDescent="0.25">
      <c r="E40" s="1" t="s">
        <v>50</v>
      </c>
      <c r="F40" s="3" t="s">
        <v>1</v>
      </c>
      <c r="G40" s="3">
        <f>F41-F38+F39</f>
        <v>31</v>
      </c>
      <c r="H40" s="3"/>
    </row>
    <row r="41" spans="2:13" x14ac:dyDescent="0.25">
      <c r="E41" s="8" t="s">
        <v>63</v>
      </c>
      <c r="F41" s="4">
        <f>G14</f>
        <v>130</v>
      </c>
      <c r="G41" s="3"/>
    </row>
    <row r="42" spans="2:13" x14ac:dyDescent="0.25">
      <c r="F42" s="3"/>
      <c r="G42" s="3"/>
    </row>
    <row r="43" spans="2:13" x14ac:dyDescent="0.25">
      <c r="E43" s="1" t="s">
        <v>47</v>
      </c>
      <c r="F43" s="3">
        <f>F15</f>
        <v>17</v>
      </c>
      <c r="G43" s="3"/>
    </row>
    <row r="44" spans="2:13" x14ac:dyDescent="0.25">
      <c r="E44" s="1" t="s">
        <v>48</v>
      </c>
      <c r="F44" s="3">
        <f>C39</f>
        <v>3</v>
      </c>
      <c r="G44" s="3"/>
    </row>
    <row r="45" spans="2:13" x14ac:dyDescent="0.25">
      <c r="E45" s="1" t="s">
        <v>50</v>
      </c>
      <c r="F45" s="3" t="s">
        <v>1</v>
      </c>
      <c r="G45" s="3">
        <f>F46-F43+F44</f>
        <v>7</v>
      </c>
    </row>
    <row r="46" spans="2:13" x14ac:dyDescent="0.25">
      <c r="E46" s="8" t="s">
        <v>51</v>
      </c>
      <c r="F46" s="4">
        <f>G15</f>
        <v>21</v>
      </c>
      <c r="G46" s="3"/>
    </row>
    <row r="48" spans="2:13" x14ac:dyDescent="0.25">
      <c r="E48" s="1" t="s">
        <v>60</v>
      </c>
      <c r="F48" s="3">
        <f>F35</f>
        <v>61</v>
      </c>
    </row>
    <row r="49" spans="5:7" x14ac:dyDescent="0.25">
      <c r="E49" s="1" t="s">
        <v>61</v>
      </c>
      <c r="F49" s="6">
        <f>C17</f>
        <v>211</v>
      </c>
    </row>
    <row r="50" spans="5:7" x14ac:dyDescent="0.25">
      <c r="E50" s="1" t="s">
        <v>65</v>
      </c>
      <c r="F50" s="1" t="s">
        <v>1</v>
      </c>
      <c r="G50" s="3">
        <f>F48+F49-F51</f>
        <v>15</v>
      </c>
    </row>
    <row r="51" spans="5:7" x14ac:dyDescent="0.25">
      <c r="E51" s="8" t="s">
        <v>64</v>
      </c>
      <c r="F51" s="4">
        <f>G35</f>
        <v>257</v>
      </c>
    </row>
    <row r="53" spans="5:7" x14ac:dyDescent="0.25">
      <c r="F53" s="3"/>
    </row>
    <row r="54" spans="5:7" x14ac:dyDescent="0.25">
      <c r="F54" s="3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 #3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Sequeira</dc:creator>
  <cp:lastModifiedBy>Gabriela Sequeira</cp:lastModifiedBy>
  <dcterms:created xsi:type="dcterms:W3CDTF">2017-08-09T04:54:26Z</dcterms:created>
  <dcterms:modified xsi:type="dcterms:W3CDTF">2017-08-17T16:23:42Z</dcterms:modified>
</cp:coreProperties>
</file>