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6465" activeTab="5" xr2:uid="{00000000-000D-0000-FFFF-FFFF00000000}"/>
  </bookViews>
  <sheets>
    <sheet name="Pregunta 1" sheetId="3" r:id="rId1"/>
    <sheet name="Pregunta 2" sheetId="4" r:id="rId2"/>
    <sheet name="Pregunta 3" sheetId="5" r:id="rId3"/>
    <sheet name="Pregunta 4" sheetId="6" r:id="rId4"/>
    <sheet name="Pregunta 5" sheetId="7" r:id="rId5"/>
    <sheet name="Pregunta 6" sheetId="9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9" l="1"/>
  <c r="F10" i="6"/>
  <c r="I14" i="6"/>
  <c r="I15" i="6"/>
  <c r="I16" i="6"/>
  <c r="I17" i="6"/>
  <c r="I13" i="6"/>
  <c r="H14" i="6"/>
  <c r="H15" i="6"/>
  <c r="H16" i="6"/>
  <c r="H17" i="6"/>
  <c r="H13" i="6"/>
  <c r="D15" i="6"/>
  <c r="D14" i="6"/>
  <c r="E15" i="6"/>
  <c r="D13" i="6"/>
  <c r="E11" i="5"/>
  <c r="D9" i="5"/>
  <c r="E10" i="5"/>
  <c r="E11" i="4"/>
  <c r="E13" i="3"/>
  <c r="D13" i="3"/>
  <c r="E12" i="3"/>
  <c r="D12" i="3"/>
  <c r="E13" i="6" l="1"/>
  <c r="E14" i="6"/>
  <c r="C7" i="3"/>
  <c r="C8" i="3" s="1"/>
  <c r="C9" i="3" s="1"/>
  <c r="C10" i="3" s="1"/>
</calcChain>
</file>

<file path=xl/sharedStrings.xml><?xml version="1.0" encoding="utf-8"?>
<sst xmlns="http://schemas.openxmlformats.org/spreadsheetml/2006/main" count="37" uniqueCount="33">
  <si>
    <t>A</t>
  </si>
  <si>
    <t>B</t>
  </si>
  <si>
    <t>C</t>
  </si>
  <si>
    <t>Normal</t>
  </si>
  <si>
    <t>Expansión</t>
  </si>
  <si>
    <t>Recesión</t>
  </si>
  <si>
    <t>Año</t>
  </si>
  <si>
    <t>Calcule la tasa de rendimiento promedio para cada activo</t>
  </si>
  <si>
    <t>Calcule el riesgo histórico para cada activo</t>
  </si>
  <si>
    <t>Estado</t>
  </si>
  <si>
    <t>Probabilidad</t>
  </si>
  <si>
    <t>Rendimiento</t>
  </si>
  <si>
    <t>Calcule el rendimiento esperado de un portafolio con las siguientes características</t>
  </si>
  <si>
    <t>Inversión</t>
  </si>
  <si>
    <t>Monto invertido</t>
  </si>
  <si>
    <t>Rendimiento esperado</t>
  </si>
  <si>
    <t>Calcule la tasa de rendimiento esperada para este activo</t>
  </si>
  <si>
    <t>Descargue el índice de S&amp;P de la página de Yahoo Finance y estime el rendimiento promedio del mercado de los últimos 50 años</t>
  </si>
  <si>
    <t>https://www.federalreserve.gov/datadownload/Chart.aspx?rel=H15&amp;series=bf17364827e38702b42a58cf8eaa3f78&amp;lastobs=&amp;from=&amp;to=&amp;filetype=spreadsheetml&amp;label=include&amp;layout=seriescolumn&amp;pp=Format</t>
  </si>
  <si>
    <t>Utilice esta fuente para obtener un dato de tasa libre de riesgo</t>
  </si>
  <si>
    <t>¿Qué rendimiento debería requerir como mínimo para esa inersión usando el modelo CAPM?</t>
  </si>
  <si>
    <t>Suponga que tiene una inversión con un Beta de 1.5, la tasa libre de riesgo es del 3% y el rendimiento del mercado 9%.</t>
  </si>
  <si>
    <t>Peso en portafolio</t>
  </si>
  <si>
    <t>Retorno esperado</t>
  </si>
  <si>
    <t>Desviación st</t>
  </si>
  <si>
    <t>Calcule el rendimiento esperado del portafolio</t>
  </si>
  <si>
    <t>Calcule la desviación del portafolio, asumiendo coeficientes de correlación de 1, 0.5, 0, -0.5 y -1</t>
  </si>
  <si>
    <t>Promedio</t>
  </si>
  <si>
    <t>Desviación Estandar</t>
  </si>
  <si>
    <t>Desviación del portafolio</t>
  </si>
  <si>
    <t>rf</t>
  </si>
  <si>
    <t>rm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</si>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</sst>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9" fontId="2" fillId="0" borderId="0" xfId="0" applyNumberFormat="1" applyFont="1"/>
    <xf numFmtId="10" fontId="1" fillId="0" borderId="0" xfId="1" applyNumberFormat="1" applyFont="1"/>
    <xf numFmtId="4" fontId="1" fillId="0" borderId="0" xfId="0" applyNumberFormat="1" applyFont="1"/>
    <xf numFmtId="9" fontId="2" fillId="0" borderId="0" xfId="1" applyFont="1"/>
    <xf numFmtId="10" fontId="2" fillId="0" borderId="0" xfId="0" applyNumberFormat="1" applyFont="1"/>
    <xf numFmtId="9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workbookViewId="0">
      <selection activeCell="G6" sqref="G6"/>
    </sheetView>
  </sheetViews>
  <sheetFormatPr defaultRowHeight="16.5" x14ac:dyDescent="0.3"/>
  <cols>
    <col min="1" max="2" width="9.140625" style="1"/>
    <col min="3" max="3" width="22.7109375" style="1" bestFit="1" customWidth="1"/>
    <col min="4" max="16384" width="9.140625" style="1"/>
  </cols>
  <sheetData>
    <row r="2" spans="1:5" x14ac:dyDescent="0.3">
      <c r="A2" s="1">
        <v>1</v>
      </c>
      <c r="B2" s="1" t="s">
        <v>7</v>
      </c>
    </row>
    <row r="3" spans="1:5" x14ac:dyDescent="0.3">
      <c r="A3" s="1">
        <v>2</v>
      </c>
      <c r="B3" s="1" t="s">
        <v>8</v>
      </c>
    </row>
    <row r="5" spans="1:5" x14ac:dyDescent="0.3">
      <c r="C5" s="6" t="s">
        <v>6</v>
      </c>
      <c r="D5" s="6" t="s">
        <v>0</v>
      </c>
      <c r="E5" s="6" t="s">
        <v>1</v>
      </c>
    </row>
    <row r="6" spans="1:5" x14ac:dyDescent="0.3">
      <c r="C6" s="6">
        <v>2004</v>
      </c>
      <c r="D6" s="7">
        <v>-0.1</v>
      </c>
      <c r="E6" s="7">
        <v>-0.03</v>
      </c>
    </row>
    <row r="7" spans="1:5" x14ac:dyDescent="0.3">
      <c r="C7" s="6">
        <f>C6+1</f>
        <v>2005</v>
      </c>
      <c r="D7" s="8">
        <v>0.185</v>
      </c>
      <c r="E7" s="8">
        <v>0.21290000000000001</v>
      </c>
    </row>
    <row r="8" spans="1:5" x14ac:dyDescent="0.3">
      <c r="C8" s="6">
        <f t="shared" ref="C8:C10" si="0">C7+1</f>
        <v>2006</v>
      </c>
      <c r="D8" s="8">
        <v>0.38669999999999999</v>
      </c>
      <c r="E8" s="8">
        <v>0.4425</v>
      </c>
    </row>
    <row r="9" spans="1:5" x14ac:dyDescent="0.3">
      <c r="C9" s="6">
        <f t="shared" si="0"/>
        <v>2007</v>
      </c>
      <c r="D9" s="8">
        <v>0.14330000000000001</v>
      </c>
      <c r="E9" s="8">
        <v>3.6700000000000003E-2</v>
      </c>
    </row>
    <row r="10" spans="1:5" x14ac:dyDescent="0.3">
      <c r="C10" s="6">
        <f t="shared" si="0"/>
        <v>2008</v>
      </c>
      <c r="D10" s="7">
        <v>0.33</v>
      </c>
      <c r="E10" s="8">
        <v>0.28299999999999997</v>
      </c>
    </row>
    <row r="12" spans="1:5" x14ac:dyDescent="0.3">
      <c r="C12" s="1" t="s">
        <v>27</v>
      </c>
      <c r="D12" s="11">
        <f>AVERAGE(D6:D10)</f>
        <v>0.189</v>
      </c>
      <c r="E12" s="11">
        <f>AVERAGE(E6:E10)</f>
        <v>0.18901999999999997</v>
      </c>
    </row>
    <row r="13" spans="1:5" x14ac:dyDescent="0.3">
      <c r="C13" s="1" t="s">
        <v>28</v>
      </c>
      <c r="D13" s="11">
        <f>_xlfn.STDEV.S(D6:D10)</f>
        <v>0.19012612918796828</v>
      </c>
      <c r="E13" s="11">
        <f>_xlfn.STDEV.S(E6:E10)</f>
        <v>0.19027989121291827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11"/>
  <sheetViews>
    <sheetView workbookViewId="0">
      <selection activeCell="E11" sqref="E11"/>
    </sheetView>
  </sheetViews>
  <sheetFormatPr defaultColWidth="12.7109375" defaultRowHeight="16.5" x14ac:dyDescent="0.3"/>
  <cols>
    <col min="1" max="3" width="12.7109375" style="1"/>
    <col min="4" max="4" width="14.42578125" style="1" bestFit="1" customWidth="1"/>
    <col min="5" max="5" width="14.140625" style="1" bestFit="1" customWidth="1"/>
    <col min="6" max="16384" width="12.7109375" style="1"/>
  </cols>
  <sheetData>
    <row r="3" spans="1:5" x14ac:dyDescent="0.3">
      <c r="A3" s="1">
        <v>1</v>
      </c>
      <c r="B3" s="1" t="s">
        <v>16</v>
      </c>
    </row>
    <row r="5" spans="1:5" x14ac:dyDescent="0.3">
      <c r="C5" s="4" t="s">
        <v>9</v>
      </c>
      <c r="D5" s="4" t="s">
        <v>10</v>
      </c>
      <c r="E5" s="4" t="s">
        <v>11</v>
      </c>
    </row>
    <row r="6" spans="1:5" x14ac:dyDescent="0.3">
      <c r="C6" s="4" t="s">
        <v>4</v>
      </c>
      <c r="D6" s="4">
        <v>0.2</v>
      </c>
      <c r="E6" s="5">
        <v>-0.05</v>
      </c>
    </row>
    <row r="7" spans="1:5" x14ac:dyDescent="0.3">
      <c r="C7" s="4" t="s">
        <v>3</v>
      </c>
      <c r="D7" s="4">
        <v>0.4</v>
      </c>
      <c r="E7" s="5">
        <v>0.1</v>
      </c>
    </row>
    <row r="8" spans="1:5" x14ac:dyDescent="0.3">
      <c r="C8" s="4" t="s">
        <v>5</v>
      </c>
      <c r="D8" s="4">
        <v>0.5</v>
      </c>
      <c r="E8" s="5">
        <v>0.3</v>
      </c>
    </row>
    <row r="11" spans="1:5" x14ac:dyDescent="0.3">
      <c r="E11" s="1">
        <f>SUMPRODUCT(D6:D8,E6:E8)</f>
        <v>0.18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11"/>
  <sheetViews>
    <sheetView workbookViewId="0">
      <selection activeCell="E12" sqref="E12"/>
    </sheetView>
  </sheetViews>
  <sheetFormatPr defaultRowHeight="16.5" x14ac:dyDescent="0.3"/>
  <cols>
    <col min="1" max="2" width="9.140625" style="1"/>
    <col min="3" max="3" width="10.5703125" style="1" bestFit="1" customWidth="1"/>
    <col min="4" max="4" width="18.140625" style="1" bestFit="1" customWidth="1"/>
    <col min="5" max="5" width="24.5703125" style="1" bestFit="1" customWidth="1"/>
    <col min="6" max="16384" width="9.140625" style="1"/>
  </cols>
  <sheetData>
    <row r="3" spans="2:5" x14ac:dyDescent="0.3">
      <c r="B3" s="1" t="s">
        <v>12</v>
      </c>
    </row>
    <row r="5" spans="2:5" x14ac:dyDescent="0.3">
      <c r="C5" s="4" t="s">
        <v>13</v>
      </c>
      <c r="D5" s="4" t="s">
        <v>14</v>
      </c>
      <c r="E5" s="4" t="s">
        <v>15</v>
      </c>
    </row>
    <row r="6" spans="2:5" x14ac:dyDescent="0.3">
      <c r="C6" s="4" t="s">
        <v>0</v>
      </c>
      <c r="D6" s="9">
        <v>10000</v>
      </c>
      <c r="E6" s="5">
        <v>0.3</v>
      </c>
    </row>
    <row r="7" spans="2:5" x14ac:dyDescent="0.3">
      <c r="C7" s="4" t="s">
        <v>1</v>
      </c>
      <c r="D7" s="9">
        <v>50000</v>
      </c>
      <c r="E7" s="5">
        <v>0.16</v>
      </c>
    </row>
    <row r="8" spans="2:5" x14ac:dyDescent="0.3">
      <c r="C8" s="4" t="s">
        <v>2</v>
      </c>
      <c r="D8" s="9">
        <v>40000</v>
      </c>
      <c r="E8" s="5">
        <v>0.2</v>
      </c>
    </row>
    <row r="9" spans="2:5" x14ac:dyDescent="0.3">
      <c r="D9" s="12">
        <f>SUM(D6:D8)</f>
        <v>100000</v>
      </c>
    </row>
    <row r="10" spans="2:5" x14ac:dyDescent="0.3">
      <c r="E10" s="1">
        <f>SUMPRODUCT(D6:D8,E6:E8)</f>
        <v>19000</v>
      </c>
    </row>
    <row r="11" spans="2:5" x14ac:dyDescent="0.3">
      <c r="E11" s="1">
        <f>E10/D9</f>
        <v>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7"/>
  <sheetViews>
    <sheetView workbookViewId="0">
      <selection activeCell="I13" sqref="I13"/>
    </sheetView>
  </sheetViews>
  <sheetFormatPr defaultRowHeight="13.5" x14ac:dyDescent="0.25"/>
  <cols>
    <col min="1" max="2" width="9.140625" style="2"/>
    <col min="3" max="3" width="18.140625" style="2" bestFit="1" customWidth="1"/>
    <col min="4" max="16384" width="9.140625" style="2"/>
  </cols>
  <sheetData>
    <row r="2" spans="2:12" x14ac:dyDescent="0.25">
      <c r="B2" s="2" t="s">
        <v>25</v>
      </c>
      <c r="L2" s="2">
        <v>1</v>
      </c>
    </row>
    <row r="3" spans="2:12" x14ac:dyDescent="0.25">
      <c r="B3" s="2" t="s">
        <v>26</v>
      </c>
      <c r="L3" s="2">
        <v>0.5</v>
      </c>
    </row>
    <row r="4" spans="2:12" x14ac:dyDescent="0.25">
      <c r="L4" s="2">
        <v>0</v>
      </c>
    </row>
    <row r="5" spans="2:12" x14ac:dyDescent="0.25">
      <c r="L5" s="2">
        <v>-0.5</v>
      </c>
    </row>
    <row r="6" spans="2:12" x14ac:dyDescent="0.25">
      <c r="L6" s="2">
        <v>-1</v>
      </c>
    </row>
    <row r="7" spans="2:12" x14ac:dyDescent="0.25">
      <c r="D7" s="2" t="s">
        <v>0</v>
      </c>
      <c r="E7" s="3" t="s">
        <v>1</v>
      </c>
    </row>
    <row r="8" spans="2:12" x14ac:dyDescent="0.25">
      <c r="C8" s="2" t="s">
        <v>22</v>
      </c>
      <c r="D8" s="2">
        <v>0.5</v>
      </c>
      <c r="E8" s="2">
        <v>0.5</v>
      </c>
    </row>
    <row r="9" spans="2:12" x14ac:dyDescent="0.25">
      <c r="C9" s="2" t="s">
        <v>23</v>
      </c>
      <c r="D9" s="10">
        <v>0.04</v>
      </c>
      <c r="E9" s="10">
        <v>0.09</v>
      </c>
    </row>
    <row r="10" spans="2:12" x14ac:dyDescent="0.25">
      <c r="C10" s="2" t="s">
        <v>24</v>
      </c>
      <c r="D10" s="10">
        <v>0.2</v>
      </c>
      <c r="E10" s="10">
        <v>0.28000000000000003</v>
      </c>
      <c r="F10" s="14">
        <f>AVERAGE(D10:E10)</f>
        <v>0.24000000000000002</v>
      </c>
    </row>
    <row r="12" spans="2:12" x14ac:dyDescent="0.25">
      <c r="H12" s="2" t="s">
        <v>29</v>
      </c>
    </row>
    <row r="13" spans="2:12" x14ac:dyDescent="0.25">
      <c r="D13" s="2">
        <f>D8^2</f>
        <v>0.25</v>
      </c>
      <c r="E13" s="2">
        <f>E8^2</f>
        <v>0.25</v>
      </c>
      <c r="H13" s="2">
        <f>$D$15+$E$15+2*$D$8*$E$8*$D$10*$E$10*L2</f>
        <v>5.7600000000000012E-2</v>
      </c>
      <c r="I13" s="15">
        <f>SQRT(H13)</f>
        <v>0.24000000000000002</v>
      </c>
    </row>
    <row r="14" spans="2:12" x14ac:dyDescent="0.25">
      <c r="D14" s="2">
        <f>D10^2</f>
        <v>4.0000000000000008E-2</v>
      </c>
      <c r="E14" s="2">
        <f>E10^2</f>
        <v>7.8400000000000011E-2</v>
      </c>
      <c r="H14" s="2">
        <f t="shared" ref="H14:H17" si="0">$D$15+$E$15+2*$D$8*$E$8*$D$10*$E$10*L3</f>
        <v>4.3600000000000007E-2</v>
      </c>
      <c r="I14" s="13">
        <f t="shared" ref="I14:I17" si="1">SQRT(H14)</f>
        <v>0.20880613017821101</v>
      </c>
    </row>
    <row r="15" spans="2:12" x14ac:dyDescent="0.25">
      <c r="D15" s="2">
        <f>D13*D14</f>
        <v>1.0000000000000002E-2</v>
      </c>
      <c r="E15" s="2">
        <f>E13*E14</f>
        <v>1.9600000000000003E-2</v>
      </c>
      <c r="H15" s="2">
        <f t="shared" si="0"/>
        <v>2.9600000000000005E-2</v>
      </c>
      <c r="I15" s="13">
        <f t="shared" si="1"/>
        <v>0.17204650534085256</v>
      </c>
    </row>
    <row r="16" spans="2:12" x14ac:dyDescent="0.25">
      <c r="H16" s="2">
        <f t="shared" si="0"/>
        <v>1.5600000000000003E-2</v>
      </c>
      <c r="I16" s="13">
        <f t="shared" si="1"/>
        <v>0.12489995996796797</v>
      </c>
    </row>
    <row r="17" spans="8:9" x14ac:dyDescent="0.25">
      <c r="H17" s="2">
        <f t="shared" si="0"/>
        <v>1.6000000000000007E-3</v>
      </c>
      <c r="I17" s="13">
        <f t="shared" si="1"/>
        <v>4.0000000000000008E-2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5"/>
  <sheetViews>
    <sheetView workbookViewId="0">
      <selection activeCell="A7" sqref="A7"/>
    </sheetView>
  </sheetViews>
  <sheetFormatPr defaultRowHeight="16.5" x14ac:dyDescent="0.3"/>
  <cols>
    <col min="1" max="16384" width="9.140625" style="1"/>
  </cols>
  <sheetData>
    <row r="3" spans="1:2" x14ac:dyDescent="0.3">
      <c r="A3" s="1">
        <v>1</v>
      </c>
      <c r="B3" s="1" t="s">
        <v>17</v>
      </c>
    </row>
    <row r="4" spans="1:2" x14ac:dyDescent="0.3">
      <c r="A4" s="1">
        <v>2</v>
      </c>
      <c r="B4" s="1" t="s">
        <v>19</v>
      </c>
    </row>
    <row r="5" spans="1:2" x14ac:dyDescent="0.3">
      <c r="B5" s="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F10"/>
  <sheetViews>
    <sheetView tabSelected="1" workbookViewId="0">
      <selection activeCell="F11" sqref="F11"/>
    </sheetView>
  </sheetViews>
  <sheetFormatPr defaultRowHeight="15" x14ac:dyDescent="0.25"/>
  <sheetData>
    <row r="3" spans="2:6" ht="16.5" x14ac:dyDescent="0.3">
      <c r="B3" s="1" t="s">
        <v>21</v>
      </c>
    </row>
    <row r="4" spans="2:6" ht="16.5" x14ac:dyDescent="0.3">
      <c r="B4" s="1" t="s">
        <v>20</v>
      </c>
    </row>
    <row r="7" spans="2:6" x14ac:dyDescent="0.25">
      <c r="D7" t="s">
        <v>30</v>
      </c>
      <c r="E7">
        <v>0.03</v>
      </c>
    </row>
    <row r="8" spans="2:6" x14ac:dyDescent="0.25">
      <c r="D8" t="s">
        <v>31</v>
      </c>
      <c r="E8">
        <v>0.09</v>
      </c>
    </row>
    <row r="9" spans="2:6" x14ac:dyDescent="0.25">
      <c r="D9" t="s">
        <v>32</v>
      </c>
      <c r="E9">
        <v>1.5</v>
      </c>
    </row>
    <row r="10" spans="2:6" x14ac:dyDescent="0.25">
      <c r="F10">
        <f>E9*(E8-E7)</f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Pregunta 1</vt:lpstr>
      <vt:lpstr>Pregunta 2</vt:lpstr>
      <vt:lpstr>Pregunta 3</vt:lpstr>
      <vt:lpstr>Pregunta 4</vt:lpstr>
      <vt:lpstr>Pregunta 5</vt:lpstr>
      <vt:lpstr>Pregunta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Sergio Garcia</cp:lastModifiedBy>
  <dcterms:created xsi:type="dcterms:W3CDTF">2017-10-16T03:38:15Z</dcterms:created>
  <dcterms:modified xsi:type="dcterms:W3CDTF">2017-10-16T17:21:56Z</dcterms:modified>
</cp:coreProperties>
</file>