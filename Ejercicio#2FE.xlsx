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Financiera I\Ejercicios\"/>
    </mc:Choice>
  </mc:AlternateContent>
  <bookViews>
    <workbookView xWindow="0" yWindow="0" windowWidth="9705" windowHeight="7500" activeTab="5" xr2:uid="{00000000-000D-0000-FFFF-FFFF00000000}"/>
  </bookViews>
  <sheets>
    <sheet name="Flujo S5" sheetId="5" r:id="rId1"/>
    <sheet name="P1" sheetId="1" r:id="rId2"/>
    <sheet name="P2" sheetId="3" r:id="rId3"/>
    <sheet name="P3" sheetId="2" r:id="rId4"/>
    <sheet name="P4" sheetId="4" r:id="rId5"/>
    <sheet name="Hoja1" sheetId="6" r:id="rId6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6" l="1"/>
  <c r="K26" i="6"/>
  <c r="H42" i="6"/>
  <c r="H39" i="6"/>
  <c r="F41" i="6"/>
  <c r="H36" i="6"/>
  <c r="H35" i="6"/>
  <c r="H38" i="6"/>
  <c r="K51" i="4"/>
  <c r="F36" i="6"/>
  <c r="F38" i="6"/>
  <c r="F35" i="6"/>
  <c r="K21" i="6"/>
  <c r="M13" i="6" s="1"/>
  <c r="K18" i="6"/>
  <c r="K16" i="6"/>
  <c r="J14" i="6"/>
  <c r="J15" i="6"/>
  <c r="J13" i="6"/>
  <c r="K11" i="6"/>
  <c r="H32" i="6"/>
  <c r="H31" i="6"/>
  <c r="M11" i="6" s="1"/>
  <c r="H30" i="6"/>
  <c r="M10" i="6" s="1"/>
  <c r="G29" i="6"/>
  <c r="G33" i="6" s="1"/>
  <c r="F29" i="6"/>
  <c r="F33" i="6" s="1"/>
  <c r="H28" i="6"/>
  <c r="K20" i="6" s="1"/>
  <c r="H27" i="6"/>
  <c r="K19" i="6" s="1"/>
  <c r="H26" i="6"/>
  <c r="M14" i="6" s="1"/>
  <c r="H25" i="6"/>
  <c r="H24" i="6"/>
  <c r="H21" i="6"/>
  <c r="H20" i="6"/>
  <c r="H19" i="6"/>
  <c r="C19" i="6"/>
  <c r="C22" i="6" s="1"/>
  <c r="H18" i="6"/>
  <c r="G17" i="6"/>
  <c r="G22" i="6" s="1"/>
  <c r="F17" i="6"/>
  <c r="F22" i="6" s="1"/>
  <c r="H16" i="6"/>
  <c r="K15" i="6" s="1"/>
  <c r="H15" i="6"/>
  <c r="K14" i="6" s="1"/>
  <c r="C15" i="6"/>
  <c r="H14" i="6"/>
  <c r="K13" i="6" s="1"/>
  <c r="H13" i="6"/>
  <c r="H37" i="6" l="1"/>
  <c r="F40" i="6" s="1"/>
  <c r="F37" i="6"/>
  <c r="F39" i="6" s="1"/>
  <c r="F42" i="6" s="1"/>
  <c r="K25" i="6" s="1"/>
  <c r="K29" i="6" s="1"/>
  <c r="H33" i="6"/>
  <c r="C23" i="6"/>
  <c r="C24" i="6" s="1"/>
  <c r="H22" i="6"/>
  <c r="H29" i="6"/>
  <c r="H17" i="6"/>
  <c r="H40" i="6" l="1"/>
  <c r="H41" i="6" s="1"/>
  <c r="M12" i="6" s="1"/>
  <c r="M15" i="6" s="1"/>
  <c r="K10" i="6"/>
  <c r="K22" i="6" s="1"/>
  <c r="M22" i="6" s="1"/>
  <c r="L55" i="4" l="1"/>
  <c r="K26" i="4"/>
  <c r="M25" i="4" s="1"/>
  <c r="N17" i="4"/>
  <c r="N16" i="4"/>
  <c r="K48" i="4"/>
  <c r="N15" i="4"/>
  <c r="N14" i="4"/>
  <c r="N13" i="4"/>
  <c r="N12" i="4"/>
  <c r="K32" i="4"/>
  <c r="K41" i="4"/>
  <c r="K44" i="4"/>
  <c r="K42" i="4"/>
  <c r="L38" i="4"/>
  <c r="K39" i="4"/>
  <c r="K37" i="4"/>
  <c r="K36" i="4"/>
  <c r="K30" i="4"/>
  <c r="K24" i="4"/>
  <c r="J21" i="4"/>
  <c r="J20" i="4"/>
  <c r="J19" i="4"/>
  <c r="J18" i="4"/>
  <c r="J17" i="4"/>
  <c r="J16" i="4"/>
  <c r="J15" i="4"/>
  <c r="K13" i="4"/>
  <c r="C11" i="2"/>
  <c r="C10" i="2"/>
  <c r="C9" i="2"/>
  <c r="C8" i="2"/>
  <c r="F19" i="3"/>
  <c r="F21" i="3"/>
  <c r="F18" i="3"/>
  <c r="F16" i="3"/>
  <c r="F15" i="3"/>
  <c r="F14" i="3"/>
  <c r="F13" i="3"/>
  <c r="F12" i="3"/>
  <c r="F10" i="3"/>
  <c r="F11" i="3"/>
  <c r="F17" i="1"/>
  <c r="L43" i="4" l="1"/>
  <c r="F19" i="1"/>
  <c r="E19" i="1"/>
  <c r="F18" i="1"/>
  <c r="F14" i="1"/>
  <c r="E13" i="1"/>
  <c r="E12" i="1"/>
  <c r="E11" i="1"/>
  <c r="F10" i="1"/>
  <c r="E8" i="1"/>
  <c r="F6" i="1"/>
  <c r="F7" i="1"/>
  <c r="F7" i="5" l="1"/>
  <c r="H17" i="5"/>
  <c r="H13" i="5"/>
  <c r="N11" i="5"/>
  <c r="C16" i="5"/>
  <c r="F9" i="5"/>
  <c r="C14" i="5"/>
  <c r="C13" i="5"/>
  <c r="K20" i="5"/>
  <c r="K8" i="5"/>
  <c r="N6" i="5"/>
  <c r="K15" i="5"/>
  <c r="N9" i="5"/>
  <c r="K7" i="5"/>
  <c r="N21" i="5"/>
  <c r="N16" i="5"/>
  <c r="K21" i="5"/>
  <c r="K16" i="5"/>
  <c r="K13" i="5"/>
  <c r="F17" i="5" l="1"/>
  <c r="H16" i="5"/>
  <c r="N5" i="5"/>
  <c r="N13" i="5" s="1"/>
  <c r="N22" i="5" s="1"/>
  <c r="N24" i="5" s="1"/>
  <c r="K22" i="5"/>
  <c r="K24" i="5" s="1"/>
  <c r="H32" i="4"/>
  <c r="H31" i="4"/>
  <c r="H30" i="4"/>
  <c r="G29" i="4"/>
  <c r="G33" i="4" s="1"/>
  <c r="H33" i="4" s="1"/>
  <c r="F29" i="4"/>
  <c r="F33" i="4" s="1"/>
  <c r="H28" i="4"/>
  <c r="K21" i="4" s="1"/>
  <c r="H27" i="4"/>
  <c r="K20" i="4" s="1"/>
  <c r="H26" i="4"/>
  <c r="H25" i="4"/>
  <c r="K19" i="4" s="1"/>
  <c r="H24" i="4"/>
  <c r="K18" i="4" s="1"/>
  <c r="H21" i="4"/>
  <c r="H20" i="4"/>
  <c r="H19" i="4"/>
  <c r="H18" i="4"/>
  <c r="G17" i="4"/>
  <c r="G22" i="4" s="1"/>
  <c r="F17" i="4"/>
  <c r="F22" i="4" s="1"/>
  <c r="H16" i="4"/>
  <c r="K17" i="4" s="1"/>
  <c r="H15" i="4"/>
  <c r="K16" i="4" s="1"/>
  <c r="C15" i="4"/>
  <c r="C19" i="4" s="1"/>
  <c r="C22" i="4" s="1"/>
  <c r="H14" i="4"/>
  <c r="K15" i="4" s="1"/>
  <c r="H13" i="4"/>
  <c r="H17" i="4" l="1"/>
  <c r="H22" i="4"/>
  <c r="C23" i="4"/>
  <c r="C24" i="4" s="1"/>
  <c r="K12" i="4" s="1"/>
  <c r="H29" i="4"/>
</calcChain>
</file>

<file path=xl/sharedStrings.xml><?xml version="1.0" encoding="utf-8"?>
<sst xmlns="http://schemas.openxmlformats.org/spreadsheetml/2006/main" count="327" uniqueCount="191">
  <si>
    <t>Pregunta 1</t>
  </si>
  <si>
    <t>Identifique si las siguientes transacciones generan un ingreso o egreso de efectivo.</t>
  </si>
  <si>
    <t xml:space="preserve"> Luego calcule el flujo de actividades de inversión y el flujo de actividades de financiamiento para una empresa que muestra los siguientes registros durante el año.</t>
  </si>
  <si>
    <t>Pago de intereses</t>
  </si>
  <si>
    <t>Emisión de bonos</t>
  </si>
  <si>
    <t>Venta de activos en subsidiaria cerrada</t>
  </si>
  <si>
    <t>Pérdida por venta de activos de subsidiaria</t>
  </si>
  <si>
    <t>Contratación de préstamo bancario</t>
  </si>
  <si>
    <t>Compra de maquinaria y equipo</t>
  </si>
  <si>
    <t>Inversión en bonos de otra compañía</t>
  </si>
  <si>
    <t>Compra de derechos de marca</t>
  </si>
  <si>
    <t>Utilización de sobregiro autorizado en banco</t>
  </si>
  <si>
    <t>Depreciación de maquinaria y equipo</t>
  </si>
  <si>
    <t>Incremento en provisión de indemnizaciones</t>
  </si>
  <si>
    <t>Re-compra de acciones</t>
  </si>
  <si>
    <t>Pago de dividendos</t>
  </si>
  <si>
    <t>Ingreso/Egreso</t>
  </si>
  <si>
    <t>Inversión</t>
  </si>
  <si>
    <t>Financiamiento</t>
  </si>
  <si>
    <t>Pregunta 2</t>
  </si>
  <si>
    <t>Una empresa contrata deuda a corto plazo por $50,000 y usa el efectivo para pagar saldos a proveedores.</t>
  </si>
  <si>
    <t xml:space="preserve">En ese mismo periodo emite deuda a largo plazo por $100,000 y utiliza esos fondos para la compra de una línea de producción. </t>
  </si>
  <si>
    <t>¿Cómo cambia su flujo de efectivo en cada una de sus clasificaciones?</t>
  </si>
  <si>
    <t>Pregunta 3</t>
  </si>
  <si>
    <t>Baja de gastos pagados por anticipado</t>
  </si>
  <si>
    <t>Activo</t>
  </si>
  <si>
    <t>Baja</t>
  </si>
  <si>
    <t>Incremento en saldo de cuentas x cobrar</t>
  </si>
  <si>
    <t>Incremento</t>
  </si>
  <si>
    <t>Reducción de cuentas x pagar</t>
  </si>
  <si>
    <t>Pasivo</t>
  </si>
  <si>
    <t>Reducción de inventario por venta realizada</t>
  </si>
  <si>
    <t>Reducción de inventario por baja de inventario obsoleto</t>
  </si>
  <si>
    <t>Incremento en saldo de caja</t>
  </si>
  <si>
    <t>Reducción de impuestos x pagar</t>
  </si>
  <si>
    <t>Reducción de anticipos de clientes</t>
  </si>
  <si>
    <t>Con la siguiente información:</t>
  </si>
  <si>
    <t>a. Identifique si la transacción afecta una cuenta de activo, pasivo o patrimonio</t>
  </si>
  <si>
    <t>b. Indique que tipo de ajuste originarían bajo el método indirecto (positivo o negtivo) al flujo de operación</t>
  </si>
  <si>
    <t>c. Partiendo de un supuesto de utilidad neta de $40,000, ¿cuál sería el flujo de operación?</t>
  </si>
  <si>
    <t>Activo, Pasivo o Capital</t>
  </si>
  <si>
    <t>Ajuste (+ o -)</t>
  </si>
  <si>
    <t>Flujo Operativo</t>
  </si>
  <si>
    <t>Pregunta 4</t>
  </si>
  <si>
    <t>ER del 1 enero - 31 de Diciembre</t>
  </si>
  <si>
    <t>BG al 31 de Diciembre</t>
  </si>
  <si>
    <t>Cambio</t>
  </si>
  <si>
    <t>Ventas</t>
  </si>
  <si>
    <t>Caja y Bancos</t>
  </si>
  <si>
    <t>Costo de Ventas</t>
  </si>
  <si>
    <t>Cuentas x Cobrar</t>
  </si>
  <si>
    <t>Utilidad Bruta</t>
  </si>
  <si>
    <t>Inventario</t>
  </si>
  <si>
    <t>Sueldos y salarios</t>
  </si>
  <si>
    <t>Gastos anticipados</t>
  </si>
  <si>
    <t>Depreciaciones</t>
  </si>
  <si>
    <t>Activos Corrientes</t>
  </si>
  <si>
    <t>Otros gastos operativos</t>
  </si>
  <si>
    <t>Terrenos</t>
  </si>
  <si>
    <t>Utilidad Operativa</t>
  </si>
  <si>
    <t>Edificios</t>
  </si>
  <si>
    <t>Ganancia por venta de equipo</t>
  </si>
  <si>
    <t>Equipo *</t>
  </si>
  <si>
    <t>Gastos por intereses</t>
  </si>
  <si>
    <t>Depreciación Acum.</t>
  </si>
  <si>
    <t>Utilidad antes de impuestos</t>
  </si>
  <si>
    <t>Total Activos</t>
  </si>
  <si>
    <t xml:space="preserve">Impuestos </t>
  </si>
  <si>
    <t>Utilidad Neta</t>
  </si>
  <si>
    <t>Cuentas x Pagar</t>
  </si>
  <si>
    <t>Salarios x Pagar</t>
  </si>
  <si>
    <t>Intereses x Pagar</t>
  </si>
  <si>
    <t>Notas</t>
  </si>
  <si>
    <t>Impuestos x Pagar</t>
  </si>
  <si>
    <t>*La cuenta de equipo muestra variaciones por:</t>
  </si>
  <si>
    <t>Otras provisones</t>
  </si>
  <si>
    <t xml:space="preserve">Compra de equipo por </t>
  </si>
  <si>
    <t>Pasivo Circulante</t>
  </si>
  <si>
    <t>Venta de equipo para el que se tiene una</t>
  </si>
  <si>
    <t>Deuda a largo plazo</t>
  </si>
  <si>
    <t xml:space="preserve">ganancia de </t>
  </si>
  <si>
    <t>Acciones Comunes</t>
  </si>
  <si>
    <t>Utilidades Retenidas</t>
  </si>
  <si>
    <t>Total pasivo + patrimonio</t>
  </si>
  <si>
    <t xml:space="preserve">a.    Identifique para los activos vendidos: </t>
  </si>
  <si>
    <t>                                           i.    su valor en equipo bruto</t>
  </si>
  <si>
    <t>                                          ii.    su depreciación acumulada</t>
  </si>
  <si>
    <t xml:space="preserve">                                         iii.    su valor en libros </t>
  </si>
  <si>
    <t>                                        iv.    el precio de venta</t>
  </si>
  <si>
    <t xml:space="preserve">b.    Calcule cuánto fue el  pago de dividendos. </t>
  </si>
  <si>
    <r>
      <t xml:space="preserve">c.    </t>
    </r>
    <r>
      <rPr>
        <sz val="10"/>
        <color theme="1"/>
        <rFont val="Century Gothic"/>
        <family val="2"/>
      </rPr>
      <t>Construya el flujo de efectivo por el método indirecto</t>
    </r>
  </si>
  <si>
    <t>Estado de Resultados</t>
  </si>
  <si>
    <t>Balance General</t>
  </si>
  <si>
    <t>Flujo de Efectivo:  Directo</t>
  </si>
  <si>
    <t>Flujo de Efectivo: Indirecto</t>
  </si>
  <si>
    <t>Activos</t>
  </si>
  <si>
    <t>Operación</t>
  </si>
  <si>
    <t>Capital</t>
  </si>
  <si>
    <t>Ut. Retenidas</t>
  </si>
  <si>
    <t>Total P + C</t>
  </si>
  <si>
    <t>Flujo del Periodo</t>
  </si>
  <si>
    <t>Saldo Inicial Caja</t>
  </si>
  <si>
    <t>Caja al Final del Periodo</t>
  </si>
  <si>
    <t>Cuentas por C.</t>
  </si>
  <si>
    <t>MP</t>
  </si>
  <si>
    <t>Cuenta por P</t>
  </si>
  <si>
    <t>Pago a proveedores</t>
  </si>
  <si>
    <t>Cuentas por pagar</t>
  </si>
  <si>
    <t>Sueldos</t>
  </si>
  <si>
    <t>Pago de sueldos</t>
  </si>
  <si>
    <t xml:space="preserve">Alquiler </t>
  </si>
  <si>
    <t>Gasto por Anti.</t>
  </si>
  <si>
    <t>Pago de Alquiler</t>
  </si>
  <si>
    <t>Variacion de G. Antici.</t>
  </si>
  <si>
    <t>Equipo</t>
  </si>
  <si>
    <t>Compra equipo</t>
  </si>
  <si>
    <t>Compra de Equipo</t>
  </si>
  <si>
    <t xml:space="preserve">Depreciacion A. </t>
  </si>
  <si>
    <t>Depreciacion</t>
  </si>
  <si>
    <t>Depreciaciones y Amort.</t>
  </si>
  <si>
    <t>Gastos Adminis.</t>
  </si>
  <si>
    <t>Pago de gastos Admnis.</t>
  </si>
  <si>
    <t>Intereses</t>
  </si>
  <si>
    <t>Pago Intereses</t>
  </si>
  <si>
    <t>Ajustes por Intereses</t>
  </si>
  <si>
    <t>Utilidad Antes I.</t>
  </si>
  <si>
    <t>ISR</t>
  </si>
  <si>
    <t>Credito Fiscal</t>
  </si>
  <si>
    <t>Inversion</t>
  </si>
  <si>
    <t>Var. Credito Fiscal</t>
  </si>
  <si>
    <t>Prestamo</t>
  </si>
  <si>
    <t>Total</t>
  </si>
  <si>
    <t>Prestamo Bancario</t>
  </si>
  <si>
    <t>Acciones Comu.</t>
  </si>
  <si>
    <t>Emision Acciones Comun.</t>
  </si>
  <si>
    <t>Egreso</t>
  </si>
  <si>
    <t xml:space="preserve">Ingreso </t>
  </si>
  <si>
    <t>Ingreso</t>
  </si>
  <si>
    <t>NADA</t>
  </si>
  <si>
    <t>Deuda</t>
  </si>
  <si>
    <t>Pago Proveedores</t>
  </si>
  <si>
    <t>Compra Linea de Produccion</t>
  </si>
  <si>
    <t>Financiamento</t>
  </si>
  <si>
    <t>Flujo</t>
  </si>
  <si>
    <t>*</t>
  </si>
  <si>
    <t>Variacion Capital Trabajo neto</t>
  </si>
  <si>
    <t>Otros Ajustes</t>
  </si>
  <si>
    <t>Reclasifiacion Intereses</t>
  </si>
  <si>
    <t>Flujo de inversion</t>
  </si>
  <si>
    <t>Compra de equipo</t>
  </si>
  <si>
    <t>Venta Equipo</t>
  </si>
  <si>
    <t>Flujo de Financiamiento</t>
  </si>
  <si>
    <t>Intereses Por Pagar</t>
  </si>
  <si>
    <t>Saldo Inicial</t>
  </si>
  <si>
    <t xml:space="preserve">Compras </t>
  </si>
  <si>
    <t>SF</t>
  </si>
  <si>
    <t>Dep. Acumulada</t>
  </si>
  <si>
    <t>Saldo inicial</t>
  </si>
  <si>
    <t>Dep. Periodo</t>
  </si>
  <si>
    <t>Dep. Equipo Vendido</t>
  </si>
  <si>
    <t>Deuda a largo Plazo</t>
  </si>
  <si>
    <t>Dividendos</t>
  </si>
  <si>
    <t>Valor en libros de Equipo Vendido</t>
  </si>
  <si>
    <t>Valor bruto</t>
  </si>
  <si>
    <t>Depreciacion Acumulada</t>
  </si>
  <si>
    <t>Valor Bruto</t>
  </si>
  <si>
    <t>Ganancia</t>
  </si>
  <si>
    <t>Venta de Equipo</t>
  </si>
  <si>
    <t>Flujo Total</t>
  </si>
  <si>
    <t>Reclasificacion Ganancia</t>
  </si>
  <si>
    <t>Saldo Final</t>
  </si>
  <si>
    <t>Depreciaciones y Amortizaciones</t>
  </si>
  <si>
    <t>Capital Trabajo Neto</t>
  </si>
  <si>
    <t>Cuentas x pagar</t>
  </si>
  <si>
    <t>Salarios x pagar</t>
  </si>
  <si>
    <t>Impuestos x pagar</t>
  </si>
  <si>
    <t>Otras provisiones</t>
  </si>
  <si>
    <t>Reclasificacion intereses</t>
  </si>
  <si>
    <t>Flujo de Inversion</t>
  </si>
  <si>
    <t>Compras</t>
  </si>
  <si>
    <t>Periodo</t>
  </si>
  <si>
    <t>D. Equipo</t>
  </si>
  <si>
    <t>Efectivo Venta</t>
  </si>
  <si>
    <t>Deuda a Largo Plazo+</t>
  </si>
  <si>
    <t>Pago de Dividendos</t>
  </si>
  <si>
    <t>SI</t>
  </si>
  <si>
    <t>U.Period</t>
  </si>
  <si>
    <t>Gasto Interes</t>
  </si>
  <si>
    <t>Intereses Por pagar</t>
  </si>
  <si>
    <t>Compra</t>
  </si>
  <si>
    <t>Reclasificacion ganancia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</si>
</sst>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Q&quot;* #,##0.00_-;\-&quot;Q&quot;* #,##0.00_-;_-&quot;Q&quot;* &quot;-&quot;??_-;_-@_-"/>
    <numFmt numFmtId="164" formatCode="&quot;$&quot;#,##0_);[Red]\(&quot;$&quot;#,##0\)"/>
    <numFmt numFmtId="165" formatCode="[$$-409]#,##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rgb="FF000000"/>
      <name val="Corbe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u/>
      <sz val="10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2" fillId="0" borderId="1" xfId="0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left" vertical="center" indent="11"/>
    </xf>
    <xf numFmtId="0" fontId="2" fillId="0" borderId="0" xfId="0" applyFont="1" applyAlignment="1">
      <alignment horizontal="left" vertical="center" indent="5"/>
    </xf>
    <xf numFmtId="0" fontId="2" fillId="0" borderId="0" xfId="0" applyFont="1" applyAlignment="1">
      <alignment horizontal="left" vertical="center" indent="4"/>
    </xf>
    <xf numFmtId="164" fontId="2" fillId="0" borderId="2" xfId="0" applyNumberFormat="1" applyFont="1" applyBorder="1"/>
    <xf numFmtId="164" fontId="2" fillId="0" borderId="1" xfId="0" quotePrefix="1" applyNumberFormat="1" applyFont="1" applyBorder="1"/>
    <xf numFmtId="0" fontId="2" fillId="0" borderId="3" xfId="0" applyFont="1" applyBorder="1" applyAlignment="1">
      <alignment wrapText="1"/>
    </xf>
    <xf numFmtId="164" fontId="2" fillId="0" borderId="4" xfId="0" applyNumberFormat="1" applyFont="1" applyBorder="1"/>
    <xf numFmtId="0" fontId="2" fillId="0" borderId="4" xfId="0" applyFont="1" applyBorder="1"/>
    <xf numFmtId="164" fontId="2" fillId="0" borderId="5" xfId="0" applyNumberFormat="1" applyFont="1" applyBorder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3" fontId="2" fillId="0" borderId="0" xfId="0" applyNumberFormat="1" applyFont="1"/>
    <xf numFmtId="0" fontId="2" fillId="0" borderId="0" xfId="0" applyFont="1" applyFill="1"/>
    <xf numFmtId="3" fontId="2" fillId="0" borderId="0" xfId="0" applyNumberFormat="1" applyFont="1" applyFill="1"/>
    <xf numFmtId="3" fontId="1" fillId="0" borderId="0" xfId="0" applyNumberFormat="1" applyFont="1"/>
    <xf numFmtId="3" fontId="1" fillId="0" borderId="0" xfId="0" applyNumberFormat="1" applyFont="1" applyFill="1"/>
    <xf numFmtId="9" fontId="2" fillId="0" borderId="0" xfId="0" applyNumberFormat="1" applyFont="1"/>
    <xf numFmtId="0" fontId="1" fillId="0" borderId="0" xfId="0" applyFont="1" applyAlignment="1">
      <alignment horizontal="left" vertical="center" indent="11"/>
    </xf>
    <xf numFmtId="0" fontId="4" fillId="0" borderId="0" xfId="0" applyFont="1"/>
    <xf numFmtId="0" fontId="2" fillId="0" borderId="0" xfId="0" applyFont="1" applyAlignment="1">
      <alignment horizontal="left" vertical="center" indent="15"/>
    </xf>
    <xf numFmtId="0" fontId="2" fillId="0" borderId="0" xfId="0" applyFont="1" applyAlignment="1">
      <alignment horizontal="right"/>
    </xf>
    <xf numFmtId="0" fontId="5" fillId="0" borderId="0" xfId="0" applyFont="1"/>
    <xf numFmtId="0" fontId="4" fillId="0" borderId="6" xfId="0" applyFont="1" applyBorder="1"/>
    <xf numFmtId="165" fontId="4" fillId="0" borderId="7" xfId="0" applyNumberFormat="1" applyFont="1" applyBorder="1"/>
    <xf numFmtId="0" fontId="4" fillId="0" borderId="8" xfId="0" applyFont="1" applyBorder="1"/>
    <xf numFmtId="165" fontId="4" fillId="0" borderId="9" xfId="0" applyNumberFormat="1" applyFont="1" applyBorder="1"/>
    <xf numFmtId="0" fontId="4" fillId="0" borderId="5" xfId="0" applyFont="1" applyBorder="1"/>
    <xf numFmtId="165" fontId="4" fillId="0" borderId="10" xfId="0" applyNumberFormat="1" applyFont="1" applyBorder="1"/>
    <xf numFmtId="0" fontId="5" fillId="0" borderId="5" xfId="0" applyFont="1" applyBorder="1"/>
    <xf numFmtId="165" fontId="5" fillId="0" borderId="10" xfId="0" applyNumberFormat="1" applyFont="1" applyBorder="1"/>
    <xf numFmtId="0" fontId="5" fillId="0" borderId="2" xfId="0" applyFont="1" applyBorder="1"/>
    <xf numFmtId="165" fontId="5" fillId="0" borderId="11" xfId="0" applyNumberFormat="1" applyFont="1" applyBorder="1"/>
    <xf numFmtId="0" fontId="4" fillId="0" borderId="0" xfId="0" applyFont="1" applyBorder="1"/>
    <xf numFmtId="0" fontId="5" fillId="0" borderId="6" xfId="0" applyFont="1" applyBorder="1"/>
    <xf numFmtId="165" fontId="5" fillId="0" borderId="7" xfId="0" applyNumberFormat="1" applyFont="1" applyBorder="1"/>
    <xf numFmtId="0" fontId="4" fillId="2" borderId="8" xfId="0" applyFont="1" applyFill="1" applyBorder="1"/>
    <xf numFmtId="0" fontId="5" fillId="2" borderId="5" xfId="0" applyFont="1" applyFill="1" applyBorder="1"/>
    <xf numFmtId="165" fontId="5" fillId="3" borderId="11" xfId="0" applyNumberFormat="1" applyFont="1" applyFill="1" applyBorder="1"/>
    <xf numFmtId="165" fontId="4" fillId="3" borderId="10" xfId="0" applyNumberFormat="1" applyFont="1" applyFill="1" applyBorder="1"/>
    <xf numFmtId="165" fontId="4" fillId="2" borderId="9" xfId="0" applyNumberFormat="1" applyFont="1" applyFill="1" applyBorder="1"/>
    <xf numFmtId="165" fontId="5" fillId="2" borderId="10" xfId="0" applyNumberFormat="1" applyFont="1" applyFill="1" applyBorder="1"/>
    <xf numFmtId="0" fontId="4" fillId="0" borderId="12" xfId="0" applyFont="1" applyBorder="1"/>
    <xf numFmtId="0" fontId="4" fillId="0" borderId="13" xfId="0" applyFont="1" applyBorder="1"/>
    <xf numFmtId="0" fontId="5" fillId="0" borderId="14" xfId="0" applyFont="1" applyBorder="1"/>
    <xf numFmtId="0" fontId="5" fillId="0" borderId="0" xfId="0" applyFont="1" applyBorder="1"/>
    <xf numFmtId="165" fontId="5" fillId="0" borderId="0" xfId="0" applyNumberFormat="1" applyFont="1" applyBorder="1"/>
    <xf numFmtId="164" fontId="0" fillId="0" borderId="1" xfId="0" applyNumberFormat="1" applyBorder="1"/>
    <xf numFmtId="0" fontId="0" fillId="0" borderId="3" xfId="0" applyBorder="1"/>
    <xf numFmtId="164" fontId="0" fillId="0" borderId="3" xfId="0" applyNumberFormat="1" applyBorder="1"/>
    <xf numFmtId="44" fontId="0" fillId="0" borderId="16" xfId="1" applyFont="1" applyBorder="1"/>
    <xf numFmtId="44" fontId="0" fillId="0" borderId="17" xfId="1" applyFont="1" applyBorder="1"/>
    <xf numFmtId="0" fontId="2" fillId="0" borderId="3" xfId="0" applyFont="1" applyBorder="1"/>
    <xf numFmtId="0" fontId="2" fillId="0" borderId="15" xfId="0" applyFont="1" applyBorder="1"/>
    <xf numFmtId="44" fontId="0" fillId="0" borderId="2" xfId="1" applyFont="1" applyBorder="1"/>
    <xf numFmtId="44" fontId="0" fillId="0" borderId="6" xfId="1" applyFont="1" applyBorder="1"/>
    <xf numFmtId="44" fontId="0" fillId="0" borderId="20" xfId="0" applyNumberFormat="1" applyBorder="1"/>
    <xf numFmtId="0" fontId="0" fillId="0" borderId="21" xfId="0" applyFill="1" applyBorder="1"/>
    <xf numFmtId="0" fontId="2" fillId="2" borderId="0" xfId="0" applyFont="1" applyFill="1"/>
    <xf numFmtId="3" fontId="2" fillId="2" borderId="0" xfId="0" applyNumberFormat="1" applyFont="1" applyFill="1"/>
    <xf numFmtId="0" fontId="2" fillId="3" borderId="0" xfId="0" applyFont="1" applyFill="1"/>
    <xf numFmtId="3" fontId="2" fillId="3" borderId="0" xfId="0" applyNumberFormat="1" applyFont="1" applyFill="1"/>
    <xf numFmtId="0" fontId="2" fillId="4" borderId="0" xfId="0" applyFont="1" applyFill="1"/>
    <xf numFmtId="3" fontId="2" fillId="4" borderId="0" xfId="0" applyNumberFormat="1" applyFont="1" applyFill="1"/>
    <xf numFmtId="0" fontId="7" fillId="0" borderId="0" xfId="0" applyFont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3" fontId="2" fillId="0" borderId="0" xfId="0" applyNumberFormat="1" applyFont="1" applyBorder="1"/>
    <xf numFmtId="0" fontId="2" fillId="0" borderId="26" xfId="0" applyFont="1" applyBorder="1"/>
    <xf numFmtId="0" fontId="2" fillId="0" borderId="0" xfId="0" applyFont="1" applyBorder="1"/>
    <xf numFmtId="3" fontId="2" fillId="0" borderId="26" xfId="0" applyNumberFormat="1" applyFont="1" applyBorder="1"/>
    <xf numFmtId="0" fontId="2" fillId="0" borderId="27" xfId="0" applyFont="1" applyBorder="1"/>
    <xf numFmtId="3" fontId="2" fillId="0" borderId="28" xfId="0" applyNumberFormat="1" applyFont="1" applyBorder="1"/>
    <xf numFmtId="0" fontId="2" fillId="0" borderId="29" xfId="0" applyFont="1" applyBorder="1"/>
    <xf numFmtId="0" fontId="1" fillId="0" borderId="22" xfId="0" applyFont="1" applyBorder="1"/>
    <xf numFmtId="0" fontId="2" fillId="0" borderId="18" xfId="0" applyFont="1" applyBorder="1"/>
    <xf numFmtId="3" fontId="2" fillId="0" borderId="19" xfId="0" applyNumberFormat="1" applyFont="1" applyBorder="1"/>
    <xf numFmtId="0" fontId="2" fillId="0" borderId="28" xfId="0" applyFont="1" applyBorder="1"/>
    <xf numFmtId="3" fontId="0" fillId="0" borderId="0" xfId="0" applyNumberFormat="1"/>
    <xf numFmtId="0" fontId="2" fillId="5" borderId="0" xfId="0" applyFont="1" applyFill="1"/>
    <xf numFmtId="3" fontId="2" fillId="5" borderId="0" xfId="0" applyNumberFormat="1" applyFont="1" applyFill="1"/>
    <xf numFmtId="0" fontId="0" fillId="0" borderId="1" xfId="0" applyBorder="1" applyAlignment="1">
      <alignment horizontal="center"/>
    </xf>
    <xf numFmtId="3" fontId="0" fillId="0" borderId="1" xfId="0" applyNumberFormat="1" applyBorder="1"/>
    <xf numFmtId="0" fontId="0" fillId="0" borderId="2" xfId="0" applyBorder="1" applyAlignment="1">
      <alignment horizontal="center"/>
    </xf>
    <xf numFmtId="3" fontId="0" fillId="0" borderId="2" xfId="0" applyNumberFormat="1" applyBorder="1"/>
    <xf numFmtId="0" fontId="0" fillId="0" borderId="2" xfId="0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4"/>
  <sheetViews>
    <sheetView topLeftCell="A7" workbookViewId="0">
      <selection activeCell="G19" sqref="G19"/>
    </sheetView>
  </sheetViews>
  <sheetFormatPr baseColWidth="10" defaultColWidth="9.140625" defaultRowHeight="16.5" x14ac:dyDescent="0.3"/>
  <cols>
    <col min="1" max="1" width="4.85546875" style="29" customWidth="1"/>
    <col min="2" max="2" width="17.7109375" style="29" bestFit="1" customWidth="1"/>
    <col min="3" max="3" width="8.7109375" style="29" customWidth="1"/>
    <col min="4" max="4" width="6.28515625" style="29" customWidth="1"/>
    <col min="5" max="5" width="18.85546875" style="29" customWidth="1"/>
    <col min="6" max="6" width="9.5703125" style="29" bestFit="1" customWidth="1"/>
    <col min="7" max="7" width="18.85546875" style="29" customWidth="1"/>
    <col min="8" max="8" width="8.7109375" style="29" customWidth="1"/>
    <col min="9" max="9" width="9.140625" style="29"/>
    <col min="10" max="10" width="27.42578125" style="29" bestFit="1" customWidth="1"/>
    <col min="11" max="11" width="9.28515625" style="29" bestFit="1" customWidth="1"/>
    <col min="12" max="12" width="9.140625" style="29"/>
    <col min="13" max="13" width="29.140625" style="29" bestFit="1" customWidth="1"/>
    <col min="14" max="14" width="9.28515625" style="29" bestFit="1" customWidth="1"/>
    <col min="15" max="16384" width="9.140625" style="29"/>
  </cols>
  <sheetData>
    <row r="2" spans="2:14" x14ac:dyDescent="0.3">
      <c r="B2" s="32" t="s">
        <v>91</v>
      </c>
      <c r="E2" s="32" t="s">
        <v>92</v>
      </c>
      <c r="J2" s="32" t="s">
        <v>93</v>
      </c>
      <c r="M2" s="32" t="s">
        <v>94</v>
      </c>
    </row>
    <row r="4" spans="2:14" x14ac:dyDescent="0.3">
      <c r="B4" s="33" t="s">
        <v>47</v>
      </c>
      <c r="C4" s="34">
        <v>8000</v>
      </c>
    </row>
    <row r="5" spans="2:14" x14ac:dyDescent="0.3">
      <c r="B5" s="33" t="s">
        <v>104</v>
      </c>
      <c r="C5" s="34">
        <v>-4000</v>
      </c>
      <c r="E5" s="33" t="s">
        <v>95</v>
      </c>
      <c r="F5" s="34"/>
      <c r="G5" s="52" t="s">
        <v>30</v>
      </c>
      <c r="H5" s="34"/>
      <c r="J5" s="33" t="s">
        <v>106</v>
      </c>
      <c r="K5" s="34">
        <v>-2000</v>
      </c>
      <c r="M5" s="33" t="s">
        <v>68</v>
      </c>
      <c r="N5" s="34">
        <f>C16</f>
        <v>-2062.5</v>
      </c>
    </row>
    <row r="6" spans="2:14" x14ac:dyDescent="0.3">
      <c r="B6" s="35" t="s">
        <v>108</v>
      </c>
      <c r="C6" s="36">
        <v>-1500</v>
      </c>
      <c r="E6" s="35" t="s">
        <v>103</v>
      </c>
      <c r="F6" s="36">
        <v>8000</v>
      </c>
      <c r="G6" s="43" t="s">
        <v>105</v>
      </c>
      <c r="H6" s="36">
        <v>2000</v>
      </c>
      <c r="J6" s="35" t="s">
        <v>109</v>
      </c>
      <c r="K6" s="36">
        <v>-1500</v>
      </c>
      <c r="M6" s="35" t="s">
        <v>119</v>
      </c>
      <c r="N6" s="36">
        <f>-F12</f>
        <v>125</v>
      </c>
    </row>
    <row r="7" spans="2:14" x14ac:dyDescent="0.3">
      <c r="B7" s="35" t="s">
        <v>110</v>
      </c>
      <c r="C7" s="36">
        <v>-2000</v>
      </c>
      <c r="E7" s="46" t="s">
        <v>48</v>
      </c>
      <c r="F7" s="50">
        <f>-2000-1500-12000-15000-3000-125+15000+20000</f>
        <v>1375</v>
      </c>
      <c r="G7" s="43" t="s">
        <v>130</v>
      </c>
      <c r="H7" s="36">
        <v>15000</v>
      </c>
      <c r="J7" s="35" t="s">
        <v>112</v>
      </c>
      <c r="K7" s="36">
        <f>-12000</f>
        <v>-12000</v>
      </c>
      <c r="M7" s="35" t="s">
        <v>103</v>
      </c>
      <c r="N7" s="36">
        <v>-8000</v>
      </c>
    </row>
    <row r="8" spans="2:14" x14ac:dyDescent="0.3">
      <c r="B8" s="35" t="s">
        <v>118</v>
      </c>
      <c r="C8" s="36">
        <v>-125</v>
      </c>
      <c r="E8" s="35" t="s">
        <v>111</v>
      </c>
      <c r="F8" s="36">
        <v>10000</v>
      </c>
      <c r="G8" s="43"/>
      <c r="H8" s="36"/>
      <c r="J8" s="35" t="s">
        <v>121</v>
      </c>
      <c r="K8" s="36">
        <f>-3000</f>
        <v>-3000</v>
      </c>
      <c r="M8" s="35" t="s">
        <v>107</v>
      </c>
      <c r="N8" s="36">
        <v>2000</v>
      </c>
    </row>
    <row r="9" spans="2:14" x14ac:dyDescent="0.3">
      <c r="B9" s="35"/>
      <c r="C9" s="36"/>
      <c r="E9" s="35" t="s">
        <v>127</v>
      </c>
      <c r="F9" s="36">
        <f>C14</f>
        <v>687.5</v>
      </c>
      <c r="G9" s="43"/>
      <c r="H9" s="36"/>
      <c r="J9" s="35"/>
      <c r="K9" s="36"/>
      <c r="M9" s="35" t="s">
        <v>113</v>
      </c>
      <c r="N9" s="36">
        <f>-10000</f>
        <v>-10000</v>
      </c>
    </row>
    <row r="10" spans="2:14" x14ac:dyDescent="0.3">
      <c r="B10" s="35" t="s">
        <v>120</v>
      </c>
      <c r="C10" s="36">
        <v>-3000</v>
      </c>
      <c r="E10" s="35"/>
      <c r="F10" s="36"/>
      <c r="G10" s="43"/>
      <c r="H10" s="36"/>
      <c r="J10" s="35"/>
      <c r="K10" s="36"/>
      <c r="M10" s="35" t="s">
        <v>124</v>
      </c>
      <c r="N10" s="36">
        <v>125</v>
      </c>
    </row>
    <row r="11" spans="2:14" x14ac:dyDescent="0.3">
      <c r="B11" s="35"/>
      <c r="C11" s="36"/>
      <c r="E11" s="35" t="s">
        <v>114</v>
      </c>
      <c r="F11" s="36">
        <v>15000</v>
      </c>
      <c r="G11" s="43"/>
      <c r="H11" s="36"/>
      <c r="J11" s="35"/>
      <c r="K11" s="36"/>
      <c r="M11" s="35" t="s">
        <v>129</v>
      </c>
      <c r="N11" s="36">
        <f>-C14</f>
        <v>-687.5</v>
      </c>
    </row>
    <row r="12" spans="2:14" x14ac:dyDescent="0.3">
      <c r="B12" s="35" t="s">
        <v>122</v>
      </c>
      <c r="C12" s="36">
        <v>-125</v>
      </c>
      <c r="E12" s="35" t="s">
        <v>117</v>
      </c>
      <c r="F12" s="36">
        <v>-125</v>
      </c>
      <c r="G12" s="43"/>
      <c r="H12" s="36"/>
      <c r="J12" s="35"/>
      <c r="K12" s="36"/>
      <c r="M12" s="35"/>
      <c r="N12" s="36"/>
    </row>
    <row r="13" spans="2:14" x14ac:dyDescent="0.3">
      <c r="B13" s="35" t="s">
        <v>125</v>
      </c>
      <c r="C13" s="36">
        <f>C4+C12+C10+C8+C7+C6+C5</f>
        <v>-2750</v>
      </c>
      <c r="E13" s="35"/>
      <c r="F13" s="36"/>
      <c r="G13" s="53" t="s">
        <v>131</v>
      </c>
      <c r="H13" s="38">
        <f>SUM(H6:H12)</f>
        <v>17000</v>
      </c>
      <c r="J13" s="39" t="s">
        <v>96</v>
      </c>
      <c r="K13" s="40">
        <f>SUM(K5:K12)</f>
        <v>-18500</v>
      </c>
      <c r="M13" s="39" t="s">
        <v>96</v>
      </c>
      <c r="N13" s="40">
        <f>SUM(N5:N12)</f>
        <v>-18500</v>
      </c>
    </row>
    <row r="14" spans="2:14" x14ac:dyDescent="0.3">
      <c r="B14" s="35" t="s">
        <v>126</v>
      </c>
      <c r="C14" s="36">
        <f>-(C13*0.25)</f>
        <v>687.5</v>
      </c>
      <c r="E14" s="35"/>
      <c r="F14" s="36"/>
      <c r="G14" s="52" t="s">
        <v>97</v>
      </c>
      <c r="H14" s="36"/>
      <c r="J14" s="33" t="s">
        <v>128</v>
      </c>
      <c r="K14" s="34"/>
      <c r="M14" s="33" t="s">
        <v>17</v>
      </c>
      <c r="N14" s="34"/>
    </row>
    <row r="15" spans="2:14" x14ac:dyDescent="0.3">
      <c r="B15" s="35"/>
      <c r="C15" s="38"/>
      <c r="E15" s="35"/>
      <c r="F15" s="36"/>
      <c r="G15" s="43" t="s">
        <v>133</v>
      </c>
      <c r="H15" s="36">
        <v>20000</v>
      </c>
      <c r="J15" s="35" t="s">
        <v>115</v>
      </c>
      <c r="K15" s="36">
        <f>-15000</f>
        <v>-15000</v>
      </c>
      <c r="M15" s="35" t="s">
        <v>116</v>
      </c>
      <c r="N15" s="36">
        <v>-15000</v>
      </c>
    </row>
    <row r="16" spans="2:14" x14ac:dyDescent="0.3">
      <c r="B16" s="41" t="s">
        <v>68</v>
      </c>
      <c r="C16" s="48">
        <f>C13+C14</f>
        <v>-2062.5</v>
      </c>
      <c r="E16" s="37"/>
      <c r="F16" s="38"/>
      <c r="G16" s="53" t="s">
        <v>98</v>
      </c>
      <c r="H16" s="49">
        <f>C16</f>
        <v>-2062.5</v>
      </c>
      <c r="J16" s="39" t="s">
        <v>17</v>
      </c>
      <c r="K16" s="40">
        <f>SUM(K14:K15)</f>
        <v>-15000</v>
      </c>
      <c r="M16" s="39" t="s">
        <v>17</v>
      </c>
      <c r="N16" s="40">
        <f>SUM(N14:N15)</f>
        <v>-15000</v>
      </c>
    </row>
    <row r="17" spans="2:14" x14ac:dyDescent="0.3">
      <c r="B17" s="43"/>
      <c r="C17" s="43"/>
      <c r="E17" s="41" t="s">
        <v>66</v>
      </c>
      <c r="F17" s="42">
        <f>SUM(F6:F16)</f>
        <v>34937.5</v>
      </c>
      <c r="G17" s="54" t="s">
        <v>99</v>
      </c>
      <c r="H17" s="42">
        <f>H16+H15+H13</f>
        <v>34937.5</v>
      </c>
      <c r="J17" s="33" t="s">
        <v>18</v>
      </c>
      <c r="K17" s="34"/>
      <c r="M17" s="33" t="s">
        <v>18</v>
      </c>
      <c r="N17" s="34"/>
    </row>
    <row r="18" spans="2:14" x14ac:dyDescent="0.3">
      <c r="B18" s="43"/>
      <c r="C18" s="43"/>
      <c r="E18" s="55"/>
      <c r="F18" s="56"/>
      <c r="G18" s="55"/>
      <c r="H18" s="56"/>
      <c r="J18" s="35" t="s">
        <v>132</v>
      </c>
      <c r="K18" s="36">
        <v>15000</v>
      </c>
      <c r="M18" s="35" t="s">
        <v>132</v>
      </c>
      <c r="N18" s="36">
        <v>15000</v>
      </c>
    </row>
    <row r="19" spans="2:14" x14ac:dyDescent="0.3">
      <c r="B19" s="43"/>
      <c r="C19" s="43"/>
      <c r="E19" s="55"/>
      <c r="F19" s="56"/>
      <c r="G19" s="55"/>
      <c r="H19" s="56"/>
      <c r="J19" s="35" t="s">
        <v>134</v>
      </c>
      <c r="K19" s="36">
        <v>20000</v>
      </c>
      <c r="M19" s="35" t="s">
        <v>134</v>
      </c>
      <c r="N19" s="36">
        <v>20000</v>
      </c>
    </row>
    <row r="20" spans="2:14" x14ac:dyDescent="0.3">
      <c r="B20" s="43"/>
      <c r="C20" s="43"/>
      <c r="J20" s="35" t="s">
        <v>123</v>
      </c>
      <c r="K20" s="36">
        <f>-125</f>
        <v>-125</v>
      </c>
      <c r="M20" s="35" t="s">
        <v>123</v>
      </c>
      <c r="N20" s="36">
        <v>-125</v>
      </c>
    </row>
    <row r="21" spans="2:14" x14ac:dyDescent="0.3">
      <c r="J21" s="39" t="s">
        <v>18</v>
      </c>
      <c r="K21" s="40">
        <f>SUM(K17:K20)</f>
        <v>34875</v>
      </c>
      <c r="M21" s="39" t="s">
        <v>18</v>
      </c>
      <c r="N21" s="40">
        <f>SUM(N17:N20)</f>
        <v>34875</v>
      </c>
    </row>
    <row r="22" spans="2:14" x14ac:dyDescent="0.3">
      <c r="J22" s="44" t="s">
        <v>100</v>
      </c>
      <c r="K22" s="45">
        <f>K21+K16+K13</f>
        <v>1375</v>
      </c>
      <c r="M22" s="44" t="s">
        <v>100</v>
      </c>
      <c r="N22" s="45">
        <f>N21+N16+N13</f>
        <v>1375</v>
      </c>
    </row>
    <row r="23" spans="2:14" x14ac:dyDescent="0.3">
      <c r="J23" s="35" t="s">
        <v>101</v>
      </c>
      <c r="K23" s="36"/>
      <c r="M23" s="35" t="s">
        <v>101</v>
      </c>
      <c r="N23" s="36"/>
    </row>
    <row r="24" spans="2:14" x14ac:dyDescent="0.3">
      <c r="J24" s="47" t="s">
        <v>102</v>
      </c>
      <c r="K24" s="51">
        <f>K23+K22</f>
        <v>1375</v>
      </c>
      <c r="M24" s="47" t="s">
        <v>102</v>
      </c>
      <c r="N24" s="51">
        <f>N23+N22</f>
        <v>1375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activeCell="E19" sqref="E19:F19"/>
    </sheetView>
  </sheetViews>
  <sheetFormatPr baseColWidth="10" defaultColWidth="9.140625" defaultRowHeight="15" x14ac:dyDescent="0.25"/>
  <cols>
    <col min="2" max="2" width="44.5703125" customWidth="1"/>
    <col min="4" max="6" width="14.28515625" customWidth="1"/>
  </cols>
  <sheetData>
    <row r="1" spans="1:6" x14ac:dyDescent="0.25">
      <c r="A1" s="1" t="s">
        <v>0</v>
      </c>
      <c r="B1" s="2"/>
      <c r="C1" s="2"/>
    </row>
    <row r="2" spans="1:6" x14ac:dyDescent="0.25">
      <c r="A2" s="1"/>
      <c r="B2" s="1" t="s">
        <v>1</v>
      </c>
      <c r="C2" s="2"/>
    </row>
    <row r="3" spans="1:6" x14ac:dyDescent="0.25">
      <c r="A3" s="2"/>
      <c r="B3" s="3" t="s">
        <v>2</v>
      </c>
      <c r="C3" s="2"/>
    </row>
    <row r="4" spans="1:6" x14ac:dyDescent="0.25">
      <c r="A4" s="2"/>
      <c r="B4" s="3"/>
      <c r="C4" s="2"/>
    </row>
    <row r="5" spans="1:6" x14ac:dyDescent="0.25">
      <c r="A5" s="2"/>
      <c r="B5" s="1"/>
      <c r="C5" s="2"/>
      <c r="D5" s="8" t="s">
        <v>16</v>
      </c>
      <c r="E5" s="8" t="s">
        <v>17</v>
      </c>
      <c r="F5" s="8" t="s">
        <v>18</v>
      </c>
    </row>
    <row r="6" spans="1:6" x14ac:dyDescent="0.25">
      <c r="A6" s="2"/>
      <c r="B6" s="4" t="s">
        <v>3</v>
      </c>
      <c r="C6" s="5">
        <v>15000</v>
      </c>
      <c r="D6" s="7" t="s">
        <v>135</v>
      </c>
      <c r="E6" s="7"/>
      <c r="F6" s="57">
        <f>-C6</f>
        <v>-15000</v>
      </c>
    </row>
    <row r="7" spans="1:6" x14ac:dyDescent="0.25">
      <c r="A7" s="2"/>
      <c r="B7" s="4" t="s">
        <v>4</v>
      </c>
      <c r="C7" s="6">
        <v>75000</v>
      </c>
      <c r="D7" s="7" t="s">
        <v>136</v>
      </c>
      <c r="E7" s="7"/>
      <c r="F7" s="57">
        <f>C7</f>
        <v>75000</v>
      </c>
    </row>
    <row r="8" spans="1:6" x14ac:dyDescent="0.25">
      <c r="A8" s="2"/>
      <c r="B8" s="4" t="s">
        <v>5</v>
      </c>
      <c r="C8" s="5">
        <v>100000</v>
      </c>
      <c r="D8" s="7" t="s">
        <v>137</v>
      </c>
      <c r="E8" s="57">
        <f>C8</f>
        <v>100000</v>
      </c>
      <c r="F8" s="7"/>
    </row>
    <row r="9" spans="1:6" x14ac:dyDescent="0.25">
      <c r="A9" s="2"/>
      <c r="B9" s="4" t="s">
        <v>6</v>
      </c>
      <c r="C9" s="5">
        <v>50000</v>
      </c>
      <c r="D9" s="7" t="s">
        <v>138</v>
      </c>
      <c r="E9" s="57"/>
      <c r="F9" s="7"/>
    </row>
    <row r="10" spans="1:6" x14ac:dyDescent="0.25">
      <c r="A10" s="2"/>
      <c r="B10" s="4" t="s">
        <v>7</v>
      </c>
      <c r="C10" s="5">
        <v>150000</v>
      </c>
      <c r="D10" s="7" t="s">
        <v>137</v>
      </c>
      <c r="E10" s="7"/>
      <c r="F10" s="57">
        <f>C10</f>
        <v>150000</v>
      </c>
    </row>
    <row r="11" spans="1:6" x14ac:dyDescent="0.25">
      <c r="A11" s="2"/>
      <c r="B11" s="4" t="s">
        <v>8</v>
      </c>
      <c r="C11" s="5">
        <v>200000</v>
      </c>
      <c r="D11" s="7" t="s">
        <v>135</v>
      </c>
      <c r="E11" s="57">
        <f>-C11</f>
        <v>-200000</v>
      </c>
      <c r="F11" s="7"/>
    </row>
    <row r="12" spans="1:6" x14ac:dyDescent="0.25">
      <c r="A12" s="2"/>
      <c r="B12" s="4" t="s">
        <v>9</v>
      </c>
      <c r="C12" s="5">
        <v>25000</v>
      </c>
      <c r="D12" s="7" t="s">
        <v>135</v>
      </c>
      <c r="E12" s="57">
        <f>-C12</f>
        <v>-25000</v>
      </c>
      <c r="F12" s="7"/>
    </row>
    <row r="13" spans="1:6" x14ac:dyDescent="0.25">
      <c r="A13" s="2"/>
      <c r="B13" s="4" t="s">
        <v>10</v>
      </c>
      <c r="C13" s="5">
        <v>20000</v>
      </c>
      <c r="D13" s="7" t="s">
        <v>135</v>
      </c>
      <c r="E13" s="57">
        <f>-C13</f>
        <v>-20000</v>
      </c>
      <c r="F13" s="7"/>
    </row>
    <row r="14" spans="1:6" x14ac:dyDescent="0.25">
      <c r="A14" s="2"/>
      <c r="B14" s="4" t="s">
        <v>11</v>
      </c>
      <c r="C14" s="5">
        <v>10000</v>
      </c>
      <c r="D14" s="7" t="s">
        <v>137</v>
      </c>
      <c r="E14" s="7"/>
      <c r="F14" s="57">
        <f>C14</f>
        <v>10000</v>
      </c>
    </row>
    <row r="15" spans="1:6" x14ac:dyDescent="0.25">
      <c r="A15" s="2"/>
      <c r="B15" s="4" t="s">
        <v>12</v>
      </c>
      <c r="C15" s="5">
        <v>20000</v>
      </c>
      <c r="D15" s="7" t="s">
        <v>138</v>
      </c>
      <c r="E15" s="7"/>
      <c r="F15" s="7"/>
    </row>
    <row r="16" spans="1:6" x14ac:dyDescent="0.25">
      <c r="A16" s="2"/>
      <c r="B16" s="4" t="s">
        <v>13</v>
      </c>
      <c r="C16" s="5">
        <v>5000</v>
      </c>
      <c r="D16" s="7" t="s">
        <v>138</v>
      </c>
      <c r="E16" s="57"/>
      <c r="F16" s="7"/>
    </row>
    <row r="17" spans="1:6" x14ac:dyDescent="0.25">
      <c r="A17" s="2"/>
      <c r="B17" s="4" t="s">
        <v>14</v>
      </c>
      <c r="C17" s="5">
        <v>30000</v>
      </c>
      <c r="D17" s="7" t="s">
        <v>135</v>
      </c>
      <c r="E17" s="57"/>
      <c r="F17" s="57">
        <f>-C17</f>
        <v>-30000</v>
      </c>
    </row>
    <row r="18" spans="1:6" ht="15.75" thickBot="1" x14ac:dyDescent="0.3">
      <c r="A18" s="2"/>
      <c r="B18" s="4" t="s">
        <v>15</v>
      </c>
      <c r="C18" s="5">
        <v>10000</v>
      </c>
      <c r="D18" s="7" t="s">
        <v>135</v>
      </c>
      <c r="E18" s="58"/>
      <c r="F18" s="59">
        <f>-C18</f>
        <v>-10000</v>
      </c>
    </row>
    <row r="19" spans="1:6" ht="15.75" thickBot="1" x14ac:dyDescent="0.3">
      <c r="E19" s="60">
        <f>SUM(E6:E18)</f>
        <v>-145000</v>
      </c>
      <c r="F19" s="61">
        <f>SUM(F6:F18)</f>
        <v>180000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F21" sqref="F21"/>
    </sheetView>
  </sheetViews>
  <sheetFormatPr baseColWidth="10" defaultColWidth="9.140625" defaultRowHeight="13.5" x14ac:dyDescent="0.25"/>
  <cols>
    <col min="1" max="1" width="9.140625" style="2"/>
    <col min="2" max="2" width="43.7109375" style="2" bestFit="1" customWidth="1"/>
    <col min="3" max="3" width="9.140625" style="2"/>
    <col min="4" max="5" width="16.42578125" style="2" customWidth="1"/>
    <col min="6" max="6" width="17.140625" style="2" customWidth="1"/>
    <col min="7" max="16384" width="9.140625" style="2"/>
  </cols>
  <sheetData>
    <row r="1" spans="1:6" x14ac:dyDescent="0.25">
      <c r="A1" s="1" t="s">
        <v>23</v>
      </c>
    </row>
    <row r="2" spans="1:6" x14ac:dyDescent="0.25">
      <c r="A2" s="1"/>
      <c r="B2" s="2" t="s">
        <v>36</v>
      </c>
    </row>
    <row r="3" spans="1:6" x14ac:dyDescent="0.25">
      <c r="A3" s="1"/>
      <c r="B3" s="2" t="s">
        <v>37</v>
      </c>
    </row>
    <row r="4" spans="1:6" x14ac:dyDescent="0.25">
      <c r="A4" s="1"/>
      <c r="B4" s="2" t="s">
        <v>38</v>
      </c>
    </row>
    <row r="5" spans="1:6" x14ac:dyDescent="0.25">
      <c r="A5" s="1"/>
      <c r="B5" s="9" t="s">
        <v>39</v>
      </c>
    </row>
    <row r="6" spans="1:6" x14ac:dyDescent="0.25">
      <c r="A6" s="1"/>
      <c r="B6" s="9"/>
    </row>
    <row r="8" spans="1:6" ht="27" x14ac:dyDescent="0.25">
      <c r="D8" s="16" t="s">
        <v>40</v>
      </c>
      <c r="E8" s="16" t="s">
        <v>41</v>
      </c>
      <c r="F8" s="4" t="s">
        <v>42</v>
      </c>
    </row>
    <row r="9" spans="1:6" x14ac:dyDescent="0.25">
      <c r="B9" s="4" t="s">
        <v>68</v>
      </c>
      <c r="C9" s="4"/>
      <c r="D9" s="10"/>
      <c r="E9" s="10"/>
      <c r="F9" s="4">
        <v>40000</v>
      </c>
    </row>
    <row r="10" spans="1:6" x14ac:dyDescent="0.25">
      <c r="B10" s="18" t="s">
        <v>24</v>
      </c>
      <c r="C10" s="19">
        <v>10000</v>
      </c>
      <c r="D10" s="17" t="s">
        <v>25</v>
      </c>
      <c r="E10" s="18" t="s">
        <v>26</v>
      </c>
      <c r="F10" s="5">
        <f>C10</f>
        <v>10000</v>
      </c>
    </row>
    <row r="11" spans="1:6" x14ac:dyDescent="0.25">
      <c r="B11" s="4" t="s">
        <v>27</v>
      </c>
      <c r="C11" s="14">
        <v>16000</v>
      </c>
      <c r="D11" s="5" t="s">
        <v>25</v>
      </c>
      <c r="E11" s="4" t="s">
        <v>28</v>
      </c>
      <c r="F11" s="5">
        <f>-C11</f>
        <v>-16000</v>
      </c>
    </row>
    <row r="12" spans="1:6" x14ac:dyDescent="0.25">
      <c r="B12" s="4" t="s">
        <v>29</v>
      </c>
      <c r="C12" s="14">
        <v>12000</v>
      </c>
      <c r="D12" s="5" t="s">
        <v>30</v>
      </c>
      <c r="E12" s="4" t="s">
        <v>26</v>
      </c>
      <c r="F12" s="5">
        <f>-C12</f>
        <v>-12000</v>
      </c>
    </row>
    <row r="13" spans="1:6" x14ac:dyDescent="0.25">
      <c r="B13" s="4" t="s">
        <v>12</v>
      </c>
      <c r="C13" s="14">
        <v>20000</v>
      </c>
      <c r="D13" s="5" t="s">
        <v>25</v>
      </c>
      <c r="E13" s="4" t="s">
        <v>26</v>
      </c>
      <c r="F13" s="5">
        <f>C13</f>
        <v>20000</v>
      </c>
    </row>
    <row r="14" spans="1:6" x14ac:dyDescent="0.25">
      <c r="B14" s="4" t="s">
        <v>13</v>
      </c>
      <c r="C14" s="14">
        <v>5000</v>
      </c>
      <c r="D14" s="5" t="s">
        <v>30</v>
      </c>
      <c r="E14" s="4" t="s">
        <v>28</v>
      </c>
      <c r="F14" s="5">
        <f>C14</f>
        <v>5000</v>
      </c>
    </row>
    <row r="15" spans="1:6" x14ac:dyDescent="0.25">
      <c r="B15" s="4" t="s">
        <v>31</v>
      </c>
      <c r="C15" s="14">
        <v>18000</v>
      </c>
      <c r="D15" s="5" t="s">
        <v>25</v>
      </c>
      <c r="E15" s="4" t="s">
        <v>26</v>
      </c>
      <c r="F15" s="5">
        <f>C15</f>
        <v>18000</v>
      </c>
    </row>
    <row r="16" spans="1:6" ht="27" x14ac:dyDescent="0.25">
      <c r="B16" s="10" t="s">
        <v>32</v>
      </c>
      <c r="C16" s="14">
        <v>3000</v>
      </c>
      <c r="D16" s="5" t="s">
        <v>25</v>
      </c>
      <c r="E16" s="4" t="s">
        <v>26</v>
      </c>
      <c r="F16" s="5">
        <f>C16</f>
        <v>3000</v>
      </c>
    </row>
    <row r="17" spans="2:6" x14ac:dyDescent="0.25">
      <c r="B17" s="10" t="s">
        <v>33</v>
      </c>
      <c r="C17" s="14">
        <v>4000</v>
      </c>
      <c r="D17" s="15" t="s">
        <v>25</v>
      </c>
      <c r="E17" s="4" t="s">
        <v>28</v>
      </c>
      <c r="F17" s="5"/>
    </row>
    <row r="18" spans="2:6" x14ac:dyDescent="0.25">
      <c r="B18" s="10" t="s">
        <v>34</v>
      </c>
      <c r="C18" s="14">
        <v>9000</v>
      </c>
      <c r="D18" s="5" t="s">
        <v>30</v>
      </c>
      <c r="E18" s="4" t="s">
        <v>26</v>
      </c>
      <c r="F18" s="5">
        <f>-C18</f>
        <v>-9000</v>
      </c>
    </row>
    <row r="19" spans="2:6" x14ac:dyDescent="0.25">
      <c r="B19" s="10" t="s">
        <v>35</v>
      </c>
      <c r="C19" s="14">
        <v>500</v>
      </c>
      <c r="D19" s="5" t="s">
        <v>30</v>
      </c>
      <c r="E19" s="4" t="s">
        <v>26</v>
      </c>
      <c r="F19" s="5">
        <f>-C19</f>
        <v>-500</v>
      </c>
    </row>
    <row r="20" spans="2:6" ht="14.25" thickBot="1" x14ac:dyDescent="0.3">
      <c r="B20" s="4"/>
      <c r="C20" s="4"/>
      <c r="D20" s="4"/>
      <c r="E20" s="4"/>
      <c r="F20" s="62"/>
    </row>
    <row r="21" spans="2:6" ht="14.25" thickBot="1" x14ac:dyDescent="0.3">
      <c r="F21" s="63">
        <f>SUM(F9:F19)</f>
        <v>58500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D20" sqref="D20"/>
    </sheetView>
  </sheetViews>
  <sheetFormatPr baseColWidth="10" defaultColWidth="9.140625" defaultRowHeight="15" x14ac:dyDescent="0.25"/>
  <cols>
    <col min="2" max="2" width="35.28515625" customWidth="1"/>
    <col min="3" max="3" width="15.5703125" customWidth="1"/>
    <col min="4" max="4" width="14.140625" bestFit="1" customWidth="1"/>
  </cols>
  <sheetData>
    <row r="1" spans="1:4" x14ac:dyDescent="0.25">
      <c r="A1" s="1" t="s">
        <v>19</v>
      </c>
      <c r="B1" s="2"/>
      <c r="C1" s="2"/>
    </row>
    <row r="2" spans="1:4" x14ac:dyDescent="0.25">
      <c r="A2" s="2"/>
      <c r="B2" s="2"/>
      <c r="C2" s="2"/>
    </row>
    <row r="3" spans="1:4" x14ac:dyDescent="0.25">
      <c r="A3" s="2" t="s">
        <v>20</v>
      </c>
      <c r="B3" s="2"/>
      <c r="C3" s="2"/>
    </row>
    <row r="4" spans="1:4" x14ac:dyDescent="0.25">
      <c r="A4" s="2" t="s">
        <v>21</v>
      </c>
      <c r="B4" s="2"/>
      <c r="C4" s="2"/>
    </row>
    <row r="5" spans="1:4" x14ac:dyDescent="0.25">
      <c r="A5" s="2" t="s">
        <v>22</v>
      </c>
      <c r="B5" s="2"/>
      <c r="C5" s="2"/>
    </row>
    <row r="7" spans="1:4" x14ac:dyDescent="0.25">
      <c r="B7" s="7" t="s">
        <v>130</v>
      </c>
      <c r="C7" s="64">
        <v>50000</v>
      </c>
      <c r="D7" s="7" t="s">
        <v>142</v>
      </c>
    </row>
    <row r="8" spans="1:4" x14ac:dyDescent="0.25">
      <c r="B8" s="7" t="s">
        <v>139</v>
      </c>
      <c r="C8" s="64">
        <f>100000</f>
        <v>100000</v>
      </c>
      <c r="D8" s="7" t="s">
        <v>142</v>
      </c>
    </row>
    <row r="9" spans="1:4" x14ac:dyDescent="0.25">
      <c r="B9" s="7" t="s">
        <v>140</v>
      </c>
      <c r="C9" s="64">
        <f>-C7</f>
        <v>-50000</v>
      </c>
      <c r="D9" s="7" t="s">
        <v>96</v>
      </c>
    </row>
    <row r="10" spans="1:4" ht="15.75" thickBot="1" x14ac:dyDescent="0.3">
      <c r="B10" s="7" t="s">
        <v>141</v>
      </c>
      <c r="C10" s="65">
        <f>-C8</f>
        <v>-100000</v>
      </c>
      <c r="D10" s="58" t="s">
        <v>128</v>
      </c>
    </row>
    <row r="11" spans="1:4" ht="15.75" thickBot="1" x14ac:dyDescent="0.3">
      <c r="C11" s="66">
        <f>SUM(C7:C10)</f>
        <v>0</v>
      </c>
      <c r="D11" s="67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6"/>
  <sheetViews>
    <sheetView topLeftCell="C1" workbookViewId="0">
      <selection activeCell="K25" sqref="K25"/>
    </sheetView>
  </sheetViews>
  <sheetFormatPr baseColWidth="10" defaultColWidth="9.140625" defaultRowHeight="13.5" x14ac:dyDescent="0.25"/>
  <cols>
    <col min="1" max="1" width="9.140625" style="2"/>
    <col min="2" max="2" width="45.140625" style="2" customWidth="1"/>
    <col min="3" max="4" width="9.140625" style="2"/>
    <col min="5" max="5" width="24.5703125" style="2" customWidth="1"/>
    <col min="6" max="9" width="9.140625" style="2"/>
    <col min="10" max="10" width="33" style="2" bestFit="1" customWidth="1"/>
    <col min="11" max="12" width="9.140625" style="2"/>
    <col min="13" max="13" width="23.28515625" style="2" bestFit="1" customWidth="1"/>
    <col min="14" max="16384" width="9.140625" style="2"/>
  </cols>
  <sheetData>
    <row r="1" spans="1:14" x14ac:dyDescent="0.25">
      <c r="A1" s="1" t="s">
        <v>43</v>
      </c>
    </row>
    <row r="2" spans="1:14" x14ac:dyDescent="0.25">
      <c r="A2" s="1"/>
      <c r="B2" s="2" t="s">
        <v>36</v>
      </c>
    </row>
    <row r="3" spans="1:14" x14ac:dyDescent="0.25">
      <c r="A3" s="1"/>
      <c r="B3" s="9" t="s">
        <v>84</v>
      </c>
    </row>
    <row r="4" spans="1:14" x14ac:dyDescent="0.25">
      <c r="A4" s="1"/>
      <c r="B4" s="13" t="s">
        <v>85</v>
      </c>
    </row>
    <row r="5" spans="1:14" x14ac:dyDescent="0.25">
      <c r="A5" s="1"/>
      <c r="B5" s="13" t="s">
        <v>86</v>
      </c>
    </row>
    <row r="6" spans="1:14" x14ac:dyDescent="0.25">
      <c r="A6" s="1"/>
      <c r="B6" s="13" t="s">
        <v>87</v>
      </c>
    </row>
    <row r="7" spans="1:14" x14ac:dyDescent="0.25">
      <c r="A7" s="1"/>
      <c r="B7" s="13" t="s">
        <v>88</v>
      </c>
    </row>
    <row r="8" spans="1:14" x14ac:dyDescent="0.25">
      <c r="A8" s="1"/>
      <c r="B8" s="9" t="s">
        <v>89</v>
      </c>
    </row>
    <row r="9" spans="1:14" x14ac:dyDescent="0.25">
      <c r="A9" s="1"/>
      <c r="B9" s="3" t="s">
        <v>90</v>
      </c>
    </row>
    <row r="10" spans="1:14" x14ac:dyDescent="0.25">
      <c r="A10" s="1"/>
    </row>
    <row r="11" spans="1:14" x14ac:dyDescent="0.25">
      <c r="J11" s="1" t="s">
        <v>42</v>
      </c>
      <c r="M11" s="1" t="s">
        <v>151</v>
      </c>
    </row>
    <row r="12" spans="1:14" x14ac:dyDescent="0.25">
      <c r="B12" s="1" t="s">
        <v>44</v>
      </c>
      <c r="C12" s="1"/>
      <c r="D12" s="1"/>
      <c r="E12" s="20" t="s">
        <v>45</v>
      </c>
      <c r="F12" s="21">
        <v>2014</v>
      </c>
      <c r="G12" s="21">
        <v>2015</v>
      </c>
      <c r="H12" s="20" t="s">
        <v>46</v>
      </c>
      <c r="J12" s="2" t="s">
        <v>68</v>
      </c>
      <c r="K12" s="22">
        <f>C24</f>
        <v>2210.34</v>
      </c>
      <c r="M12" s="2" t="s">
        <v>122</v>
      </c>
      <c r="N12" s="22">
        <f>C21</f>
        <v>-246</v>
      </c>
    </row>
    <row r="13" spans="1:14" x14ac:dyDescent="0.25">
      <c r="B13" s="2" t="s">
        <v>47</v>
      </c>
      <c r="C13" s="22">
        <v>23598</v>
      </c>
      <c r="E13" s="23" t="s">
        <v>48</v>
      </c>
      <c r="F13" s="24">
        <v>1163</v>
      </c>
      <c r="G13" s="24">
        <v>1011</v>
      </c>
      <c r="H13" s="24">
        <f>G13-F13</f>
        <v>-152</v>
      </c>
      <c r="J13" s="2" t="s">
        <v>55</v>
      </c>
      <c r="K13" s="22">
        <f>C17</f>
        <v>1052</v>
      </c>
      <c r="M13" s="2" t="s">
        <v>152</v>
      </c>
      <c r="N13" s="22">
        <f>H26</f>
        <v>-12</v>
      </c>
    </row>
    <row r="14" spans="1:14" x14ac:dyDescent="0.25">
      <c r="B14" s="2" t="s">
        <v>49</v>
      </c>
      <c r="C14" s="22">
        <v>11456</v>
      </c>
      <c r="E14" s="68" t="s">
        <v>50</v>
      </c>
      <c r="F14" s="69">
        <v>957</v>
      </c>
      <c r="G14" s="69">
        <v>1012</v>
      </c>
      <c r="H14" s="69">
        <f t="shared" ref="H14:H33" si="0">G14-F14</f>
        <v>55</v>
      </c>
      <c r="J14" s="74" t="s">
        <v>145</v>
      </c>
      <c r="L14" s="12"/>
      <c r="M14" s="2" t="s">
        <v>160</v>
      </c>
      <c r="N14" s="22">
        <f>H30</f>
        <v>-500</v>
      </c>
    </row>
    <row r="15" spans="1:14" x14ac:dyDescent="0.25">
      <c r="B15" s="1" t="s">
        <v>51</v>
      </c>
      <c r="C15" s="25">
        <f>C13-C14</f>
        <v>12142</v>
      </c>
      <c r="E15" s="68" t="s">
        <v>52</v>
      </c>
      <c r="F15" s="69">
        <v>3277</v>
      </c>
      <c r="G15" s="69">
        <v>3984</v>
      </c>
      <c r="H15" s="69">
        <f t="shared" si="0"/>
        <v>707</v>
      </c>
      <c r="J15" s="2" t="str">
        <f>E14</f>
        <v>Cuentas x Cobrar</v>
      </c>
      <c r="K15" s="22">
        <f>-H14</f>
        <v>-55</v>
      </c>
      <c r="L15" s="11"/>
      <c r="M15" s="2" t="s">
        <v>81</v>
      </c>
      <c r="N15" s="22">
        <f>H31</f>
        <v>-600</v>
      </c>
    </row>
    <row r="16" spans="1:14" x14ac:dyDescent="0.25">
      <c r="B16" s="2" t="s">
        <v>53</v>
      </c>
      <c r="C16" s="22">
        <v>4123</v>
      </c>
      <c r="E16" s="68" t="s">
        <v>54</v>
      </c>
      <c r="F16" s="69">
        <v>178</v>
      </c>
      <c r="G16" s="69">
        <v>155</v>
      </c>
      <c r="H16" s="69">
        <f t="shared" si="0"/>
        <v>-23</v>
      </c>
      <c r="J16" s="2" t="str">
        <f>E15</f>
        <v>Inventario</v>
      </c>
      <c r="K16" s="22">
        <f>-H15</f>
        <v>-707</v>
      </c>
      <c r="L16" s="30"/>
      <c r="M16" s="2" t="s">
        <v>161</v>
      </c>
      <c r="N16" s="2">
        <f>-1120</f>
        <v>-1120</v>
      </c>
    </row>
    <row r="17" spans="1:14" x14ac:dyDescent="0.25">
      <c r="B17" s="2" t="s">
        <v>55</v>
      </c>
      <c r="C17" s="22">
        <v>1052</v>
      </c>
      <c r="E17" s="20" t="s">
        <v>56</v>
      </c>
      <c r="F17" s="26">
        <f>SUM(F13:F16)</f>
        <v>5575</v>
      </c>
      <c r="G17" s="26">
        <f>SUM(G13:G16)</f>
        <v>6162</v>
      </c>
      <c r="H17" s="26">
        <f t="shared" si="0"/>
        <v>587</v>
      </c>
      <c r="J17" s="2" t="str">
        <f>E16</f>
        <v>Gastos anticipados</v>
      </c>
      <c r="K17" s="22">
        <f>-H16</f>
        <v>23</v>
      </c>
      <c r="L17" s="30"/>
      <c r="M17" s="2" t="s">
        <v>151</v>
      </c>
      <c r="N17" s="22">
        <f>SUM(N12:N16)</f>
        <v>-2478</v>
      </c>
    </row>
    <row r="18" spans="1:14" x14ac:dyDescent="0.25">
      <c r="B18" s="2" t="s">
        <v>57</v>
      </c>
      <c r="C18" s="22">
        <v>3577</v>
      </c>
      <c r="E18" s="70" t="s">
        <v>58</v>
      </c>
      <c r="F18" s="71">
        <v>510</v>
      </c>
      <c r="G18" s="71">
        <v>510</v>
      </c>
      <c r="H18" s="71">
        <f t="shared" si="0"/>
        <v>0</v>
      </c>
      <c r="J18" s="2" t="str">
        <f>E24</f>
        <v>Cuentas x Pagar</v>
      </c>
      <c r="K18" s="22">
        <f>H24</f>
        <v>263</v>
      </c>
      <c r="L18" s="30"/>
    </row>
    <row r="19" spans="1:14" x14ac:dyDescent="0.25">
      <c r="B19" s="1" t="s">
        <v>59</v>
      </c>
      <c r="C19" s="25">
        <f>C15-SUM(C16:C18)</f>
        <v>3390</v>
      </c>
      <c r="D19" s="27"/>
      <c r="E19" s="70" t="s">
        <v>60</v>
      </c>
      <c r="F19" s="71">
        <v>3680</v>
      </c>
      <c r="G19" s="71">
        <v>3680</v>
      </c>
      <c r="H19" s="71">
        <f t="shared" si="0"/>
        <v>0</v>
      </c>
      <c r="J19" s="2" t="str">
        <f>E25</f>
        <v>Salarios x Pagar</v>
      </c>
      <c r="K19" s="22">
        <f>H25</f>
        <v>10</v>
      </c>
      <c r="L19" s="30"/>
    </row>
    <row r="20" spans="1:14" x14ac:dyDescent="0.25">
      <c r="B20" s="2" t="s">
        <v>61</v>
      </c>
      <c r="C20" s="22">
        <v>205</v>
      </c>
      <c r="E20" s="70" t="s">
        <v>62</v>
      </c>
      <c r="F20" s="71">
        <v>8555</v>
      </c>
      <c r="G20" s="71">
        <v>8798</v>
      </c>
      <c r="H20" s="71">
        <f t="shared" si="0"/>
        <v>243</v>
      </c>
      <c r="J20" s="2" t="str">
        <f>E27</f>
        <v>Impuestos x Pagar</v>
      </c>
      <c r="K20" s="22">
        <f>H27</f>
        <v>5</v>
      </c>
      <c r="L20" s="11"/>
    </row>
    <row r="21" spans="1:14" x14ac:dyDescent="0.25">
      <c r="B21" s="2" t="s">
        <v>63</v>
      </c>
      <c r="C21" s="22">
        <v>-246</v>
      </c>
      <c r="E21" s="23" t="s">
        <v>64</v>
      </c>
      <c r="F21" s="24">
        <v>-2891</v>
      </c>
      <c r="G21" s="24">
        <v>-3443</v>
      </c>
      <c r="H21" s="24">
        <f t="shared" si="0"/>
        <v>-552</v>
      </c>
      <c r="I21" s="2" t="s">
        <v>144</v>
      </c>
      <c r="J21" s="2" t="str">
        <f>E28</f>
        <v>Otras provisones</v>
      </c>
      <c r="K21" s="22">
        <f>H28</f>
        <v>22</v>
      </c>
      <c r="L21" s="28"/>
    </row>
    <row r="22" spans="1:14" x14ac:dyDescent="0.25">
      <c r="B22" s="1" t="s">
        <v>65</v>
      </c>
      <c r="C22" s="25">
        <f>SUM(C19:C21)</f>
        <v>3349</v>
      </c>
      <c r="E22" s="20" t="s">
        <v>66</v>
      </c>
      <c r="F22" s="26">
        <f>SUM(F17:F21)</f>
        <v>15429</v>
      </c>
      <c r="G22" s="26">
        <f>SUM(G17:G21)</f>
        <v>15707</v>
      </c>
      <c r="H22" s="26">
        <f t="shared" si="0"/>
        <v>278</v>
      </c>
    </row>
    <row r="23" spans="1:14" ht="14.25" thickBot="1" x14ac:dyDescent="0.3">
      <c r="B23" s="2" t="s">
        <v>67</v>
      </c>
      <c r="C23" s="22">
        <f>C22*0.34</f>
        <v>1138.6600000000001</v>
      </c>
      <c r="E23" s="23"/>
      <c r="F23" s="24"/>
      <c r="G23" s="24"/>
      <c r="H23" s="24"/>
      <c r="J23" s="74" t="s">
        <v>146</v>
      </c>
    </row>
    <row r="24" spans="1:14" x14ac:dyDescent="0.25">
      <c r="B24" s="1" t="s">
        <v>68</v>
      </c>
      <c r="C24" s="25">
        <f>C22-C23</f>
        <v>2210.34</v>
      </c>
      <c r="E24" s="68" t="s">
        <v>69</v>
      </c>
      <c r="F24" s="69">
        <v>3325</v>
      </c>
      <c r="G24" s="69">
        <v>3588</v>
      </c>
      <c r="H24" s="69">
        <f t="shared" si="0"/>
        <v>263</v>
      </c>
      <c r="J24" s="2" t="s">
        <v>147</v>
      </c>
      <c r="K24" s="22">
        <f>-C21</f>
        <v>246</v>
      </c>
      <c r="M24" s="87" t="s">
        <v>168</v>
      </c>
    </row>
    <row r="25" spans="1:14" ht="14.25" thickBot="1" x14ac:dyDescent="0.3">
      <c r="E25" s="68" t="s">
        <v>70</v>
      </c>
      <c r="F25" s="69">
        <v>75</v>
      </c>
      <c r="G25" s="69">
        <v>85</v>
      </c>
      <c r="H25" s="69">
        <f t="shared" si="0"/>
        <v>10</v>
      </c>
      <c r="J25" s="2" t="s">
        <v>169</v>
      </c>
      <c r="K25" s="2">
        <v>-205</v>
      </c>
      <c r="M25" s="88">
        <f>K26+K32+N17</f>
        <v>-151.65999999999985</v>
      </c>
      <c r="N25" s="22"/>
    </row>
    <row r="26" spans="1:14" x14ac:dyDescent="0.25">
      <c r="E26" s="70" t="s">
        <v>71</v>
      </c>
      <c r="F26" s="71">
        <v>74</v>
      </c>
      <c r="G26" s="71">
        <v>62</v>
      </c>
      <c r="H26" s="71">
        <f t="shared" si="0"/>
        <v>-12</v>
      </c>
      <c r="J26" s="2" t="s">
        <v>42</v>
      </c>
      <c r="K26" s="22">
        <f>SUM(K12:K25)</f>
        <v>2864.34</v>
      </c>
    </row>
    <row r="27" spans="1:14" x14ac:dyDescent="0.25">
      <c r="B27" s="1" t="s">
        <v>72</v>
      </c>
      <c r="E27" s="68" t="s">
        <v>73</v>
      </c>
      <c r="F27" s="69">
        <v>50</v>
      </c>
      <c r="G27" s="69">
        <v>55</v>
      </c>
      <c r="H27" s="69">
        <f t="shared" si="0"/>
        <v>5</v>
      </c>
    </row>
    <row r="28" spans="1:14" x14ac:dyDescent="0.25">
      <c r="A28" s="31"/>
      <c r="B28" s="2" t="s">
        <v>74</v>
      </c>
      <c r="E28" s="68" t="s">
        <v>75</v>
      </c>
      <c r="F28" s="69">
        <v>1104</v>
      </c>
      <c r="G28" s="69">
        <v>1126</v>
      </c>
      <c r="H28" s="69">
        <f t="shared" si="0"/>
        <v>22</v>
      </c>
    </row>
    <row r="29" spans="1:14" x14ac:dyDescent="0.25">
      <c r="B29" s="2" t="s">
        <v>76</v>
      </c>
      <c r="C29" s="2">
        <v>1300</v>
      </c>
      <c r="E29" s="20" t="s">
        <v>77</v>
      </c>
      <c r="F29" s="26">
        <f>SUM(F24:F28)</f>
        <v>4628</v>
      </c>
      <c r="G29" s="26">
        <f>SUM(G24:G28)</f>
        <v>4916</v>
      </c>
      <c r="H29" s="26">
        <f t="shared" si="0"/>
        <v>288</v>
      </c>
      <c r="J29" s="1" t="s">
        <v>148</v>
      </c>
    </row>
    <row r="30" spans="1:14" x14ac:dyDescent="0.25">
      <c r="B30" s="2" t="s">
        <v>78</v>
      </c>
      <c r="E30" s="72" t="s">
        <v>79</v>
      </c>
      <c r="F30" s="73">
        <v>3575</v>
      </c>
      <c r="G30" s="73">
        <v>3075</v>
      </c>
      <c r="H30" s="73">
        <f t="shared" si="0"/>
        <v>-500</v>
      </c>
      <c r="J30" s="2" t="s">
        <v>149</v>
      </c>
      <c r="K30" s="2">
        <f>-1300</f>
        <v>-1300</v>
      </c>
    </row>
    <row r="31" spans="1:14" x14ac:dyDescent="0.25">
      <c r="B31" s="2" t="s">
        <v>80</v>
      </c>
      <c r="C31" s="2">
        <v>205</v>
      </c>
      <c r="E31" s="72" t="s">
        <v>81</v>
      </c>
      <c r="F31" s="73">
        <v>4350</v>
      </c>
      <c r="G31" s="73">
        <v>3750</v>
      </c>
      <c r="H31" s="73">
        <f t="shared" si="0"/>
        <v>-600</v>
      </c>
      <c r="J31" s="2" t="s">
        <v>150</v>
      </c>
      <c r="K31" s="2">
        <v>762</v>
      </c>
    </row>
    <row r="32" spans="1:14" x14ac:dyDescent="0.25">
      <c r="E32" s="23" t="s">
        <v>82</v>
      </c>
      <c r="F32" s="24">
        <v>2876</v>
      </c>
      <c r="G32" s="24">
        <v>3966</v>
      </c>
      <c r="H32" s="24">
        <f t="shared" si="0"/>
        <v>1090</v>
      </c>
      <c r="I32" s="2" t="s">
        <v>144</v>
      </c>
      <c r="J32" s="2" t="s">
        <v>148</v>
      </c>
      <c r="K32" s="2">
        <f>K31+K30</f>
        <v>-538</v>
      </c>
    </row>
    <row r="33" spans="5:12" x14ac:dyDescent="0.25">
      <c r="E33" s="20" t="s">
        <v>83</v>
      </c>
      <c r="F33" s="26">
        <f>SUM(F29:F32)</f>
        <v>15429</v>
      </c>
      <c r="G33" s="26">
        <f>SUM(G29:G32)</f>
        <v>15707</v>
      </c>
      <c r="H33" s="26">
        <f t="shared" si="0"/>
        <v>278</v>
      </c>
    </row>
    <row r="34" spans="5:12" ht="14.25" thickBot="1" x14ac:dyDescent="0.3">
      <c r="E34" s="20"/>
      <c r="F34" s="26"/>
      <c r="G34" s="26"/>
      <c r="H34" s="26"/>
    </row>
    <row r="35" spans="5:12" x14ac:dyDescent="0.25">
      <c r="E35" s="23"/>
      <c r="J35" s="86" t="s">
        <v>114</v>
      </c>
      <c r="K35" s="76"/>
      <c r="L35" s="77"/>
    </row>
    <row r="36" spans="5:12" x14ac:dyDescent="0.25">
      <c r="J36" s="78" t="s">
        <v>153</v>
      </c>
      <c r="K36" s="79">
        <f>F20</f>
        <v>8555</v>
      </c>
      <c r="L36" s="80"/>
    </row>
    <row r="37" spans="5:12" x14ac:dyDescent="0.25">
      <c r="J37" s="78" t="s">
        <v>154</v>
      </c>
      <c r="K37" s="81">
        <f>C29</f>
        <v>1300</v>
      </c>
      <c r="L37" s="80"/>
    </row>
    <row r="38" spans="5:12" x14ac:dyDescent="0.25">
      <c r="J38" s="78" t="s">
        <v>47</v>
      </c>
      <c r="K38" s="81"/>
      <c r="L38" s="82">
        <f>K36+K37-K39</f>
        <v>1057</v>
      </c>
    </row>
    <row r="39" spans="5:12" ht="14.25" thickBot="1" x14ac:dyDescent="0.3">
      <c r="J39" s="83" t="s">
        <v>155</v>
      </c>
      <c r="K39" s="84">
        <f>G20</f>
        <v>8798</v>
      </c>
      <c r="L39" s="85"/>
    </row>
    <row r="40" spans="5:12" x14ac:dyDescent="0.25">
      <c r="J40" s="86" t="s">
        <v>156</v>
      </c>
      <c r="K40" s="76"/>
      <c r="L40" s="77"/>
    </row>
    <row r="41" spans="5:12" x14ac:dyDescent="0.25">
      <c r="J41" s="78" t="s">
        <v>157</v>
      </c>
      <c r="K41" s="79">
        <f>-F21</f>
        <v>2891</v>
      </c>
      <c r="L41" s="80"/>
    </row>
    <row r="42" spans="5:12" x14ac:dyDescent="0.25">
      <c r="J42" s="78" t="s">
        <v>158</v>
      </c>
      <c r="K42" s="79">
        <f>C17</f>
        <v>1052</v>
      </c>
      <c r="L42" s="80"/>
    </row>
    <row r="43" spans="5:12" x14ac:dyDescent="0.25">
      <c r="J43" s="78" t="s">
        <v>159</v>
      </c>
      <c r="K43" s="81"/>
      <c r="L43" s="82">
        <f>K41+K42-K44</f>
        <v>500</v>
      </c>
    </row>
    <row r="44" spans="5:12" ht="14.25" thickBot="1" x14ac:dyDescent="0.3">
      <c r="J44" s="83" t="s">
        <v>155</v>
      </c>
      <c r="K44" s="84">
        <f>-G21</f>
        <v>3443</v>
      </c>
      <c r="L44" s="85"/>
    </row>
    <row r="45" spans="5:12" x14ac:dyDescent="0.25">
      <c r="J45" s="86" t="s">
        <v>162</v>
      </c>
      <c r="K45" s="76"/>
      <c r="L45" s="77"/>
    </row>
    <row r="46" spans="5:12" x14ac:dyDescent="0.25">
      <c r="J46" s="78" t="s">
        <v>163</v>
      </c>
      <c r="K46" s="81">
        <v>1057</v>
      </c>
      <c r="L46" s="80"/>
    </row>
    <row r="47" spans="5:12" x14ac:dyDescent="0.25">
      <c r="J47" s="78" t="s">
        <v>164</v>
      </c>
      <c r="K47" s="81">
        <v>-500</v>
      </c>
      <c r="L47" s="80"/>
    </row>
    <row r="48" spans="5:12" ht="14.25" thickBot="1" x14ac:dyDescent="0.3">
      <c r="J48" s="83" t="s">
        <v>165</v>
      </c>
      <c r="K48" s="89">
        <f>K46+K47</f>
        <v>557</v>
      </c>
      <c r="L48" s="85"/>
    </row>
    <row r="49" spans="10:12" x14ac:dyDescent="0.25">
      <c r="J49" s="75"/>
      <c r="K49" s="76"/>
      <c r="L49" s="77"/>
    </row>
    <row r="50" spans="10:12" x14ac:dyDescent="0.25">
      <c r="J50" s="78" t="s">
        <v>166</v>
      </c>
      <c r="K50" s="81">
        <v>205</v>
      </c>
      <c r="L50" s="80"/>
    </row>
    <row r="51" spans="10:12" ht="14.25" thickBot="1" x14ac:dyDescent="0.3">
      <c r="J51" s="83" t="s">
        <v>167</v>
      </c>
      <c r="K51" s="89">
        <f>K48+K50</f>
        <v>762</v>
      </c>
      <c r="L51" s="85"/>
    </row>
    <row r="52" spans="10:12" x14ac:dyDescent="0.25">
      <c r="J52" s="86" t="s">
        <v>82</v>
      </c>
      <c r="K52" s="76"/>
      <c r="L52" s="77"/>
    </row>
    <row r="53" spans="10:12" x14ac:dyDescent="0.25">
      <c r="J53" s="78" t="s">
        <v>153</v>
      </c>
      <c r="K53" s="81">
        <v>2876</v>
      </c>
      <c r="L53" s="80"/>
    </row>
    <row r="54" spans="10:12" x14ac:dyDescent="0.25">
      <c r="J54" s="78" t="s">
        <v>68</v>
      </c>
      <c r="K54" s="81">
        <v>2210</v>
      </c>
      <c r="L54" s="80"/>
    </row>
    <row r="55" spans="10:12" x14ac:dyDescent="0.25">
      <c r="J55" s="78" t="s">
        <v>161</v>
      </c>
      <c r="K55" s="81"/>
      <c r="L55" s="80">
        <f>K53+K54-K56</f>
        <v>1120</v>
      </c>
    </row>
    <row r="56" spans="10:12" ht="14.25" thickBot="1" x14ac:dyDescent="0.3">
      <c r="J56" s="83" t="s">
        <v>170</v>
      </c>
      <c r="K56" s="89">
        <v>3966</v>
      </c>
      <c r="L56" s="8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69E7-2119-49EB-AF76-669C8398DD8D}">
  <dimension ref="A1:M42"/>
  <sheetViews>
    <sheetView tabSelected="1" topLeftCell="C31" workbookViewId="0">
      <selection activeCell="M18" sqref="M18"/>
    </sheetView>
  </sheetViews>
  <sheetFormatPr baseColWidth="10" defaultRowHeight="15" x14ac:dyDescent="0.25"/>
  <cols>
    <col min="2" max="2" width="46.85546875" customWidth="1"/>
    <col min="5" max="5" width="24.85546875" bestFit="1" customWidth="1"/>
    <col min="10" max="10" width="30.5703125" bestFit="1" customWidth="1"/>
    <col min="12" max="12" width="19.5703125" bestFit="1" customWidth="1"/>
  </cols>
  <sheetData>
    <row r="1" spans="1:13" x14ac:dyDescent="0.25">
      <c r="A1" s="1" t="s">
        <v>43</v>
      </c>
      <c r="B1" s="2"/>
      <c r="C1" s="2"/>
      <c r="D1" s="2"/>
      <c r="E1" s="2"/>
      <c r="F1" s="2"/>
      <c r="G1" s="2"/>
      <c r="H1" s="2"/>
    </row>
    <row r="2" spans="1:13" x14ac:dyDescent="0.25">
      <c r="A2" s="1"/>
      <c r="B2" s="2" t="s">
        <v>36</v>
      </c>
      <c r="C2" s="2"/>
      <c r="D2" s="2"/>
      <c r="E2" s="2"/>
      <c r="F2" s="2"/>
      <c r="G2" s="2"/>
      <c r="H2" s="2"/>
    </row>
    <row r="3" spans="1:13" x14ac:dyDescent="0.25">
      <c r="A3" s="1"/>
      <c r="B3" s="9" t="s">
        <v>84</v>
      </c>
      <c r="C3" s="2"/>
      <c r="D3" s="2"/>
      <c r="E3" s="2"/>
      <c r="F3" s="2"/>
      <c r="G3" s="2"/>
      <c r="H3" s="2"/>
    </row>
    <row r="4" spans="1:13" x14ac:dyDescent="0.25">
      <c r="A4" s="1"/>
      <c r="B4" s="13" t="s">
        <v>85</v>
      </c>
      <c r="C4" s="2"/>
      <c r="D4" s="2"/>
      <c r="E4" s="2"/>
      <c r="F4" s="2"/>
      <c r="G4" s="2"/>
      <c r="H4" s="2"/>
    </row>
    <row r="5" spans="1:13" x14ac:dyDescent="0.25">
      <c r="A5" s="1"/>
      <c r="B5" s="13" t="s">
        <v>86</v>
      </c>
      <c r="C5" s="2"/>
      <c r="D5" s="2"/>
      <c r="E5" s="2"/>
      <c r="F5" s="2"/>
      <c r="G5" s="2"/>
      <c r="H5" s="2"/>
    </row>
    <row r="6" spans="1:13" x14ac:dyDescent="0.25">
      <c r="A6" s="1"/>
      <c r="B6" s="13" t="s">
        <v>87</v>
      </c>
      <c r="C6" s="2"/>
      <c r="D6" s="2"/>
      <c r="E6" s="2"/>
      <c r="F6" s="2"/>
      <c r="G6" s="2"/>
      <c r="H6" s="2"/>
    </row>
    <row r="7" spans="1:13" x14ac:dyDescent="0.25">
      <c r="A7" s="1"/>
      <c r="B7" s="13" t="s">
        <v>88</v>
      </c>
      <c r="C7" s="2"/>
      <c r="D7" s="2"/>
      <c r="E7" s="2"/>
      <c r="F7" s="2"/>
      <c r="G7" s="2"/>
      <c r="H7" s="2"/>
    </row>
    <row r="8" spans="1:13" x14ac:dyDescent="0.25">
      <c r="A8" s="1"/>
      <c r="B8" s="9" t="s">
        <v>89</v>
      </c>
      <c r="C8" s="2"/>
      <c r="D8" s="2"/>
      <c r="E8" s="2"/>
      <c r="F8" s="2"/>
      <c r="G8" s="2"/>
      <c r="H8" s="2"/>
    </row>
    <row r="9" spans="1:13" x14ac:dyDescent="0.25">
      <c r="A9" s="1"/>
      <c r="B9" s="3" t="s">
        <v>90</v>
      </c>
      <c r="C9" s="2"/>
      <c r="D9" s="2"/>
      <c r="E9" s="2"/>
      <c r="F9" s="2"/>
      <c r="G9" s="2"/>
      <c r="H9" s="2"/>
      <c r="J9" s="93" t="s">
        <v>42</v>
      </c>
      <c r="K9" s="95"/>
      <c r="L9" s="93" t="s">
        <v>151</v>
      </c>
      <c r="M9" s="93"/>
    </row>
    <row r="10" spans="1:13" x14ac:dyDescent="0.25">
      <c r="A10" s="1"/>
      <c r="B10" s="2"/>
      <c r="C10" s="2"/>
      <c r="D10" s="2"/>
      <c r="E10" s="2"/>
      <c r="F10" s="2"/>
      <c r="G10" s="2"/>
      <c r="H10" s="2"/>
      <c r="J10" s="7" t="s">
        <v>68</v>
      </c>
      <c r="K10" s="96">
        <f>C24</f>
        <v>2210.34</v>
      </c>
      <c r="L10" s="7" t="s">
        <v>183</v>
      </c>
      <c r="M10" s="94">
        <f>H30</f>
        <v>-500</v>
      </c>
    </row>
    <row r="11" spans="1:13" x14ac:dyDescent="0.25">
      <c r="A11" s="2"/>
      <c r="B11" s="2"/>
      <c r="C11" s="2"/>
      <c r="D11" s="2"/>
      <c r="E11" s="2"/>
      <c r="F11" s="2"/>
      <c r="G11" s="2"/>
      <c r="H11" s="2"/>
      <c r="J11" s="7" t="s">
        <v>171</v>
      </c>
      <c r="K11" s="96">
        <f>C17</f>
        <v>1052</v>
      </c>
      <c r="L11" s="7" t="s">
        <v>81</v>
      </c>
      <c r="M11" s="94">
        <f>H31</f>
        <v>-600</v>
      </c>
    </row>
    <row r="12" spans="1:13" x14ac:dyDescent="0.25">
      <c r="A12" s="2"/>
      <c r="B12" s="1" t="s">
        <v>44</v>
      </c>
      <c r="C12" s="1"/>
      <c r="D12" s="1"/>
      <c r="E12" s="20" t="s">
        <v>45</v>
      </c>
      <c r="F12" s="21">
        <v>2014</v>
      </c>
      <c r="G12" s="21">
        <v>2015</v>
      </c>
      <c r="H12" s="20" t="s">
        <v>46</v>
      </c>
      <c r="J12" s="7" t="s">
        <v>172</v>
      </c>
      <c r="K12" s="97"/>
      <c r="L12" s="7" t="s">
        <v>184</v>
      </c>
      <c r="M12" s="94">
        <f>H41</f>
        <v>-1120.3400000000001</v>
      </c>
    </row>
    <row r="13" spans="1:13" x14ac:dyDescent="0.25">
      <c r="A13" s="2"/>
      <c r="B13" s="2" t="s">
        <v>47</v>
      </c>
      <c r="C13" s="22">
        <v>23598</v>
      </c>
      <c r="D13" s="2"/>
      <c r="E13" s="91" t="s">
        <v>48</v>
      </c>
      <c r="F13" s="92">
        <v>1163</v>
      </c>
      <c r="G13" s="92">
        <v>1011</v>
      </c>
      <c r="H13" s="92">
        <f>G13-F13</f>
        <v>-152</v>
      </c>
      <c r="J13" s="7" t="str">
        <f>E14</f>
        <v>Cuentas x Cobrar</v>
      </c>
      <c r="K13" s="96">
        <f>-H14</f>
        <v>-55</v>
      </c>
      <c r="L13" s="7" t="s">
        <v>187</v>
      </c>
      <c r="M13" s="94">
        <f>-K21</f>
        <v>-246</v>
      </c>
    </row>
    <row r="14" spans="1:13" x14ac:dyDescent="0.25">
      <c r="A14" s="2"/>
      <c r="B14" s="2" t="s">
        <v>49</v>
      </c>
      <c r="C14" s="22">
        <v>11456</v>
      </c>
      <c r="D14" s="2"/>
      <c r="E14" s="68" t="s">
        <v>50</v>
      </c>
      <c r="F14" s="69">
        <v>957</v>
      </c>
      <c r="G14" s="69">
        <v>1012</v>
      </c>
      <c r="H14" s="69">
        <f t="shared" ref="H14:H33" si="0">G14-F14</f>
        <v>55</v>
      </c>
      <c r="J14" s="7" t="str">
        <f t="shared" ref="J14:J15" si="1">E15</f>
        <v>Inventario</v>
      </c>
      <c r="K14" s="96">
        <f>-H15</f>
        <v>-707</v>
      </c>
      <c r="L14" s="7" t="s">
        <v>188</v>
      </c>
      <c r="M14" s="94">
        <f>H26</f>
        <v>-12</v>
      </c>
    </row>
    <row r="15" spans="1:13" x14ac:dyDescent="0.25">
      <c r="A15" s="2"/>
      <c r="B15" s="1" t="s">
        <v>51</v>
      </c>
      <c r="C15" s="25">
        <f>C13-C14</f>
        <v>12142</v>
      </c>
      <c r="D15" s="2"/>
      <c r="E15" s="68" t="s">
        <v>52</v>
      </c>
      <c r="F15" s="69">
        <v>3277</v>
      </c>
      <c r="G15" s="69">
        <v>3984</v>
      </c>
      <c r="H15" s="69">
        <f t="shared" si="0"/>
        <v>707</v>
      </c>
      <c r="J15" s="7" t="str">
        <f t="shared" si="1"/>
        <v>Gastos anticipados</v>
      </c>
      <c r="K15" s="94">
        <f>-H16</f>
        <v>23</v>
      </c>
      <c r="M15" s="94">
        <f>SUM(M10:M14)</f>
        <v>-2478.34</v>
      </c>
    </row>
    <row r="16" spans="1:13" x14ac:dyDescent="0.25">
      <c r="A16" s="2"/>
      <c r="B16" s="2" t="s">
        <v>53</v>
      </c>
      <c r="C16" s="22">
        <v>4123</v>
      </c>
      <c r="D16" s="2"/>
      <c r="E16" s="68" t="s">
        <v>54</v>
      </c>
      <c r="F16" s="69">
        <v>178</v>
      </c>
      <c r="G16" s="69">
        <v>155</v>
      </c>
      <c r="H16" s="69">
        <f t="shared" si="0"/>
        <v>-23</v>
      </c>
      <c r="J16" s="7" t="s">
        <v>173</v>
      </c>
      <c r="K16" s="94">
        <f>H24</f>
        <v>263</v>
      </c>
    </row>
    <row r="17" spans="1:13" x14ac:dyDescent="0.25">
      <c r="A17" s="2"/>
      <c r="B17" s="2" t="s">
        <v>55</v>
      </c>
      <c r="C17" s="22">
        <v>1052</v>
      </c>
      <c r="D17" s="2"/>
      <c r="E17" s="20" t="s">
        <v>56</v>
      </c>
      <c r="F17" s="26">
        <f>SUM(F13:F16)</f>
        <v>5575</v>
      </c>
      <c r="G17" s="26">
        <f>SUM(G13:G16)</f>
        <v>6162</v>
      </c>
      <c r="H17" s="26">
        <f t="shared" si="0"/>
        <v>587</v>
      </c>
      <c r="J17" s="7" t="s">
        <v>190</v>
      </c>
      <c r="K17" s="94">
        <f>-C31</f>
        <v>-205</v>
      </c>
    </row>
    <row r="18" spans="1:13" x14ac:dyDescent="0.25">
      <c r="A18" s="2"/>
      <c r="B18" s="2" t="s">
        <v>57</v>
      </c>
      <c r="C18" s="22">
        <v>3577</v>
      </c>
      <c r="D18" s="2"/>
      <c r="E18" s="70" t="s">
        <v>58</v>
      </c>
      <c r="F18" s="71">
        <v>510</v>
      </c>
      <c r="G18" s="71">
        <v>510</v>
      </c>
      <c r="H18" s="71">
        <f t="shared" si="0"/>
        <v>0</v>
      </c>
      <c r="J18" s="7" t="s">
        <v>174</v>
      </c>
      <c r="K18" s="94">
        <f>H25</f>
        <v>10</v>
      </c>
    </row>
    <row r="19" spans="1:13" x14ac:dyDescent="0.25">
      <c r="A19" s="2"/>
      <c r="B19" s="1" t="s">
        <v>59</v>
      </c>
      <c r="C19" s="25">
        <f>C15-SUM(C16:C18)</f>
        <v>3390</v>
      </c>
      <c r="D19" s="27"/>
      <c r="E19" s="70" t="s">
        <v>60</v>
      </c>
      <c r="F19" s="71">
        <v>3680</v>
      </c>
      <c r="G19" s="71">
        <v>3680</v>
      </c>
      <c r="H19" s="71">
        <f t="shared" si="0"/>
        <v>0</v>
      </c>
      <c r="J19" s="7" t="s">
        <v>175</v>
      </c>
      <c r="K19" s="94">
        <f>H27</f>
        <v>5</v>
      </c>
    </row>
    <row r="20" spans="1:13" x14ac:dyDescent="0.25">
      <c r="A20" s="2"/>
      <c r="B20" s="2" t="s">
        <v>61</v>
      </c>
      <c r="C20" s="22">
        <v>205</v>
      </c>
      <c r="D20" s="2"/>
      <c r="E20" s="70" t="s">
        <v>62</v>
      </c>
      <c r="F20" s="71">
        <v>8555</v>
      </c>
      <c r="G20" s="71">
        <v>8798</v>
      </c>
      <c r="H20" s="71">
        <f t="shared" si="0"/>
        <v>243</v>
      </c>
      <c r="J20" s="7" t="s">
        <v>176</v>
      </c>
      <c r="K20" s="94">
        <f>H28</f>
        <v>22</v>
      </c>
    </row>
    <row r="21" spans="1:13" x14ac:dyDescent="0.25">
      <c r="A21" s="2"/>
      <c r="B21" s="2" t="s">
        <v>63</v>
      </c>
      <c r="C21" s="22">
        <v>-246</v>
      </c>
      <c r="D21" s="2"/>
      <c r="E21" s="23" t="s">
        <v>64</v>
      </c>
      <c r="F21" s="24">
        <v>-2891</v>
      </c>
      <c r="G21" s="24">
        <v>-3443</v>
      </c>
      <c r="H21" s="24">
        <f t="shared" si="0"/>
        <v>-552</v>
      </c>
      <c r="J21" s="7" t="s">
        <v>177</v>
      </c>
      <c r="K21" s="94">
        <f>-C21</f>
        <v>246</v>
      </c>
    </row>
    <row r="22" spans="1:13" x14ac:dyDescent="0.25">
      <c r="A22" s="2"/>
      <c r="B22" s="1" t="s">
        <v>65</v>
      </c>
      <c r="C22" s="25">
        <f>SUM(C19:C21)</f>
        <v>3349</v>
      </c>
      <c r="D22" s="2"/>
      <c r="E22" s="20" t="s">
        <v>66</v>
      </c>
      <c r="F22" s="26">
        <f>SUM(F17:F21)</f>
        <v>15429</v>
      </c>
      <c r="G22" s="26">
        <f>SUM(G17:G21)</f>
        <v>15707</v>
      </c>
      <c r="H22" s="26">
        <f t="shared" si="0"/>
        <v>278</v>
      </c>
      <c r="K22" s="94">
        <f>SUM(K10:K21)</f>
        <v>2864.34</v>
      </c>
      <c r="M22" s="90">
        <f>K22+K29+M15</f>
        <v>-152</v>
      </c>
    </row>
    <row r="23" spans="1:13" x14ac:dyDescent="0.25">
      <c r="A23" s="2"/>
      <c r="B23" s="2" t="s">
        <v>67</v>
      </c>
      <c r="C23" s="22">
        <f>C22*0.34</f>
        <v>1138.6600000000001</v>
      </c>
      <c r="D23" s="2"/>
      <c r="E23" s="23"/>
      <c r="F23" s="24"/>
      <c r="G23" s="24"/>
      <c r="H23" s="24"/>
    </row>
    <row r="24" spans="1:13" x14ac:dyDescent="0.25">
      <c r="A24" s="2"/>
      <c r="B24" s="1" t="s">
        <v>68</v>
      </c>
      <c r="C24" s="25">
        <f>C22-C23</f>
        <v>2210.34</v>
      </c>
      <c r="D24" s="2"/>
      <c r="E24" s="68" t="s">
        <v>69</v>
      </c>
      <c r="F24" s="69">
        <v>3325</v>
      </c>
      <c r="G24" s="69">
        <v>3588</v>
      </c>
      <c r="H24" s="69">
        <f t="shared" si="0"/>
        <v>263</v>
      </c>
      <c r="J24" s="93" t="s">
        <v>178</v>
      </c>
      <c r="K24" s="93"/>
    </row>
    <row r="25" spans="1:13" x14ac:dyDescent="0.25">
      <c r="A25" s="2"/>
      <c r="B25" s="2"/>
      <c r="C25" s="2"/>
      <c r="D25" s="2"/>
      <c r="E25" s="68" t="s">
        <v>70</v>
      </c>
      <c r="F25" s="69">
        <v>75</v>
      </c>
      <c r="G25" s="69">
        <v>85</v>
      </c>
      <c r="H25" s="69">
        <f t="shared" si="0"/>
        <v>10</v>
      </c>
      <c r="J25" s="7" t="s">
        <v>167</v>
      </c>
      <c r="K25" s="94">
        <f>F42</f>
        <v>762</v>
      </c>
    </row>
    <row r="26" spans="1:13" x14ac:dyDescent="0.25">
      <c r="A26" s="2"/>
      <c r="B26" s="2"/>
      <c r="C26" s="2"/>
      <c r="D26" s="2"/>
      <c r="E26" s="70" t="s">
        <v>71</v>
      </c>
      <c r="F26" s="71">
        <v>74</v>
      </c>
      <c r="G26" s="71">
        <v>62</v>
      </c>
      <c r="H26" s="71">
        <f t="shared" si="0"/>
        <v>-12</v>
      </c>
      <c r="J26" s="7" t="s">
        <v>189</v>
      </c>
      <c r="K26" s="94">
        <f>-C29</f>
        <v>-1300</v>
      </c>
    </row>
    <row r="27" spans="1:13" x14ac:dyDescent="0.25">
      <c r="A27" s="2"/>
      <c r="B27" s="1" t="s">
        <v>72</v>
      </c>
      <c r="C27" s="2"/>
      <c r="D27" s="2"/>
      <c r="E27" s="68" t="s">
        <v>73</v>
      </c>
      <c r="F27" s="69">
        <v>50</v>
      </c>
      <c r="G27" s="69">
        <v>55</v>
      </c>
      <c r="H27" s="69">
        <f t="shared" si="0"/>
        <v>5</v>
      </c>
      <c r="J27" s="7" t="s">
        <v>58</v>
      </c>
      <c r="K27" s="7">
        <v>0</v>
      </c>
    </row>
    <row r="28" spans="1:13" x14ac:dyDescent="0.25">
      <c r="A28" s="31"/>
      <c r="B28" s="2" t="s">
        <v>74</v>
      </c>
      <c r="C28" s="2"/>
      <c r="D28" s="2"/>
      <c r="E28" s="68" t="s">
        <v>75</v>
      </c>
      <c r="F28" s="69">
        <v>1104</v>
      </c>
      <c r="G28" s="69">
        <v>1126</v>
      </c>
      <c r="H28" s="69">
        <f t="shared" si="0"/>
        <v>22</v>
      </c>
      <c r="J28" s="7" t="s">
        <v>60</v>
      </c>
      <c r="K28" s="7">
        <v>0</v>
      </c>
    </row>
    <row r="29" spans="1:13" x14ac:dyDescent="0.25">
      <c r="A29" s="2"/>
      <c r="B29" s="2" t="s">
        <v>76</v>
      </c>
      <c r="C29" s="2">
        <v>1300</v>
      </c>
      <c r="D29" s="2"/>
      <c r="E29" s="20" t="s">
        <v>77</v>
      </c>
      <c r="F29" s="26">
        <f>SUM(F24:F28)</f>
        <v>4628</v>
      </c>
      <c r="G29" s="26">
        <f>SUM(G24:G28)</f>
        <v>4916</v>
      </c>
      <c r="H29" s="26">
        <f t="shared" si="0"/>
        <v>288</v>
      </c>
      <c r="K29" s="94">
        <f>SUM(K25:K28)</f>
        <v>-538</v>
      </c>
    </row>
    <row r="30" spans="1:13" x14ac:dyDescent="0.25">
      <c r="A30" s="2"/>
      <c r="B30" s="2" t="s">
        <v>78</v>
      </c>
      <c r="C30" s="2"/>
      <c r="D30" s="2"/>
      <c r="E30" s="72" t="s">
        <v>79</v>
      </c>
      <c r="F30" s="73">
        <v>3575</v>
      </c>
      <c r="G30" s="73">
        <v>3075</v>
      </c>
      <c r="H30" s="73">
        <f t="shared" si="0"/>
        <v>-500</v>
      </c>
    </row>
    <row r="31" spans="1:13" x14ac:dyDescent="0.25">
      <c r="A31" s="2"/>
      <c r="B31" s="2" t="s">
        <v>80</v>
      </c>
      <c r="C31" s="2">
        <v>205</v>
      </c>
      <c r="D31" s="2"/>
      <c r="E31" s="72" t="s">
        <v>81</v>
      </c>
      <c r="F31" s="73">
        <v>4350</v>
      </c>
      <c r="G31" s="73">
        <v>3750</v>
      </c>
      <c r="H31" s="73">
        <f t="shared" si="0"/>
        <v>-600</v>
      </c>
    </row>
    <row r="32" spans="1:13" x14ac:dyDescent="0.25">
      <c r="A32" s="2"/>
      <c r="B32" s="2"/>
      <c r="C32" s="2"/>
      <c r="D32" s="2"/>
      <c r="E32" s="23" t="s">
        <v>82</v>
      </c>
      <c r="F32" s="24">
        <v>2876</v>
      </c>
      <c r="G32" s="24">
        <v>3966</v>
      </c>
      <c r="H32" s="24">
        <f t="shared" si="0"/>
        <v>1090</v>
      </c>
    </row>
    <row r="33" spans="1:8" x14ac:dyDescent="0.25">
      <c r="A33" s="2"/>
      <c r="B33" s="2"/>
      <c r="C33" s="2"/>
      <c r="D33" s="2"/>
      <c r="E33" s="20" t="s">
        <v>83</v>
      </c>
      <c r="F33" s="26">
        <f>SUM(F29:F32)</f>
        <v>15429</v>
      </c>
      <c r="G33" s="26">
        <f>SUM(G29:G32)</f>
        <v>15707</v>
      </c>
      <c r="H33" s="26">
        <f t="shared" si="0"/>
        <v>278</v>
      </c>
    </row>
    <row r="35" spans="1:8" x14ac:dyDescent="0.25">
      <c r="E35" t="s">
        <v>153</v>
      </c>
      <c r="F35" s="90">
        <f>F20</f>
        <v>8555</v>
      </c>
      <c r="G35" t="s">
        <v>118</v>
      </c>
      <c r="H35" s="90">
        <f>-F21</f>
        <v>2891</v>
      </c>
    </row>
    <row r="36" spans="1:8" x14ac:dyDescent="0.25">
      <c r="E36" t="s">
        <v>179</v>
      </c>
      <c r="F36">
        <f>C29</f>
        <v>1300</v>
      </c>
      <c r="G36" t="s">
        <v>180</v>
      </c>
      <c r="H36" s="90">
        <f>C17</f>
        <v>1052</v>
      </c>
    </row>
    <row r="37" spans="1:8" x14ac:dyDescent="0.25">
      <c r="E37" t="s">
        <v>47</v>
      </c>
      <c r="F37" s="90">
        <f>F38-F36-F35</f>
        <v>-1057</v>
      </c>
      <c r="G37" t="s">
        <v>181</v>
      </c>
      <c r="H37" s="90">
        <f>H38-H36-H35</f>
        <v>-500</v>
      </c>
    </row>
    <row r="38" spans="1:8" x14ac:dyDescent="0.25">
      <c r="E38" t="s">
        <v>170</v>
      </c>
      <c r="F38" s="90">
        <f>G20</f>
        <v>8798</v>
      </c>
      <c r="G38" t="s">
        <v>118</v>
      </c>
      <c r="H38" s="90">
        <f>-G21</f>
        <v>3443</v>
      </c>
    </row>
    <row r="39" spans="1:8" x14ac:dyDescent="0.25">
      <c r="E39" t="s">
        <v>47</v>
      </c>
      <c r="F39" s="90">
        <f>-F37</f>
        <v>1057</v>
      </c>
      <c r="G39" t="s">
        <v>185</v>
      </c>
      <c r="H39" s="90">
        <f>F32</f>
        <v>2876</v>
      </c>
    </row>
    <row r="40" spans="1:8" x14ac:dyDescent="0.25">
      <c r="E40" t="s">
        <v>118</v>
      </c>
      <c r="F40" s="90">
        <f>H37</f>
        <v>-500</v>
      </c>
      <c r="G40" t="s">
        <v>186</v>
      </c>
      <c r="H40" s="90">
        <f>C24</f>
        <v>2210.34</v>
      </c>
    </row>
    <row r="41" spans="1:8" x14ac:dyDescent="0.25">
      <c r="E41" t="s">
        <v>166</v>
      </c>
      <c r="F41">
        <f>C31</f>
        <v>205</v>
      </c>
      <c r="G41" t="s">
        <v>161</v>
      </c>
      <c r="H41" s="90">
        <f>H42-H40-H39</f>
        <v>-1120.3400000000001</v>
      </c>
    </row>
    <row r="42" spans="1:8" x14ac:dyDescent="0.25">
      <c r="E42" t="s">
        <v>182</v>
      </c>
      <c r="F42" s="90">
        <f>SUM(F39:F41)</f>
        <v>762</v>
      </c>
      <c r="G42" t="s">
        <v>155</v>
      </c>
      <c r="H42" s="90">
        <f>G32</f>
        <v>3966</v>
      </c>
    </row>
  </sheetData>
  <mergeCells count="3">
    <mergeCell ref="J9:K9"/>
    <mergeCell ref="J24:K24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Flujo S5</vt:lpstr>
      <vt:lpstr>P1</vt:lpstr>
      <vt:lpstr>P2</vt:lpstr>
      <vt:lpstr>P3</vt:lpstr>
      <vt:lpstr>P4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Sequeira</dc:creator>
  <cp:lastModifiedBy>Vinix</cp:lastModifiedBy>
  <dcterms:created xsi:type="dcterms:W3CDTF">2017-08-07T12:55:23Z</dcterms:created>
  <dcterms:modified xsi:type="dcterms:W3CDTF">2017-09-06T03:52:40Z</dcterms:modified>
</cp:coreProperties>
</file>