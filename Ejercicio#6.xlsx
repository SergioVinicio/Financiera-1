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15525" windowHeight="7365" activeTab="1" xr2:uid="{00000000-000D-0000-FFFF-FFFF00000000}"/>
  </bookViews>
  <sheets>
    <sheet name="Compañías" sheetId="7" r:id="rId1"/>
    <sheet name="A" sheetId="1" r:id="rId2"/>
    <sheet name="B" sheetId="3" r:id="rId3"/>
    <sheet name="C" sheetId="4" r:id="rId4"/>
    <sheet name="D" sheetId="5" r:id="rId5"/>
    <sheet name="E" sheetId="6" r:id="rId6"/>
    <sheet name="F" sheetId="8" r:id="rId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6" l="1"/>
  <c r="D12" i="4"/>
  <c r="D13" i="3"/>
  <c r="D12" i="3"/>
  <c r="D11" i="4"/>
  <c r="G5" i="5"/>
  <c r="D5" i="5"/>
  <c r="D11" i="6"/>
  <c r="D13" i="5"/>
  <c r="D10" i="4"/>
  <c r="D10" i="3"/>
  <c r="Z5" i="1"/>
  <c r="Y24" i="1"/>
  <c r="C29" i="8" l="1"/>
  <c r="C28" i="8"/>
  <c r="F22" i="8"/>
  <c r="C19" i="8"/>
  <c r="C10" i="8"/>
  <c r="F8" i="8"/>
  <c r="C29" i="6"/>
  <c r="C28" i="6"/>
  <c r="F22" i="6"/>
  <c r="F8" i="6"/>
  <c r="F15" i="6" s="1"/>
  <c r="F24" i="6" s="1"/>
  <c r="C9" i="6"/>
  <c r="C16" i="6" s="1"/>
  <c r="F15" i="8" l="1"/>
  <c r="F24" i="8" s="1"/>
  <c r="C21" i="8"/>
  <c r="C23" i="5" l="1"/>
  <c r="C22" i="5"/>
  <c r="F18" i="5"/>
  <c r="F13" i="5"/>
  <c r="C16" i="5"/>
  <c r="C27" i="4" l="1"/>
  <c r="F21" i="4"/>
  <c r="F7" i="4"/>
  <c r="F13" i="4" s="1"/>
  <c r="F23" i="4" s="1"/>
  <c r="C16" i="4"/>
  <c r="C8" i="4"/>
  <c r="C24" i="3"/>
  <c r="C23" i="3"/>
  <c r="F19" i="3"/>
  <c r="F17" i="3"/>
  <c r="F8" i="3"/>
  <c r="F12" i="3" s="1"/>
  <c r="C8" i="3"/>
  <c r="C19" i="3" s="1"/>
  <c r="Y25" i="1"/>
  <c r="Y19" i="1"/>
  <c r="AB17" i="1"/>
  <c r="AB19" i="1" s="1"/>
  <c r="AB11" i="1"/>
  <c r="AB7" i="1"/>
  <c r="D6" i="4" l="1"/>
  <c r="Z9" i="1"/>
  <c r="Z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Gabriela Sequeira</author>
  </authors>
  <commentList>
    <comment ref="X4" authorId="0" shapeId="0" xr:uid="{00000000-0006-0000-0100-000001000000}">
      <text>
        <r>
          <rPr>
            <sz val="9"/>
            <color indexed="81"/>
            <rFont val="Tahoma"/>
            <family val="2"/>
          </rPr>
          <t>Brands
Customer relations
Leashold and similar rights
Capitalised expenditure
Goodwill</t>
        </r>
      </text>
    </comment>
  </commentList>
</comments>
</file>

<file path=xl/sharedStrings.xml><?xml version="1.0" encoding="utf-8"?>
<sst xmlns="http://schemas.openxmlformats.org/spreadsheetml/2006/main" count="222" uniqueCount="171">
  <si>
    <t>Accounts payable</t>
  </si>
  <si>
    <t>Inventories</t>
  </si>
  <si>
    <t>PP&amp;E</t>
  </si>
  <si>
    <t>Fi</t>
  </si>
  <si>
    <t>Intangible fixed assets</t>
  </si>
  <si>
    <t>Financial fixed assets</t>
  </si>
  <si>
    <t>Stock in trade</t>
  </si>
  <si>
    <t>Accounts receivables</t>
  </si>
  <si>
    <t>Accounts receivable</t>
  </si>
  <si>
    <t>Tax receivables</t>
  </si>
  <si>
    <t>Other receivables</t>
  </si>
  <si>
    <t>Prepaid expenses</t>
  </si>
  <si>
    <t>Cash and equivalents</t>
  </si>
  <si>
    <t>Total Assets</t>
  </si>
  <si>
    <t>Share Capital</t>
  </si>
  <si>
    <t>Reserves</t>
  </si>
  <si>
    <t>Retained Earnings</t>
  </si>
  <si>
    <t>Equity</t>
  </si>
  <si>
    <t>Provisions for pensions</t>
  </si>
  <si>
    <t>Deferred tax liabilities</t>
  </si>
  <si>
    <t>Tax liabilities</t>
  </si>
  <si>
    <t>Other liabilities</t>
  </si>
  <si>
    <t>Accrued expenses and prepaid income</t>
  </si>
  <si>
    <t>Long term liabilities</t>
  </si>
  <si>
    <t>Current liabilities</t>
  </si>
  <si>
    <t>Total fixed assets</t>
  </si>
  <si>
    <t>Total current assets</t>
  </si>
  <si>
    <t>Total Equity and Liabilities</t>
  </si>
  <si>
    <t>Balance Sheet</t>
  </si>
  <si>
    <t>Income Statement</t>
  </si>
  <si>
    <t>Gross profit margin</t>
  </si>
  <si>
    <t>Operating margin</t>
  </si>
  <si>
    <t>Short term investments</t>
  </si>
  <si>
    <t>Prepaid expenses and other</t>
  </si>
  <si>
    <t>Property, plant &amp; Equipment, net</t>
  </si>
  <si>
    <t>Long-term investments</t>
  </si>
  <si>
    <t>Goodwill</t>
  </si>
  <si>
    <t>Intangible assets, net</t>
  </si>
  <si>
    <t>Other assets</t>
  </si>
  <si>
    <t>Total assets</t>
  </si>
  <si>
    <t>Accrued compensantion</t>
  </si>
  <si>
    <t>Accrued and other liabilities</t>
  </si>
  <si>
    <t>Deferred revenue</t>
  </si>
  <si>
    <t>Convertible senior notes, net</t>
  </si>
  <si>
    <t>Long term deferred revenue</t>
  </si>
  <si>
    <t>Total current liabilities</t>
  </si>
  <si>
    <t>Other long term liabilities</t>
  </si>
  <si>
    <t>Common stock</t>
  </si>
  <si>
    <t>Accumulated other comprehensive income</t>
  </si>
  <si>
    <t>Accumulated deficit</t>
  </si>
  <si>
    <t>Total stockholders' equity</t>
  </si>
  <si>
    <t>Total liabilities</t>
  </si>
  <si>
    <t>Total liabilities + equity</t>
  </si>
  <si>
    <t>Cash and cash equivalents</t>
  </si>
  <si>
    <t>Short-term investments</t>
  </si>
  <si>
    <t>Other current assets</t>
  </si>
  <si>
    <t>Property, plant &amp; equipment, net</t>
  </si>
  <si>
    <t>Deferred tax assets, net</t>
  </si>
  <si>
    <t>Accounts payable and accrued liabilities</t>
  </si>
  <si>
    <t>Current portion of long term debt</t>
  </si>
  <si>
    <t>Non current portion of deferred revenue</t>
  </si>
  <si>
    <t>Long-term debt</t>
  </si>
  <si>
    <t>Deferred tax liabilities, net</t>
  </si>
  <si>
    <t>Unrecognized tax benefits</t>
  </si>
  <si>
    <t>Capital surplus</t>
  </si>
  <si>
    <t>Retained earnings</t>
  </si>
  <si>
    <t>Treasury stock</t>
  </si>
  <si>
    <t>Accumulated other comprehensive loss</t>
  </si>
  <si>
    <t>Non controlling interest</t>
  </si>
  <si>
    <t>Total shareholders' deficit</t>
  </si>
  <si>
    <t>NA</t>
  </si>
  <si>
    <t>TOTAL ASSETS</t>
  </si>
  <si>
    <t>TOTAL LIABILITIES</t>
  </si>
  <si>
    <t>Shareholders' equity</t>
  </si>
  <si>
    <t>TOTAL STOCKHOLDERS' INVESTMENT</t>
  </si>
  <si>
    <t>LIABILITIES + STOCKHOLDERS' INVESTMENT</t>
  </si>
  <si>
    <t>Balance General</t>
  </si>
  <si>
    <t>Disponibilidades</t>
  </si>
  <si>
    <t>Inversiones, neto</t>
  </si>
  <si>
    <t>Créditos, neto</t>
  </si>
  <si>
    <t>Productos financieros x cobrar</t>
  </si>
  <si>
    <t>Cuentas x cobrar</t>
  </si>
  <si>
    <t>Bienes realizables, neto</t>
  </si>
  <si>
    <t>Inversiones permanentes, neto</t>
  </si>
  <si>
    <t>Otras inversiones</t>
  </si>
  <si>
    <t>Inmuebles y muebles</t>
  </si>
  <si>
    <t>Cargos diferidos, neto</t>
  </si>
  <si>
    <t>Plusvalía adquirida</t>
  </si>
  <si>
    <t>Total activos</t>
  </si>
  <si>
    <t>Obligaciones</t>
  </si>
  <si>
    <t>Créditos</t>
  </si>
  <si>
    <t>Obligaciones financieras</t>
  </si>
  <si>
    <t>Gastos financieros x pagar</t>
  </si>
  <si>
    <t>Cuentas x pagar</t>
  </si>
  <si>
    <t>Provisiones</t>
  </si>
  <si>
    <t>Créditos diferidos</t>
  </si>
  <si>
    <t>Otras obligaciones</t>
  </si>
  <si>
    <t>Total pasivo</t>
  </si>
  <si>
    <t>Otras cuentas acreedoras</t>
  </si>
  <si>
    <t>Capital contable</t>
  </si>
  <si>
    <t>Total pasivo + capital</t>
  </si>
  <si>
    <t>Estado de Resultados</t>
  </si>
  <si>
    <t>Margen bruto</t>
  </si>
  <si>
    <t>Margen operativo</t>
  </si>
  <si>
    <t>Receivables, less allowances</t>
  </si>
  <si>
    <t>Other accounts receivables</t>
  </si>
  <si>
    <t>Inventory, net</t>
  </si>
  <si>
    <t>Deferred income taxes</t>
  </si>
  <si>
    <t>Total current asets</t>
  </si>
  <si>
    <t>Property, Plant &amp; Equipment</t>
  </si>
  <si>
    <t>Investments in associates</t>
  </si>
  <si>
    <t>Other investments and non current accounts receivables</t>
  </si>
  <si>
    <t>Goodwill and intangible, net</t>
  </si>
  <si>
    <t>Other financial obligations</t>
  </si>
  <si>
    <t>Trade Payables</t>
  </si>
  <si>
    <t>Income tax payable</t>
  </si>
  <si>
    <t>Other accounts payable and accrued expenses</t>
  </si>
  <si>
    <t>Long Term Debt</t>
  </si>
  <si>
    <t>Pension, post retirement and other benefits</t>
  </si>
  <si>
    <t>Common stock and additional paid-in capital</t>
  </si>
  <si>
    <t>Other equity reserves</t>
  </si>
  <si>
    <t>Net loss</t>
  </si>
  <si>
    <t>Non-controlling interest and perpetual debentures</t>
  </si>
  <si>
    <t>Cemento</t>
  </si>
  <si>
    <t>Short term borrowings</t>
  </si>
  <si>
    <t>Trade and other payables</t>
  </si>
  <si>
    <t>Other intangible assets</t>
  </si>
  <si>
    <t>Derivative financial instruments</t>
  </si>
  <si>
    <t>Investments in associates and joint ventures</t>
  </si>
  <si>
    <t>Current tax payables</t>
  </si>
  <si>
    <t>Other investments</t>
  </si>
  <si>
    <t>Short term provisions</t>
  </si>
  <si>
    <t>Deferred tax assets</t>
  </si>
  <si>
    <t>Total current liabilites</t>
  </si>
  <si>
    <t>Other non current assets</t>
  </si>
  <si>
    <t>Total non current assets</t>
  </si>
  <si>
    <t>Long term borrowings</t>
  </si>
  <si>
    <t>Pension and other post-employment benefits</t>
  </si>
  <si>
    <t>Current tax recoverable</t>
  </si>
  <si>
    <t>Other provisions</t>
  </si>
  <si>
    <t>Trade and other receivables</t>
  </si>
  <si>
    <t>Other non current liabilities</t>
  </si>
  <si>
    <t>Liquid investments</t>
  </si>
  <si>
    <t>Assets held for sale</t>
  </si>
  <si>
    <t>Share capital</t>
  </si>
  <si>
    <t>Share premium account</t>
  </si>
  <si>
    <t>Other reserves</t>
  </si>
  <si>
    <t>Non controlling interests</t>
  </si>
  <si>
    <t>Total liabilites + equity</t>
  </si>
  <si>
    <t>Income statement</t>
  </si>
  <si>
    <t>Gross margin</t>
  </si>
  <si>
    <t>Operating profit</t>
  </si>
  <si>
    <t>Farmacéutica</t>
  </si>
  <si>
    <t>Sector</t>
  </si>
  <si>
    <t>Health Care</t>
  </si>
  <si>
    <t>Materials</t>
  </si>
  <si>
    <t>Financials</t>
  </si>
  <si>
    <t>Information Technology</t>
  </si>
  <si>
    <t>Consumer Discretionary</t>
  </si>
  <si>
    <t>Análisis de riesgo y mercados</t>
  </si>
  <si>
    <t>Tipo de negocio</t>
  </si>
  <si>
    <t>Banco</t>
  </si>
  <si>
    <t>Protección contra ataques cibernéticos</t>
  </si>
  <si>
    <t>Moda</t>
  </si>
  <si>
    <t>Services - Financials</t>
  </si>
  <si>
    <t xml:space="preserve">Se presentan los Balances Generales para 6 negocios distintos. </t>
  </si>
  <si>
    <t xml:space="preserve">Analizando la estructura del Balance y los márgenes indicados, indique que Balance corresponde a que negocio.  </t>
  </si>
  <si>
    <t>farmaceutica</t>
  </si>
  <si>
    <t>analistas de riesgos</t>
  </si>
  <si>
    <t>proteccion contra ataques cibernitcos</t>
  </si>
  <si>
    <t>operating profit es lo mismo que el 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</si>
</sst>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indexed="81"/>
      <name val="Tahoma"/>
      <family val="2"/>
    </font>
    <font>
      <i/>
      <sz val="10"/>
      <color theme="1"/>
      <name val="Century Gothic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/>
    <xf numFmtId="3" fontId="2" fillId="0" borderId="0" xfId="0" applyNumberFormat="1" applyFont="1"/>
    <xf numFmtId="9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wrapText="1"/>
    </xf>
    <xf numFmtId="3" fontId="2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Fill="1" applyAlignment="1">
      <alignment wrapText="1"/>
    </xf>
    <xf numFmtId="0" fontId="1" fillId="2" borderId="0" xfId="0" applyFont="1" applyFill="1"/>
    <xf numFmtId="9" fontId="1" fillId="0" borderId="0" xfId="1" applyFont="1"/>
    <xf numFmtId="0" fontId="1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3"/>
  <sheetViews>
    <sheetView workbookViewId="0">
      <selection activeCell="A5" sqref="A5"/>
    </sheetView>
  </sheetViews>
  <sheetFormatPr baseColWidth="10" defaultColWidth="13" defaultRowHeight="13.5" x14ac:dyDescent="0.25"/>
  <cols>
    <col min="1" max="1" width="55.28515625" style="1" bestFit="1" customWidth="1"/>
    <col min="2" max="2" width="23.140625" style="1" bestFit="1" customWidth="1"/>
    <col min="3" max="16384" width="13" style="1"/>
  </cols>
  <sheetData>
    <row r="2" spans="1:2" x14ac:dyDescent="0.25">
      <c r="A2" s="5" t="s">
        <v>160</v>
      </c>
      <c r="B2" s="5" t="s">
        <v>153</v>
      </c>
    </row>
    <row r="3" spans="1:2" x14ac:dyDescent="0.25">
      <c r="A3" s="16" t="s">
        <v>152</v>
      </c>
      <c r="B3" s="1" t="s">
        <v>154</v>
      </c>
    </row>
    <row r="4" spans="1:2" x14ac:dyDescent="0.25">
      <c r="A4" s="16" t="s">
        <v>159</v>
      </c>
      <c r="B4" s="1" t="s">
        <v>164</v>
      </c>
    </row>
    <row r="5" spans="1:2" x14ac:dyDescent="0.25">
      <c r="A5" s="16" t="s">
        <v>162</v>
      </c>
      <c r="B5" s="1" t="s">
        <v>157</v>
      </c>
    </row>
    <row r="6" spans="1:2" x14ac:dyDescent="0.25">
      <c r="A6" s="16" t="s">
        <v>163</v>
      </c>
      <c r="B6" s="1" t="s">
        <v>158</v>
      </c>
    </row>
    <row r="7" spans="1:2" x14ac:dyDescent="0.25">
      <c r="A7" s="16" t="s">
        <v>123</v>
      </c>
      <c r="B7" s="1" t="s">
        <v>155</v>
      </c>
    </row>
    <row r="8" spans="1:2" x14ac:dyDescent="0.25">
      <c r="A8" s="16" t="s">
        <v>161</v>
      </c>
      <c r="B8" s="1" t="s">
        <v>156</v>
      </c>
    </row>
    <row r="12" spans="1:2" x14ac:dyDescent="0.25">
      <c r="A12" s="1" t="s">
        <v>165</v>
      </c>
    </row>
    <row r="13" spans="1:2" x14ac:dyDescent="0.25">
      <c r="A13" s="1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AB28"/>
  <sheetViews>
    <sheetView tabSelected="1" topLeftCell="Q1" workbookViewId="0">
      <selection activeCell="Q9" sqref="Q9"/>
    </sheetView>
  </sheetViews>
  <sheetFormatPr baseColWidth="10" defaultColWidth="9.140625" defaultRowHeight="13.5" x14ac:dyDescent="0.25"/>
  <cols>
    <col min="1" max="1" width="9.140625" style="1"/>
    <col min="2" max="2" width="31" style="1" bestFit="1" customWidth="1"/>
    <col min="3" max="22" width="9.140625" style="1"/>
    <col min="23" max="23" width="17.7109375" style="1" bestFit="1" customWidth="1"/>
    <col min="24" max="24" width="32.7109375" style="1" customWidth="1"/>
    <col min="25" max="26" width="9.140625" style="1"/>
    <col min="27" max="27" width="38.140625" style="1" bestFit="1" customWidth="1"/>
    <col min="28" max="16384" width="9.140625" style="1"/>
  </cols>
  <sheetData>
    <row r="1" spans="2:28" x14ac:dyDescent="0.25">
      <c r="Q1" s="18" t="s">
        <v>170</v>
      </c>
      <c r="R1" s="18"/>
      <c r="S1" s="18"/>
      <c r="T1" s="18"/>
      <c r="U1" s="18"/>
      <c r="V1" s="18"/>
      <c r="X1" s="1" t="s">
        <v>168</v>
      </c>
    </row>
    <row r="2" spans="2:28" x14ac:dyDescent="0.25">
      <c r="Q2" s="18"/>
      <c r="R2" s="18"/>
      <c r="S2" s="18"/>
      <c r="T2" s="18"/>
      <c r="U2" s="18"/>
      <c r="V2" s="18"/>
      <c r="W2" s="5" t="s">
        <v>28</v>
      </c>
    </row>
    <row r="3" spans="2:28" x14ac:dyDescent="0.25">
      <c r="Q3" s="18"/>
      <c r="R3" s="18"/>
      <c r="S3" s="18"/>
      <c r="T3" s="18"/>
      <c r="U3" s="18"/>
      <c r="V3" s="18"/>
    </row>
    <row r="4" spans="2:28" x14ac:dyDescent="0.25">
      <c r="B4" s="1" t="s">
        <v>4</v>
      </c>
      <c r="C4" s="1">
        <v>4115</v>
      </c>
      <c r="Q4" s="18"/>
      <c r="R4" s="18"/>
      <c r="S4" s="18"/>
      <c r="T4" s="18"/>
      <c r="U4" s="18"/>
      <c r="V4" s="18"/>
      <c r="X4" s="1" t="s">
        <v>4</v>
      </c>
      <c r="Y4" s="2">
        <v>4115</v>
      </c>
      <c r="AA4" s="1" t="s">
        <v>14</v>
      </c>
      <c r="AB4" s="2">
        <v>207</v>
      </c>
    </row>
    <row r="5" spans="2:28" x14ac:dyDescent="0.25">
      <c r="B5" s="1" t="s">
        <v>2</v>
      </c>
      <c r="C5" s="1">
        <v>32962</v>
      </c>
      <c r="Q5" s="18"/>
      <c r="R5" s="18"/>
      <c r="S5" s="18"/>
      <c r="T5" s="18"/>
      <c r="U5" s="18"/>
      <c r="V5" s="18"/>
      <c r="X5" s="1" t="s">
        <v>2</v>
      </c>
      <c r="Y5" s="2">
        <v>32962</v>
      </c>
      <c r="Z5" s="17">
        <f>Y5/Y19</f>
        <v>0.38411429503688255</v>
      </c>
      <c r="AA5" s="1" t="s">
        <v>15</v>
      </c>
      <c r="AB5" s="2">
        <v>1904</v>
      </c>
    </row>
    <row r="6" spans="2:28" x14ac:dyDescent="0.25">
      <c r="B6" s="1" t="s">
        <v>3</v>
      </c>
      <c r="C6" s="1">
        <v>3200</v>
      </c>
      <c r="Q6" s="18"/>
      <c r="R6" s="18"/>
      <c r="S6" s="18"/>
      <c r="T6" s="18"/>
      <c r="U6" s="18"/>
      <c r="V6" s="18"/>
      <c r="X6" s="1" t="s">
        <v>5</v>
      </c>
      <c r="Y6" s="2">
        <v>3200</v>
      </c>
      <c r="AA6" s="1" t="s">
        <v>16</v>
      </c>
      <c r="AB6" s="2">
        <v>55938</v>
      </c>
    </row>
    <row r="7" spans="2:28" x14ac:dyDescent="0.25">
      <c r="Q7" s="18"/>
      <c r="R7" s="18"/>
      <c r="S7" s="18"/>
      <c r="T7" s="18"/>
      <c r="U7" s="18"/>
      <c r="V7" s="18"/>
      <c r="X7" s="5" t="s">
        <v>25</v>
      </c>
      <c r="Y7" s="5">
        <v>40277</v>
      </c>
      <c r="AA7" s="5" t="s">
        <v>17</v>
      </c>
      <c r="AB7" s="6">
        <f>SUM(AB4:AB6)</f>
        <v>58049</v>
      </c>
    </row>
    <row r="8" spans="2:28" x14ac:dyDescent="0.25">
      <c r="Q8" s="18"/>
      <c r="R8" s="18"/>
      <c r="S8" s="18"/>
      <c r="T8" s="18"/>
      <c r="U8" s="18"/>
      <c r="V8" s="18"/>
    </row>
    <row r="9" spans="2:28" x14ac:dyDescent="0.25">
      <c r="X9" s="1" t="s">
        <v>6</v>
      </c>
      <c r="Y9" s="2">
        <v>24833</v>
      </c>
      <c r="Z9" s="1">
        <f>Y9/Y19</f>
        <v>0.28938505820796384</v>
      </c>
      <c r="AA9" s="1" t="s">
        <v>18</v>
      </c>
      <c r="AB9" s="1">
        <v>449</v>
      </c>
    </row>
    <row r="10" spans="2:28" x14ac:dyDescent="0.25">
      <c r="X10" s="1" t="s">
        <v>8</v>
      </c>
      <c r="Y10" s="2">
        <v>4021</v>
      </c>
      <c r="Z10" s="1">
        <f>Y10/Y19</f>
        <v>4.6857702212951415E-2</v>
      </c>
      <c r="AA10" s="1" t="s">
        <v>19</v>
      </c>
      <c r="AB10" s="1">
        <v>4378</v>
      </c>
    </row>
    <row r="11" spans="2:28" x14ac:dyDescent="0.25">
      <c r="X11" s="1" t="s">
        <v>9</v>
      </c>
      <c r="Y11" s="2">
        <v>379</v>
      </c>
      <c r="AA11" s="5" t="s">
        <v>23</v>
      </c>
      <c r="AB11" s="5">
        <f>SUM(AB9:AB10)</f>
        <v>4827</v>
      </c>
    </row>
    <row r="12" spans="2:28" x14ac:dyDescent="0.25">
      <c r="X12" s="1" t="s">
        <v>10</v>
      </c>
      <c r="Y12" s="2">
        <v>1469</v>
      </c>
    </row>
    <row r="13" spans="2:28" x14ac:dyDescent="0.25">
      <c r="X13" s="1" t="s">
        <v>11</v>
      </c>
      <c r="Y13" s="2">
        <v>1884</v>
      </c>
      <c r="AA13" s="1" t="s">
        <v>0</v>
      </c>
      <c r="AB13" s="2">
        <v>6000</v>
      </c>
    </row>
    <row r="14" spans="2:28" x14ac:dyDescent="0.25">
      <c r="X14" s="1" t="s">
        <v>12</v>
      </c>
      <c r="Y14" s="2">
        <v>12950</v>
      </c>
      <c r="AA14" s="1" t="s">
        <v>20</v>
      </c>
      <c r="AB14" s="2"/>
    </row>
    <row r="15" spans="2:28" x14ac:dyDescent="0.25">
      <c r="X15" s="5" t="s">
        <v>26</v>
      </c>
      <c r="Y15" s="6">
        <v>45536</v>
      </c>
      <c r="AA15" s="1" t="s">
        <v>21</v>
      </c>
      <c r="AB15" s="2">
        <v>3192</v>
      </c>
    </row>
    <row r="16" spans="2:28" x14ac:dyDescent="0.25">
      <c r="AA16" s="1" t="s">
        <v>22</v>
      </c>
      <c r="AB16" s="2">
        <v>13745</v>
      </c>
    </row>
    <row r="17" spans="23:28" x14ac:dyDescent="0.25">
      <c r="AA17" s="5" t="s">
        <v>24</v>
      </c>
      <c r="AB17" s="6">
        <f>SUM(AB13:AB16)</f>
        <v>22937</v>
      </c>
    </row>
    <row r="19" spans="23:28" x14ac:dyDescent="0.25">
      <c r="X19" s="5" t="s">
        <v>13</v>
      </c>
      <c r="Y19" s="6">
        <f>SUM(Y7,Y15)</f>
        <v>85813</v>
      </c>
      <c r="AA19" s="5" t="s">
        <v>27</v>
      </c>
      <c r="AB19" s="6">
        <f>SUM(AB7,AB11,AB17)</f>
        <v>85813</v>
      </c>
    </row>
    <row r="23" spans="23:28" x14ac:dyDescent="0.25">
      <c r="W23" s="5" t="s">
        <v>29</v>
      </c>
    </row>
    <row r="24" spans="23:28" x14ac:dyDescent="0.25">
      <c r="X24" s="1" t="s">
        <v>30</v>
      </c>
      <c r="Y24" s="7">
        <f>103167/180861</f>
        <v>0.57042148390200209</v>
      </c>
    </row>
    <row r="25" spans="23:28" x14ac:dyDescent="0.25">
      <c r="X25" s="1" t="s">
        <v>31</v>
      </c>
      <c r="Y25" s="7">
        <f>26942/103167</f>
        <v>0.2611493985479853</v>
      </c>
    </row>
    <row r="28" spans="23:28" x14ac:dyDescent="0.25">
      <c r="W28" s="5"/>
    </row>
  </sheetData>
  <mergeCells count="1">
    <mergeCell ref="Q1:V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27"/>
  <sheetViews>
    <sheetView workbookViewId="0">
      <selection activeCell="D22" sqref="D22"/>
    </sheetView>
  </sheetViews>
  <sheetFormatPr baseColWidth="10" defaultColWidth="9.140625" defaultRowHeight="13.5" x14ac:dyDescent="0.25"/>
  <cols>
    <col min="1" max="1" width="9.140625" style="1"/>
    <col min="2" max="2" width="32" style="1" bestFit="1" customWidth="1"/>
    <col min="3" max="4" width="9.140625" style="1"/>
    <col min="5" max="5" width="28" style="1" bestFit="1" customWidth="1"/>
    <col min="6" max="16384" width="9.140625" style="1"/>
  </cols>
  <sheetData>
    <row r="1" spans="1:6" x14ac:dyDescent="0.25">
      <c r="D1" s="1" t="s">
        <v>163</v>
      </c>
    </row>
    <row r="2" spans="1:6" x14ac:dyDescent="0.25">
      <c r="A2" s="5" t="s">
        <v>28</v>
      </c>
    </row>
    <row r="4" spans="1:6" x14ac:dyDescent="0.25">
      <c r="B4" s="1" t="s">
        <v>12</v>
      </c>
      <c r="C4" s="8">
        <v>734.4</v>
      </c>
      <c r="E4" s="1" t="s">
        <v>0</v>
      </c>
      <c r="F4" s="8">
        <v>30.2</v>
      </c>
    </row>
    <row r="5" spans="1:6" x14ac:dyDescent="0.25">
      <c r="B5" s="1" t="s">
        <v>32</v>
      </c>
      <c r="C5" s="8">
        <v>551.20000000000005</v>
      </c>
      <c r="E5" s="1" t="s">
        <v>40</v>
      </c>
      <c r="F5" s="8">
        <v>73.5</v>
      </c>
    </row>
    <row r="6" spans="1:6" x14ac:dyDescent="0.25">
      <c r="B6" s="1" t="s">
        <v>7</v>
      </c>
      <c r="C6" s="8">
        <v>348.7</v>
      </c>
      <c r="E6" s="1" t="s">
        <v>41</v>
      </c>
      <c r="F6" s="8">
        <v>39.200000000000003</v>
      </c>
    </row>
    <row r="7" spans="1:6" x14ac:dyDescent="0.25">
      <c r="B7" s="1" t="s">
        <v>33</v>
      </c>
      <c r="C7" s="8">
        <v>84.8</v>
      </c>
      <c r="E7" s="1" t="s">
        <v>42</v>
      </c>
      <c r="F7" s="8">
        <v>703.9</v>
      </c>
    </row>
    <row r="8" spans="1:6" x14ac:dyDescent="0.25">
      <c r="B8" s="5" t="s">
        <v>26</v>
      </c>
      <c r="C8" s="9">
        <f>SUM(C4:C7)</f>
        <v>1719.1</v>
      </c>
      <c r="E8" s="5" t="s">
        <v>45</v>
      </c>
      <c r="F8" s="9">
        <f>SUM(F4:F7)</f>
        <v>846.8</v>
      </c>
    </row>
    <row r="9" spans="1:6" x14ac:dyDescent="0.25">
      <c r="C9" s="8"/>
      <c r="E9" s="1" t="s">
        <v>43</v>
      </c>
      <c r="F9" s="8">
        <v>508.2</v>
      </c>
    </row>
    <row r="10" spans="1:6" x14ac:dyDescent="0.25">
      <c r="B10" s="1" t="s">
        <v>34</v>
      </c>
      <c r="C10" s="8">
        <v>117.2</v>
      </c>
      <c r="D10" s="17">
        <f>C10/C19</f>
        <v>4.2445313631754314E-2</v>
      </c>
      <c r="E10" s="1" t="s">
        <v>44</v>
      </c>
      <c r="F10" s="8">
        <v>536.9</v>
      </c>
    </row>
    <row r="11" spans="1:6" x14ac:dyDescent="0.25">
      <c r="B11" s="1" t="s">
        <v>35</v>
      </c>
      <c r="C11" s="8">
        <v>652.79999999999995</v>
      </c>
      <c r="E11" s="1" t="s">
        <v>46</v>
      </c>
      <c r="F11" s="8">
        <v>79.400000000000006</v>
      </c>
    </row>
    <row r="12" spans="1:6" x14ac:dyDescent="0.25">
      <c r="B12" s="1" t="s">
        <v>36</v>
      </c>
      <c r="C12" s="8">
        <v>163.5</v>
      </c>
      <c r="D12" s="17">
        <f>C12/C19</f>
        <v>5.9213385484571932E-2</v>
      </c>
      <c r="E12" s="5" t="s">
        <v>51</v>
      </c>
      <c r="F12" s="9">
        <f>SUM(F8:F11)</f>
        <v>1971.3000000000002</v>
      </c>
    </row>
    <row r="13" spans="1:6" x14ac:dyDescent="0.25">
      <c r="B13" s="1" t="s">
        <v>37</v>
      </c>
      <c r="C13" s="8">
        <v>44</v>
      </c>
      <c r="D13" s="17">
        <f>C13/C19</f>
        <v>1.5935100680863394E-2</v>
      </c>
      <c r="E13" s="5"/>
      <c r="F13" s="9"/>
    </row>
    <row r="14" spans="1:6" x14ac:dyDescent="0.25">
      <c r="B14" s="1" t="s">
        <v>38</v>
      </c>
      <c r="C14" s="8">
        <v>64.599999999999994</v>
      </c>
      <c r="E14" s="1" t="s">
        <v>47</v>
      </c>
      <c r="F14" s="8">
        <v>1515.5</v>
      </c>
    </row>
    <row r="15" spans="1:6" x14ac:dyDescent="0.25">
      <c r="C15" s="8"/>
      <c r="E15" s="1" t="s">
        <v>48</v>
      </c>
      <c r="F15" s="8">
        <v>1</v>
      </c>
    </row>
    <row r="16" spans="1:6" x14ac:dyDescent="0.25">
      <c r="C16" s="8"/>
      <c r="E16" s="1" t="s">
        <v>49</v>
      </c>
      <c r="F16" s="8">
        <v>-726.6</v>
      </c>
    </row>
    <row r="17" spans="1:6" x14ac:dyDescent="0.25">
      <c r="C17" s="8"/>
      <c r="E17" s="5" t="s">
        <v>50</v>
      </c>
      <c r="F17" s="9">
        <f>SUM(F14:F16)</f>
        <v>789.9</v>
      </c>
    </row>
    <row r="18" spans="1:6" x14ac:dyDescent="0.25">
      <c r="C18" s="8"/>
      <c r="F18" s="8"/>
    </row>
    <row r="19" spans="1:6" x14ac:dyDescent="0.25">
      <c r="B19" s="5" t="s">
        <v>39</v>
      </c>
      <c r="C19" s="9">
        <f>SUM(C8:C14)</f>
        <v>2761.2</v>
      </c>
      <c r="E19" s="5" t="s">
        <v>52</v>
      </c>
      <c r="F19" s="9">
        <f>SUM(F12,F17)</f>
        <v>2761.2000000000003</v>
      </c>
    </row>
    <row r="22" spans="1:6" x14ac:dyDescent="0.25">
      <c r="A22" s="5" t="s">
        <v>29</v>
      </c>
    </row>
    <row r="23" spans="1:6" x14ac:dyDescent="0.25">
      <c r="B23" s="1" t="s">
        <v>30</v>
      </c>
      <c r="C23" s="7">
        <f>1008.5/1378.5</f>
        <v>0.73159231048240847</v>
      </c>
    </row>
    <row r="24" spans="1:6" x14ac:dyDescent="0.25">
      <c r="B24" s="1" t="s">
        <v>31</v>
      </c>
      <c r="C24" s="7">
        <f>-190.1/1378.5</f>
        <v>-0.13790351831701125</v>
      </c>
    </row>
    <row r="27" spans="1:6" x14ac:dyDescent="0.25">
      <c r="A27" s="5"/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F30"/>
  <sheetViews>
    <sheetView workbookViewId="0">
      <selection activeCell="D6" sqref="D6"/>
    </sheetView>
  </sheetViews>
  <sheetFormatPr baseColWidth="10" defaultColWidth="9.140625" defaultRowHeight="13.5" x14ac:dyDescent="0.25"/>
  <cols>
    <col min="1" max="1" width="9.140625" style="1"/>
    <col min="2" max="2" width="26.5703125" style="1" bestFit="1" customWidth="1"/>
    <col min="3" max="4" width="9.140625" style="1"/>
    <col min="5" max="5" width="39.5703125" style="1" bestFit="1" customWidth="1"/>
    <col min="6" max="16384" width="9.140625" style="1"/>
  </cols>
  <sheetData>
    <row r="1" spans="1:6" x14ac:dyDescent="0.25">
      <c r="E1" s="1" t="s">
        <v>169</v>
      </c>
    </row>
    <row r="2" spans="1:6" x14ac:dyDescent="0.25">
      <c r="A2" s="5" t="s">
        <v>28</v>
      </c>
    </row>
    <row r="4" spans="1:6" x14ac:dyDescent="0.25">
      <c r="B4" s="1" t="s">
        <v>53</v>
      </c>
      <c r="C4" s="8">
        <v>2051.5</v>
      </c>
      <c r="E4" s="1" t="s">
        <v>58</v>
      </c>
      <c r="F4" s="8">
        <v>1444.3</v>
      </c>
    </row>
    <row r="5" spans="1:6" x14ac:dyDescent="0.25">
      <c r="B5" s="1" t="s">
        <v>54</v>
      </c>
      <c r="C5" s="8">
        <v>173.4</v>
      </c>
      <c r="E5" s="1" t="s">
        <v>59</v>
      </c>
      <c r="F5" s="8">
        <v>300</v>
      </c>
    </row>
    <row r="6" spans="1:6" x14ac:dyDescent="0.25">
      <c r="B6" s="1" t="s">
        <v>7</v>
      </c>
      <c r="C6" s="8">
        <v>887.4</v>
      </c>
      <c r="D6" s="17">
        <f>C6/C16</f>
        <v>0.16657593903102885</v>
      </c>
      <c r="E6" s="1" t="s">
        <v>42</v>
      </c>
      <c r="F6" s="8">
        <v>683.9</v>
      </c>
    </row>
    <row r="7" spans="1:6" x14ac:dyDescent="0.25">
      <c r="B7" s="1" t="s">
        <v>55</v>
      </c>
      <c r="C7" s="8">
        <v>140.80000000000001</v>
      </c>
      <c r="E7" s="5" t="s">
        <v>45</v>
      </c>
      <c r="F7" s="9">
        <f>SUM(F4:F6)</f>
        <v>2428.1999999999998</v>
      </c>
    </row>
    <row r="8" spans="1:6" x14ac:dyDescent="0.25">
      <c r="B8" s="5" t="s">
        <v>26</v>
      </c>
      <c r="C8" s="9">
        <f>SUM(C4:C7)</f>
        <v>3253.1000000000004</v>
      </c>
      <c r="E8" s="1" t="s">
        <v>60</v>
      </c>
      <c r="F8" s="8">
        <v>134.1</v>
      </c>
    </row>
    <row r="9" spans="1:6" x14ac:dyDescent="0.25">
      <c r="C9" s="8"/>
      <c r="E9" s="1" t="s">
        <v>61</v>
      </c>
      <c r="F9" s="8">
        <v>3063</v>
      </c>
    </row>
    <row r="10" spans="1:6" x14ac:dyDescent="0.25">
      <c r="B10" s="1" t="s">
        <v>56</v>
      </c>
      <c r="C10" s="8">
        <v>325.89999999999998</v>
      </c>
      <c r="D10" s="17">
        <f>C10/C16</f>
        <v>6.1175454733166885E-2</v>
      </c>
      <c r="E10" s="1" t="s">
        <v>62</v>
      </c>
      <c r="F10" s="8">
        <v>104.3</v>
      </c>
    </row>
    <row r="11" spans="1:6" x14ac:dyDescent="0.25">
      <c r="B11" s="1" t="s">
        <v>36</v>
      </c>
      <c r="C11" s="8">
        <v>1023.6</v>
      </c>
      <c r="D11" s="17">
        <f>C11/C16</f>
        <v>0.19214236104593321</v>
      </c>
      <c r="E11" s="1" t="s">
        <v>63</v>
      </c>
      <c r="F11" s="8">
        <v>199.8</v>
      </c>
    </row>
    <row r="12" spans="1:6" x14ac:dyDescent="0.25">
      <c r="B12" s="1" t="s">
        <v>37</v>
      </c>
      <c r="C12" s="8">
        <v>296.39999999999998</v>
      </c>
      <c r="D12" s="17">
        <f>C12/C16</f>
        <v>5.5637940420100229E-2</v>
      </c>
      <c r="E12" s="1" t="s">
        <v>21</v>
      </c>
      <c r="F12" s="8">
        <v>425.2</v>
      </c>
    </row>
    <row r="13" spans="1:6" x14ac:dyDescent="0.25">
      <c r="B13" s="1" t="s">
        <v>57</v>
      </c>
      <c r="C13" s="8">
        <v>316.10000000000002</v>
      </c>
      <c r="E13" s="5" t="s">
        <v>51</v>
      </c>
      <c r="F13" s="9">
        <f>SUM(F7:F12)</f>
        <v>6354.5999999999995</v>
      </c>
    </row>
    <row r="14" spans="1:6" x14ac:dyDescent="0.25">
      <c r="B14" s="1" t="s">
        <v>38</v>
      </c>
      <c r="C14" s="8">
        <v>112.2</v>
      </c>
      <c r="F14" s="8"/>
    </row>
    <row r="15" spans="1:6" x14ac:dyDescent="0.25">
      <c r="C15" s="8"/>
      <c r="E15" s="1" t="s">
        <v>47</v>
      </c>
      <c r="F15" s="8">
        <v>3.4</v>
      </c>
    </row>
    <row r="16" spans="1:6" x14ac:dyDescent="0.25">
      <c r="B16" s="5" t="s">
        <v>39</v>
      </c>
      <c r="C16" s="9">
        <f>SUM(C8:C15)</f>
        <v>5327.3</v>
      </c>
      <c r="E16" s="1" t="s">
        <v>64</v>
      </c>
      <c r="F16" s="8">
        <v>477.2</v>
      </c>
    </row>
    <row r="17" spans="1:6" x14ac:dyDescent="0.25">
      <c r="E17" s="1" t="s">
        <v>65</v>
      </c>
      <c r="F17" s="8">
        <v>6688.9</v>
      </c>
    </row>
    <row r="18" spans="1:6" x14ac:dyDescent="0.25">
      <c r="E18" s="1" t="s">
        <v>66</v>
      </c>
      <c r="F18" s="8">
        <v>-8029.6</v>
      </c>
    </row>
    <row r="19" spans="1:6" x14ac:dyDescent="0.25">
      <c r="E19" s="1" t="s">
        <v>67</v>
      </c>
      <c r="F19" s="8">
        <v>-364.9</v>
      </c>
    </row>
    <row r="20" spans="1:6" x14ac:dyDescent="0.25">
      <c r="E20" s="1" t="s">
        <v>68</v>
      </c>
      <c r="F20" s="8">
        <v>197.7</v>
      </c>
    </row>
    <row r="21" spans="1:6" x14ac:dyDescent="0.25">
      <c r="E21" s="5" t="s">
        <v>69</v>
      </c>
      <c r="F21" s="9">
        <f>SUM(F15:F20)</f>
        <v>-1027.3000000000004</v>
      </c>
    </row>
    <row r="22" spans="1:6" x14ac:dyDescent="0.25">
      <c r="F22" s="8"/>
    </row>
    <row r="23" spans="1:6" x14ac:dyDescent="0.25">
      <c r="E23" s="5" t="s">
        <v>52</v>
      </c>
      <c r="F23" s="9">
        <f>SUM(F13,F21)</f>
        <v>5327.2999999999993</v>
      </c>
    </row>
    <row r="25" spans="1:6" x14ac:dyDescent="0.25">
      <c r="A25" s="5" t="s">
        <v>29</v>
      </c>
    </row>
    <row r="26" spans="1:6" x14ac:dyDescent="0.25">
      <c r="B26" s="1" t="s">
        <v>30</v>
      </c>
      <c r="C26" s="7" t="s">
        <v>70</v>
      </c>
    </row>
    <row r="27" spans="1:6" x14ac:dyDescent="0.25">
      <c r="B27" s="1" t="s">
        <v>31</v>
      </c>
      <c r="C27" s="7">
        <f>638.7/3604.2</f>
        <v>0.17720992175794908</v>
      </c>
    </row>
    <row r="30" spans="1:6" x14ac:dyDescent="0.25">
      <c r="A3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G35"/>
  <sheetViews>
    <sheetView workbookViewId="0">
      <selection activeCell="C11" sqref="C11"/>
    </sheetView>
  </sheetViews>
  <sheetFormatPr baseColWidth="10" defaultColWidth="9.140625" defaultRowHeight="13.5" x14ac:dyDescent="0.25"/>
  <cols>
    <col min="1" max="1" width="9.140625" style="1"/>
    <col min="2" max="2" width="44" style="1" bestFit="1" customWidth="1"/>
    <col min="3" max="3" width="9.140625" style="3"/>
    <col min="4" max="4" width="9.140625" style="1"/>
    <col min="5" max="5" width="24" style="1" bestFit="1" customWidth="1"/>
    <col min="6" max="16384" width="9.140625" style="1"/>
  </cols>
  <sheetData>
    <row r="1" spans="1:7" x14ac:dyDescent="0.25">
      <c r="A1" s="5"/>
      <c r="E1" s="1" t="s">
        <v>161</v>
      </c>
    </row>
    <row r="2" spans="1:7" x14ac:dyDescent="0.25">
      <c r="A2" s="5" t="s">
        <v>76</v>
      </c>
    </row>
    <row r="4" spans="1:7" x14ac:dyDescent="0.25">
      <c r="C4" s="4"/>
    </row>
    <row r="5" spans="1:7" x14ac:dyDescent="0.25">
      <c r="B5" s="1" t="s">
        <v>77</v>
      </c>
      <c r="C5" s="13">
        <v>4290.3</v>
      </c>
      <c r="D5" s="17">
        <f>C5/C16</f>
        <v>0.18770179813623838</v>
      </c>
      <c r="E5" s="1" t="s">
        <v>89</v>
      </c>
      <c r="F5" s="13">
        <v>15659.8</v>
      </c>
      <c r="G5" s="17">
        <f>F5/F13</f>
        <v>0.8117503136112465</v>
      </c>
    </row>
    <row r="6" spans="1:7" x14ac:dyDescent="0.25">
      <c r="B6" s="10" t="s">
        <v>78</v>
      </c>
      <c r="C6" s="13">
        <v>2910.6</v>
      </c>
      <c r="E6" s="1" t="s">
        <v>90</v>
      </c>
      <c r="F6" s="13">
        <v>1942.6</v>
      </c>
    </row>
    <row r="7" spans="1:7" x14ac:dyDescent="0.25">
      <c r="B7" s="10" t="s">
        <v>79</v>
      </c>
      <c r="C7" s="13">
        <v>14852.3</v>
      </c>
      <c r="E7" s="1" t="s">
        <v>91</v>
      </c>
      <c r="F7" s="13">
        <v>1070.5999999999999</v>
      </c>
    </row>
    <row r="8" spans="1:7" x14ac:dyDescent="0.25">
      <c r="B8" s="1" t="s">
        <v>80</v>
      </c>
      <c r="C8" s="13">
        <v>64</v>
      </c>
      <c r="E8" s="1" t="s">
        <v>92</v>
      </c>
      <c r="F8" s="13">
        <v>113.9</v>
      </c>
    </row>
    <row r="9" spans="1:7" x14ac:dyDescent="0.25">
      <c r="B9" s="1" t="s">
        <v>81</v>
      </c>
      <c r="C9" s="13">
        <v>223.8</v>
      </c>
      <c r="E9" s="1" t="s">
        <v>93</v>
      </c>
      <c r="F9" s="13">
        <v>423.5</v>
      </c>
    </row>
    <row r="10" spans="1:7" x14ac:dyDescent="0.25">
      <c r="B10" s="1" t="s">
        <v>82</v>
      </c>
      <c r="C10" s="13">
        <v>156.69999999999999</v>
      </c>
      <c r="E10" s="1" t="s">
        <v>94</v>
      </c>
      <c r="F10" s="13">
        <v>16.2</v>
      </c>
    </row>
    <row r="11" spans="1:7" x14ac:dyDescent="0.25">
      <c r="B11" s="1" t="s">
        <v>83</v>
      </c>
      <c r="C11" s="13">
        <v>29.5</v>
      </c>
      <c r="E11" s="1" t="s">
        <v>95</v>
      </c>
      <c r="F11" s="13">
        <v>5.8</v>
      </c>
    </row>
    <row r="12" spans="1:7" x14ac:dyDescent="0.25">
      <c r="B12" s="1" t="s">
        <v>84</v>
      </c>
      <c r="C12" s="13">
        <v>9.1</v>
      </c>
      <c r="E12" s="1" t="s">
        <v>96</v>
      </c>
      <c r="F12" s="13">
        <v>59</v>
      </c>
    </row>
    <row r="13" spans="1:7" x14ac:dyDescent="0.25">
      <c r="B13" s="1" t="s">
        <v>85</v>
      </c>
      <c r="C13" s="13">
        <v>248.2</v>
      </c>
      <c r="D13" s="17">
        <f>C13/C16</f>
        <v>1.0858817867611673E-2</v>
      </c>
      <c r="E13" s="5" t="s">
        <v>97</v>
      </c>
      <c r="F13" s="14">
        <f>SUM(F5:F12)</f>
        <v>19291.399999999998</v>
      </c>
    </row>
    <row r="14" spans="1:7" x14ac:dyDescent="0.25">
      <c r="B14" s="1" t="s">
        <v>86</v>
      </c>
      <c r="C14" s="13">
        <v>71.900000000000006</v>
      </c>
    </row>
    <row r="15" spans="1:7" x14ac:dyDescent="0.25">
      <c r="B15" s="1" t="s">
        <v>87</v>
      </c>
      <c r="C15" s="13">
        <v>0.6</v>
      </c>
      <c r="E15" s="1" t="s">
        <v>98</v>
      </c>
      <c r="F15" s="1">
        <v>63.9</v>
      </c>
    </row>
    <row r="16" spans="1:7" x14ac:dyDescent="0.25">
      <c r="B16" s="5" t="s">
        <v>88</v>
      </c>
      <c r="C16" s="14">
        <f>SUM(C5:C15)</f>
        <v>22856.999999999996</v>
      </c>
    </row>
    <row r="17" spans="1:6" x14ac:dyDescent="0.25">
      <c r="E17" s="1" t="s">
        <v>99</v>
      </c>
      <c r="F17" s="1">
        <v>3501.7</v>
      </c>
    </row>
    <row r="18" spans="1:6" x14ac:dyDescent="0.25">
      <c r="C18" s="4"/>
      <c r="E18" s="5" t="s">
        <v>100</v>
      </c>
      <c r="F18" s="9">
        <f>SUM(F13:F17)</f>
        <v>22857</v>
      </c>
    </row>
    <row r="19" spans="1:6" x14ac:dyDescent="0.25">
      <c r="C19" s="4"/>
    </row>
    <row r="20" spans="1:6" x14ac:dyDescent="0.25">
      <c r="C20" s="4"/>
    </row>
    <row r="21" spans="1:6" x14ac:dyDescent="0.25">
      <c r="A21" s="5" t="s">
        <v>101</v>
      </c>
      <c r="C21" s="1"/>
    </row>
    <row r="22" spans="1:6" x14ac:dyDescent="0.25">
      <c r="B22" s="1" t="s">
        <v>102</v>
      </c>
      <c r="C22" s="7">
        <f>1494/(2794+87)</f>
        <v>0.51856994099271081</v>
      </c>
      <c r="D22" s="7"/>
    </row>
    <row r="23" spans="1:6" x14ac:dyDescent="0.25">
      <c r="B23" s="1" t="s">
        <v>103</v>
      </c>
      <c r="C23" s="7">
        <f>770/(2794+87)</f>
        <v>0.26726830961471709</v>
      </c>
    </row>
    <row r="24" spans="1:6" x14ac:dyDescent="0.25">
      <c r="C24" s="7"/>
    </row>
    <row r="25" spans="1:6" x14ac:dyDescent="0.25">
      <c r="B25" s="5"/>
      <c r="C25" s="11"/>
    </row>
    <row r="28" spans="1:6" x14ac:dyDescent="0.25">
      <c r="B28" s="10"/>
      <c r="C28" s="4"/>
    </row>
    <row r="29" spans="1:6" x14ac:dyDescent="0.25">
      <c r="C29" s="4"/>
    </row>
    <row r="30" spans="1:6" x14ac:dyDescent="0.25">
      <c r="C30" s="4"/>
    </row>
    <row r="32" spans="1:6" x14ac:dyDescent="0.25">
      <c r="B32" s="5"/>
      <c r="C32" s="11"/>
    </row>
    <row r="34" spans="2:3" x14ac:dyDescent="0.25">
      <c r="B34" s="5"/>
      <c r="C34" s="11"/>
    </row>
    <row r="35" spans="2:3" x14ac:dyDescent="0.25">
      <c r="C35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F45"/>
  <sheetViews>
    <sheetView workbookViewId="0">
      <selection activeCell="D7" sqref="D7"/>
    </sheetView>
  </sheetViews>
  <sheetFormatPr baseColWidth="10" defaultColWidth="9.140625" defaultRowHeight="15" x14ac:dyDescent="0.25"/>
  <cols>
    <col min="2" max="2" width="44" style="1" bestFit="1" customWidth="1"/>
    <col min="3" max="3" width="9.140625" style="3"/>
    <col min="4" max="4" width="9.140625" style="1"/>
    <col min="5" max="5" width="48.5703125" customWidth="1"/>
  </cols>
  <sheetData>
    <row r="1" spans="1:6" x14ac:dyDescent="0.25">
      <c r="A1" s="5" t="s">
        <v>28</v>
      </c>
      <c r="E1" t="s">
        <v>123</v>
      </c>
    </row>
    <row r="3" spans="1:6" x14ac:dyDescent="0.25">
      <c r="B3" s="1" t="s">
        <v>53</v>
      </c>
      <c r="C3" s="4">
        <v>12589</v>
      </c>
      <c r="E3" s="1" t="s">
        <v>59</v>
      </c>
      <c r="F3" s="4">
        <v>14507</v>
      </c>
    </row>
    <row r="4" spans="1:6" x14ac:dyDescent="0.25">
      <c r="B4" s="10" t="s">
        <v>104</v>
      </c>
      <c r="C4" s="4">
        <v>26954</v>
      </c>
      <c r="E4" s="1" t="s">
        <v>113</v>
      </c>
      <c r="F4" s="4">
        <v>11512</v>
      </c>
    </row>
    <row r="5" spans="1:6" x14ac:dyDescent="0.25">
      <c r="B5" s="10" t="s">
        <v>105</v>
      </c>
      <c r="C5" s="4">
        <v>4435</v>
      </c>
      <c r="E5" s="1" t="s">
        <v>114</v>
      </c>
      <c r="F5" s="4">
        <v>24271</v>
      </c>
    </row>
    <row r="6" spans="1:6" x14ac:dyDescent="0.25">
      <c r="B6" s="15" t="s">
        <v>106</v>
      </c>
      <c r="C6" s="4">
        <v>18074</v>
      </c>
      <c r="D6" s="7">
        <f>C6/C16</f>
        <v>3.5097803522985235E-2</v>
      </c>
      <c r="E6" s="1" t="s">
        <v>115</v>
      </c>
      <c r="F6" s="4">
        <v>9890</v>
      </c>
    </row>
    <row r="7" spans="1:6" x14ac:dyDescent="0.25">
      <c r="B7" s="1" t="s">
        <v>107</v>
      </c>
      <c r="C7" s="4"/>
      <c r="E7" s="1" t="s">
        <v>116</v>
      </c>
      <c r="F7" s="4">
        <v>20045</v>
      </c>
    </row>
    <row r="8" spans="1:6" x14ac:dyDescent="0.25">
      <c r="B8" s="1" t="s">
        <v>55</v>
      </c>
      <c r="C8" s="4">
        <v>8906</v>
      </c>
      <c r="E8" s="5" t="s">
        <v>45</v>
      </c>
      <c r="F8" s="11">
        <f>SUM(F3:F7)</f>
        <v>80225</v>
      </c>
    </row>
    <row r="9" spans="1:6" x14ac:dyDescent="0.25">
      <c r="B9" s="5" t="s">
        <v>108</v>
      </c>
      <c r="C9" s="11">
        <f>SUM(C3:C8)</f>
        <v>70958</v>
      </c>
      <c r="E9" s="1"/>
      <c r="F9" s="3"/>
    </row>
    <row r="10" spans="1:6" x14ac:dyDescent="0.25">
      <c r="B10" s="5"/>
      <c r="C10" s="11"/>
      <c r="E10" s="1" t="s">
        <v>117</v>
      </c>
      <c r="F10" s="11">
        <v>191327</v>
      </c>
    </row>
    <row r="11" spans="1:6" x14ac:dyDescent="0.25">
      <c r="B11" s="1" t="s">
        <v>109</v>
      </c>
      <c r="C11" s="4">
        <v>202928</v>
      </c>
      <c r="D11" s="17">
        <f>C11/C16</f>
        <v>0.39406479325618832</v>
      </c>
      <c r="E11" s="1" t="s">
        <v>113</v>
      </c>
      <c r="F11" s="3">
        <v>27083</v>
      </c>
    </row>
    <row r="12" spans="1:6" x14ac:dyDescent="0.25">
      <c r="B12" s="1" t="s">
        <v>110</v>
      </c>
      <c r="C12" s="4">
        <v>9560</v>
      </c>
      <c r="E12" s="1" t="s">
        <v>107</v>
      </c>
      <c r="F12" s="4">
        <v>19783</v>
      </c>
    </row>
    <row r="13" spans="1:6" x14ac:dyDescent="0.25">
      <c r="B13" s="1" t="s">
        <v>111</v>
      </c>
      <c r="C13" s="4">
        <v>10317</v>
      </c>
      <c r="E13" s="1" t="s">
        <v>118</v>
      </c>
      <c r="F13" s="4">
        <v>16881</v>
      </c>
    </row>
    <row r="14" spans="1:6" x14ac:dyDescent="0.25">
      <c r="B14" s="1" t="s">
        <v>112</v>
      </c>
      <c r="C14" s="4">
        <v>193484</v>
      </c>
      <c r="E14" s="1" t="s">
        <v>46</v>
      </c>
      <c r="F14" s="4">
        <v>31491</v>
      </c>
    </row>
    <row r="15" spans="1:6" x14ac:dyDescent="0.25">
      <c r="B15" s="1" t="s">
        <v>107</v>
      </c>
      <c r="C15" s="4">
        <v>27714</v>
      </c>
      <c r="E15" s="5" t="s">
        <v>72</v>
      </c>
      <c r="F15" s="11">
        <f>SUM(F8:F14)</f>
        <v>366790</v>
      </c>
    </row>
    <row r="16" spans="1:6" x14ac:dyDescent="0.25">
      <c r="B16" s="5" t="s">
        <v>71</v>
      </c>
      <c r="C16" s="11">
        <f>SUM(C9:C15)</f>
        <v>514961</v>
      </c>
    </row>
    <row r="17" spans="1:6" x14ac:dyDescent="0.25">
      <c r="E17" s="10" t="s">
        <v>119</v>
      </c>
      <c r="F17" s="4">
        <v>105367</v>
      </c>
    </row>
    <row r="18" spans="1:6" x14ac:dyDescent="0.25">
      <c r="A18" s="5"/>
      <c r="D18" s="3"/>
      <c r="E18" s="10" t="s">
        <v>120</v>
      </c>
      <c r="F18" s="4">
        <v>10738</v>
      </c>
    </row>
    <row r="19" spans="1:6" x14ac:dyDescent="0.25">
      <c r="A19" s="5"/>
      <c r="D19" s="4"/>
      <c r="E19" s="1" t="s">
        <v>65</v>
      </c>
      <c r="F19" s="4">
        <v>21781</v>
      </c>
    </row>
    <row r="20" spans="1:6" x14ac:dyDescent="0.25">
      <c r="A20" s="5"/>
      <c r="D20" s="4"/>
      <c r="E20" s="1" t="s">
        <v>121</v>
      </c>
      <c r="F20" s="4">
        <v>-6783</v>
      </c>
    </row>
    <row r="21" spans="1:6" x14ac:dyDescent="0.25">
      <c r="A21" s="5"/>
      <c r="D21" s="4"/>
      <c r="E21" s="1" t="s">
        <v>122</v>
      </c>
      <c r="F21" s="4">
        <v>17068</v>
      </c>
    </row>
    <row r="22" spans="1:6" x14ac:dyDescent="0.25">
      <c r="A22" s="5"/>
      <c r="D22" s="4"/>
      <c r="E22" s="5" t="s">
        <v>74</v>
      </c>
      <c r="F22" s="11">
        <f>SUM(F17:F21)</f>
        <v>148171</v>
      </c>
    </row>
    <row r="23" spans="1:6" x14ac:dyDescent="0.25">
      <c r="A23" s="5"/>
      <c r="D23" s="3"/>
    </row>
    <row r="24" spans="1:6" x14ac:dyDescent="0.25">
      <c r="A24" s="5"/>
      <c r="D24" s="11"/>
      <c r="E24" s="5" t="s">
        <v>75</v>
      </c>
      <c r="F24" s="11">
        <f>F15+F22</f>
        <v>514961</v>
      </c>
    </row>
    <row r="25" spans="1:6" x14ac:dyDescent="0.25">
      <c r="A25" s="5"/>
      <c r="D25" s="3"/>
    </row>
    <row r="26" spans="1:6" x14ac:dyDescent="0.25">
      <c r="A26" s="5"/>
      <c r="D26" s="11"/>
    </row>
    <row r="27" spans="1:6" x14ac:dyDescent="0.25">
      <c r="A27" s="5" t="s">
        <v>29</v>
      </c>
    </row>
    <row r="28" spans="1:6" x14ac:dyDescent="0.25">
      <c r="A28" s="1"/>
      <c r="B28" s="1" t="s">
        <v>30</v>
      </c>
      <c r="C28" s="7">
        <f>67277/210023</f>
        <v>0.32033158273141515</v>
      </c>
    </row>
    <row r="29" spans="1:6" x14ac:dyDescent="0.25">
      <c r="A29" s="1"/>
      <c r="B29" s="1" t="s">
        <v>31</v>
      </c>
      <c r="C29" s="7">
        <f>17055/210023</f>
        <v>8.1205391790422951E-2</v>
      </c>
    </row>
    <row r="36" spans="2:3" x14ac:dyDescent="0.25">
      <c r="B36" s="10"/>
      <c r="C36" s="4"/>
    </row>
    <row r="37" spans="2:3" x14ac:dyDescent="0.25">
      <c r="B37" s="10"/>
      <c r="C37" s="4"/>
    </row>
    <row r="38" spans="2:3" x14ac:dyDescent="0.25">
      <c r="C38" s="4"/>
    </row>
    <row r="39" spans="2:3" x14ac:dyDescent="0.25">
      <c r="C39" s="4"/>
    </row>
    <row r="40" spans="2:3" x14ac:dyDescent="0.25">
      <c r="C40" s="4"/>
    </row>
    <row r="42" spans="2:3" x14ac:dyDescent="0.25">
      <c r="B42" s="5"/>
      <c r="C42" s="11"/>
    </row>
    <row r="44" spans="2:3" x14ac:dyDescent="0.25">
      <c r="B44" s="5"/>
      <c r="C44" s="11"/>
    </row>
    <row r="45" spans="2:3" x14ac:dyDescent="0.25">
      <c r="C45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G29"/>
  <sheetViews>
    <sheetView workbookViewId="0">
      <selection activeCell="E2" sqref="E2"/>
    </sheetView>
  </sheetViews>
  <sheetFormatPr baseColWidth="10" defaultColWidth="9.140625" defaultRowHeight="13.5" x14ac:dyDescent="0.25"/>
  <cols>
    <col min="1" max="1" width="9.140625" style="1"/>
    <col min="2" max="2" width="32.85546875" style="1" bestFit="1" customWidth="1"/>
    <col min="3" max="4" width="9.140625" style="1"/>
    <col min="5" max="5" width="35.85546875" style="1" bestFit="1" customWidth="1"/>
    <col min="6" max="6" width="11.140625" style="1" bestFit="1" customWidth="1"/>
    <col min="7" max="16384" width="9.140625" style="1"/>
  </cols>
  <sheetData>
    <row r="1" spans="1:7" x14ac:dyDescent="0.25">
      <c r="A1" s="5" t="s">
        <v>28</v>
      </c>
      <c r="E1" s="1" t="s">
        <v>167</v>
      </c>
    </row>
    <row r="3" spans="1:7" x14ac:dyDescent="0.25">
      <c r="B3" s="1" t="s">
        <v>56</v>
      </c>
      <c r="C3" s="2">
        <v>9668</v>
      </c>
      <c r="E3" s="1" t="s">
        <v>124</v>
      </c>
      <c r="F3" s="2">
        <v>1308</v>
      </c>
      <c r="G3" s="7"/>
    </row>
    <row r="4" spans="1:7" x14ac:dyDescent="0.25">
      <c r="B4" s="1" t="s">
        <v>36</v>
      </c>
      <c r="C4" s="2">
        <v>5162</v>
      </c>
      <c r="E4" s="1" t="s">
        <v>125</v>
      </c>
      <c r="F4" s="2">
        <v>9191</v>
      </c>
      <c r="G4" s="7"/>
    </row>
    <row r="5" spans="1:7" x14ac:dyDescent="0.25">
      <c r="B5" s="1" t="s">
        <v>126</v>
      </c>
      <c r="C5" s="2">
        <v>16672</v>
      </c>
      <c r="E5" s="1" t="s">
        <v>127</v>
      </c>
      <c r="F5" s="2">
        <v>153</v>
      </c>
      <c r="G5" s="7"/>
    </row>
    <row r="6" spans="1:7" x14ac:dyDescent="0.25">
      <c r="B6" s="1" t="s">
        <v>128</v>
      </c>
      <c r="C6" s="2">
        <v>207</v>
      </c>
      <c r="E6" s="1" t="s">
        <v>129</v>
      </c>
      <c r="F6" s="2">
        <v>1421</v>
      </c>
      <c r="G6" s="7"/>
    </row>
    <row r="7" spans="1:7" x14ac:dyDescent="0.25">
      <c r="B7" s="1" t="s">
        <v>130</v>
      </c>
      <c r="C7" s="2">
        <v>1255</v>
      </c>
      <c r="E7" s="1" t="s">
        <v>131</v>
      </c>
      <c r="F7" s="2">
        <v>1344</v>
      </c>
      <c r="G7" s="7"/>
    </row>
    <row r="8" spans="1:7" x14ac:dyDescent="0.25">
      <c r="B8" s="1" t="s">
        <v>132</v>
      </c>
      <c r="C8" s="2">
        <v>2905</v>
      </c>
      <c r="E8" s="5" t="s">
        <v>133</v>
      </c>
      <c r="F8" s="6">
        <f>SUM(F3:F7)</f>
        <v>13417</v>
      </c>
    </row>
    <row r="9" spans="1:7" x14ac:dyDescent="0.25">
      <c r="B9" s="1" t="s">
        <v>134</v>
      </c>
      <c r="C9" s="2">
        <v>990</v>
      </c>
      <c r="F9" s="2"/>
    </row>
    <row r="10" spans="1:7" x14ac:dyDescent="0.25">
      <c r="B10" s="5" t="s">
        <v>135</v>
      </c>
      <c r="C10" s="6">
        <f>SUM(C3:C9)</f>
        <v>36859</v>
      </c>
      <c r="E10" s="1" t="s">
        <v>136</v>
      </c>
      <c r="F10" s="2">
        <v>15324</v>
      </c>
    </row>
    <row r="11" spans="1:7" x14ac:dyDescent="0.25">
      <c r="C11" s="2"/>
      <c r="E11" s="1" t="s">
        <v>19</v>
      </c>
      <c r="F11" s="2">
        <v>1522</v>
      </c>
      <c r="G11" s="7"/>
    </row>
    <row r="12" spans="1:7" x14ac:dyDescent="0.25">
      <c r="B12" s="1" t="s">
        <v>1</v>
      </c>
      <c r="C12" s="2">
        <v>4716</v>
      </c>
      <c r="E12" s="1" t="s">
        <v>137</v>
      </c>
      <c r="F12" s="2">
        <v>3229</v>
      </c>
      <c r="G12" s="7"/>
    </row>
    <row r="13" spans="1:7" x14ac:dyDescent="0.25">
      <c r="B13" s="1" t="s">
        <v>138</v>
      </c>
      <c r="C13" s="2">
        <v>180</v>
      </c>
      <c r="E13" s="1" t="s">
        <v>139</v>
      </c>
      <c r="F13" s="2">
        <v>420</v>
      </c>
      <c r="G13" s="7"/>
    </row>
    <row r="14" spans="1:7" x14ac:dyDescent="0.25">
      <c r="B14" s="1" t="s">
        <v>140</v>
      </c>
      <c r="C14" s="2">
        <v>5615</v>
      </c>
      <c r="E14" s="1" t="s">
        <v>141</v>
      </c>
      <c r="F14" s="2">
        <v>10656</v>
      </c>
      <c r="G14" s="7"/>
    </row>
    <row r="15" spans="1:7" x14ac:dyDescent="0.25">
      <c r="B15" s="1" t="s">
        <v>127</v>
      </c>
      <c r="C15" s="2">
        <v>125</v>
      </c>
      <c r="E15" s="5" t="s">
        <v>51</v>
      </c>
      <c r="F15" s="6">
        <f>SUM(F8:F14)</f>
        <v>44568</v>
      </c>
      <c r="G15" s="7"/>
    </row>
    <row r="16" spans="1:7" x14ac:dyDescent="0.25">
      <c r="B16" s="1" t="s">
        <v>142</v>
      </c>
      <c r="C16" s="2">
        <v>75</v>
      </c>
    </row>
    <row r="17" spans="1:7" x14ac:dyDescent="0.25">
      <c r="B17" s="1" t="s">
        <v>53</v>
      </c>
      <c r="C17" s="2">
        <v>5830</v>
      </c>
      <c r="E17" s="1" t="s">
        <v>144</v>
      </c>
      <c r="F17" s="2">
        <v>1340</v>
      </c>
    </row>
    <row r="18" spans="1:7" x14ac:dyDescent="0.25">
      <c r="B18" s="1" t="s">
        <v>143</v>
      </c>
      <c r="C18" s="2">
        <v>46</v>
      </c>
      <c r="E18" s="1" t="s">
        <v>145</v>
      </c>
      <c r="F18" s="2">
        <v>2831</v>
      </c>
    </row>
    <row r="19" spans="1:7" x14ac:dyDescent="0.25">
      <c r="B19" s="5" t="s">
        <v>26</v>
      </c>
      <c r="C19" s="6">
        <f>SUM(C12:C18)</f>
        <v>16587</v>
      </c>
      <c r="E19" s="1" t="s">
        <v>65</v>
      </c>
      <c r="F19" s="2">
        <v>-1397</v>
      </c>
      <c r="G19" s="7"/>
    </row>
    <row r="20" spans="1:7" x14ac:dyDescent="0.25">
      <c r="C20" s="2"/>
      <c r="E20" s="1" t="s">
        <v>146</v>
      </c>
      <c r="F20" s="2">
        <v>2340</v>
      </c>
      <c r="G20" s="7"/>
    </row>
    <row r="21" spans="1:7" x14ac:dyDescent="0.25">
      <c r="B21" s="5" t="s">
        <v>39</v>
      </c>
      <c r="C21" s="6">
        <f>SUM(C10,C19)</f>
        <v>53446</v>
      </c>
      <c r="E21" s="1" t="s">
        <v>147</v>
      </c>
      <c r="F21" s="2">
        <v>3764</v>
      </c>
      <c r="G21" s="7"/>
    </row>
    <row r="22" spans="1:7" x14ac:dyDescent="0.25">
      <c r="E22" s="5" t="s">
        <v>73</v>
      </c>
      <c r="F22" s="6">
        <f>SUM(F17:F21)</f>
        <v>8878</v>
      </c>
      <c r="G22" s="7"/>
    </row>
    <row r="23" spans="1:7" x14ac:dyDescent="0.25">
      <c r="G23" s="7"/>
    </row>
    <row r="24" spans="1:7" x14ac:dyDescent="0.25">
      <c r="E24" s="5" t="s">
        <v>148</v>
      </c>
      <c r="F24" s="6">
        <f>SUM(F15,F22)</f>
        <v>53446</v>
      </c>
    </row>
    <row r="27" spans="1:7" x14ac:dyDescent="0.25">
      <c r="A27" s="5" t="s">
        <v>149</v>
      </c>
    </row>
    <row r="28" spans="1:7" x14ac:dyDescent="0.25">
      <c r="B28" s="1" t="s">
        <v>150</v>
      </c>
      <c r="C28" s="7">
        <f>15070/23923</f>
        <v>0.62993771684153321</v>
      </c>
    </row>
    <row r="29" spans="1:7" x14ac:dyDescent="0.25">
      <c r="B29" s="1" t="s">
        <v>151</v>
      </c>
      <c r="C29" s="7">
        <f>10322/23923</f>
        <v>0.43146762529783056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Compañías</vt:lpstr>
      <vt:lpstr>A</vt:lpstr>
      <vt:lpstr>B</vt:lpstr>
      <vt:lpstr>C</vt:lpstr>
      <vt:lpstr>D</vt:lpstr>
      <vt:lpstr>E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Vinix</cp:lastModifiedBy>
  <dcterms:created xsi:type="dcterms:W3CDTF">2017-08-27T03:12:42Z</dcterms:created>
  <dcterms:modified xsi:type="dcterms:W3CDTF">2017-08-30T16:36:03Z</dcterms:modified>
</cp:coreProperties>
</file>