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528"/>
  <workbookPr/>
  <mc:AlternateContent xmlns:mc="http://schemas.openxmlformats.org/markup-compatibility/2006">
    <mc:Choice Requires="x15">
      <x15ac:absPath xmlns:x15ac="http://schemas.microsoft.com/office/spreadsheetml/2010/11/ac" url="C:\Users\Vinix\Documents\Tareas universidad\4 Semestre\Financiera I\Ejercicios\"/>
    </mc:Choice>
  </mc:AlternateContent>
  <bookViews>
    <workbookView xWindow="0" yWindow="0" windowWidth="20490" windowHeight="7530" xr2:uid="{00000000-000D-0000-FFFF-FFFF00000000}"/>
  </bookViews>
  <sheets>
    <sheet name="Ejercicio No.16 (SP)" sheetId="1" r:id="rId1"/>
    <sheet name="Método de BG Proyectado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2" i="1" l="1"/>
  <c r="K19" i="1"/>
  <c r="F16" i="1"/>
  <c r="F15" i="1"/>
  <c r="M16" i="1"/>
  <c r="F13" i="1"/>
  <c r="M17" i="1"/>
  <c r="F21" i="1" l="1"/>
  <c r="F19" i="1"/>
  <c r="E14" i="1"/>
  <c r="F11" i="1"/>
  <c r="E12" i="1" l="1"/>
  <c r="M10" i="1"/>
  <c r="M9" i="1"/>
  <c r="K9" i="1"/>
  <c r="M11" i="1"/>
  <c r="M6" i="1"/>
  <c r="M7" i="1"/>
  <c r="K7" i="1"/>
  <c r="F6" i="1"/>
  <c r="F20" i="1"/>
  <c r="F12" i="1"/>
  <c r="F14" i="1" s="1"/>
  <c r="D9" i="1"/>
  <c r="D6" i="1"/>
  <c r="L17" i="1" l="1"/>
  <c r="M15" i="1"/>
  <c r="M14" i="1"/>
  <c r="M13" i="1"/>
  <c r="M12" i="1"/>
  <c r="L10" i="1"/>
  <c r="F10" i="1"/>
  <c r="M8" i="1"/>
  <c r="F8" i="1"/>
  <c r="M5" i="1"/>
  <c r="E5" i="1"/>
  <c r="F4" i="1"/>
  <c r="F3" i="1"/>
  <c r="F5" i="1" s="1"/>
  <c r="F9" i="1" l="1"/>
  <c r="F7" i="1"/>
  <c r="E7" i="1"/>
  <c r="E15" i="1" l="1"/>
  <c r="D15" i="1" s="1"/>
  <c r="E16" i="1" l="1"/>
  <c r="E19" i="1" s="1"/>
  <c r="E21" i="1" s="1"/>
</calcChain>
</file>

<file path=xl/sharedStrings.xml><?xml version="1.0" encoding="utf-8"?>
<sst xmlns="http://schemas.openxmlformats.org/spreadsheetml/2006/main" count="82" uniqueCount="69">
  <si>
    <t>Proyección de Estados Financieros</t>
  </si>
  <si>
    <t>Rubro de Estado de Resultado</t>
  </si>
  <si>
    <t>Supuesto de Proyección</t>
  </si>
  <si>
    <t>Actual</t>
  </si>
  <si>
    <t>Proyección</t>
  </si>
  <si>
    <t>Retroalimentación</t>
  </si>
  <si>
    <t>Volumen de ventas</t>
  </si>
  <si>
    <t>Crecimiento vs AA</t>
  </si>
  <si>
    <t>DPC</t>
  </si>
  <si>
    <t>CXC</t>
  </si>
  <si>
    <t>Precio promedio</t>
  </si>
  <si>
    <t>Ventas diarias</t>
  </si>
  <si>
    <t>Ventas</t>
  </si>
  <si>
    <t>Volumen x precio</t>
  </si>
  <si>
    <t>Caja y Bancos</t>
  </si>
  <si>
    <t>Costo de Ventas</t>
  </si>
  <si>
    <t>% Ventas del AA</t>
  </si>
  <si>
    <t>Cuentas x Cobrar</t>
  </si>
  <si>
    <t>Utilidad Bruta</t>
  </si>
  <si>
    <t>Inventarios</t>
  </si>
  <si>
    <t>Rotación inv. AA</t>
  </si>
  <si>
    <t>Sueldos y Salarios</t>
  </si>
  <si>
    <t>Propiedad, Planta &amp; Equipo</t>
  </si>
  <si>
    <t>Incremento capex</t>
  </si>
  <si>
    <t>Gastos de Mercadeo</t>
  </si>
  <si>
    <t>Depreciación Acum.</t>
  </si>
  <si>
    <t>Incremento dep</t>
  </si>
  <si>
    <t>Gastos de Administración</t>
  </si>
  <si>
    <t>TOTAL ACTIVO</t>
  </si>
  <si>
    <t>Depreciaciones y Amortizaciones</t>
  </si>
  <si>
    <t>Cuentas x Pagar</t>
  </si>
  <si>
    <t>DPP</t>
  </si>
  <si>
    <t>Utilidad de Operación</t>
  </si>
  <si>
    <t>Impuestos x Pagar</t>
  </si>
  <si>
    <t>Gastos Financieros</t>
  </si>
  <si>
    <t>Indemnizaciones LP</t>
  </si>
  <si>
    <t>Utilidad antes de impuestos</t>
  </si>
  <si>
    <t>Deuda  LP</t>
  </si>
  <si>
    <t>Impuestos</t>
  </si>
  <si>
    <t>Tasa efectiva del AA</t>
  </si>
  <si>
    <t>Acciones Comunes</t>
  </si>
  <si>
    <t>Utilidad Neta</t>
  </si>
  <si>
    <t>Utilidades Retenidas</t>
  </si>
  <si>
    <t>TOTAL PASIVO + PATRIMONIO</t>
  </si>
  <si>
    <t>No. de Acciones en Ciruculación</t>
  </si>
  <si>
    <t xml:space="preserve">FONDOS ADICIONALES NECESARIOS (FAN)  </t>
  </si>
  <si>
    <t>Dividendo x Acción</t>
  </si>
  <si>
    <t>Crecimiento vs. AA</t>
  </si>
  <si>
    <t>Dividendos Pagados</t>
  </si>
  <si>
    <t>Solvencia</t>
  </si>
  <si>
    <t>Deuda/EBITDA</t>
  </si>
  <si>
    <t>EBITDA</t>
  </si>
  <si>
    <t>Tasa de interés préstamo</t>
  </si>
  <si>
    <t xml:space="preserve">Proyectar Estado de Resultados </t>
  </si>
  <si>
    <t>Proyectar Balance General</t>
  </si>
  <si>
    <t>Proyectar cada rubro del Balance General usando los supuestos dados en el ejercicio</t>
  </si>
  <si>
    <t xml:space="preserve">Proyectar cada rubro del Estado de Resultados usando los supuestos dados en el ejercicio.   </t>
  </si>
  <si>
    <t>La primera proyección sólo define supuestos para los rubros operativos y de inversión.</t>
  </si>
  <si>
    <t xml:space="preserve">Asumir que las cuentas asociadas al financiamiento (Ej: intereses) permanecen sin cambio, a menos que explícitamente se diga que se espera un cambio </t>
  </si>
  <si>
    <t>Si se dice que se espera un cambio (como por ejemplo vencimiento y cancelación de una deuda, eso si debe considerarse, pero como una excepción al método)</t>
  </si>
  <si>
    <t xml:space="preserve">Asumir que las cuentas asociadas al financiamiento (Ej: deuda, capital) permanecen sin cambio (Ej. Intereses)  menos que explícitamente se diga que se espera un cambio </t>
  </si>
  <si>
    <t>Determinar los FAN</t>
  </si>
  <si>
    <t>A - (P + C)</t>
  </si>
  <si>
    <t>Si los FAN son positivos - se requieren fondos (decidir cómo se obtendrán: contratar deuda? Requerir Capital?, pagar menos dividendos? Obtener más crédito de proveedores?, reducir la inversión?)</t>
  </si>
  <si>
    <t>Si los FAN son negativos - sobran fondos (decidir como distribuirlos:  pago de dividendos? Pago de deuda? Re-compra de acciones? Mayor inversión?, otro?</t>
  </si>
  <si>
    <t>Crear una segunda proyección que ya incluya los efectos de la decisión de financiamiento en los Estados Financieros proyectados.</t>
  </si>
  <si>
    <t>Ejemplo: si se contrata más deuda, esto debe reflejarse en el BG, pero también deben calcularse los intereses adicionales que deben sumarse al ER, la utilidad neta cambia y se ajusta las utilidades retenidas.</t>
  </si>
  <si>
    <t>Cuadrar el BG - caja puede ser una cuenta a utilizarse</t>
  </si>
  <si>
    <t>Retralimentar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</si>
</sst>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#,##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165" fontId="3" fillId="0" borderId="0" xfId="0" applyNumberFormat="1" applyFont="1" applyFill="1"/>
    <xf numFmtId="165" fontId="3" fillId="0" borderId="0" xfId="0" applyNumberFormat="1" applyFont="1"/>
    <xf numFmtId="0" fontId="3" fillId="0" borderId="0" xfId="0" applyFont="1" applyFill="1"/>
    <xf numFmtId="165" fontId="3" fillId="0" borderId="0" xfId="0" applyNumberFormat="1" applyFont="1" applyFill="1" applyAlignment="1">
      <alignment horizontal="center"/>
    </xf>
    <xf numFmtId="165" fontId="2" fillId="0" borderId="0" xfId="0" applyNumberFormat="1" applyFont="1" applyFill="1" applyAlignment="1">
      <alignment horizontal="center"/>
    </xf>
    <xf numFmtId="165" fontId="2" fillId="0" borderId="0" xfId="0" applyNumberFormat="1" applyFont="1"/>
    <xf numFmtId="9" fontId="3" fillId="0" borderId="0" xfId="0" applyNumberFormat="1" applyFont="1" applyFill="1" applyAlignment="1">
      <alignment horizontal="center"/>
    </xf>
    <xf numFmtId="9" fontId="3" fillId="0" borderId="0" xfId="0" applyNumberFormat="1" applyFont="1"/>
    <xf numFmtId="1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3" fillId="0" borderId="0" xfId="1" applyNumberFormat="1" applyFont="1" applyAlignment="1">
      <alignment horizontal="center"/>
    </xf>
    <xf numFmtId="10" fontId="3" fillId="0" borderId="0" xfId="0" applyNumberFormat="1" applyFont="1"/>
    <xf numFmtId="0" fontId="4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3" fillId="0" borderId="1" xfId="0" applyFont="1" applyFill="1" applyBorder="1"/>
    <xf numFmtId="164" fontId="3" fillId="0" borderId="1" xfId="0" applyNumberFormat="1" applyFont="1" applyFill="1" applyBorder="1" applyAlignment="1">
      <alignment horizontal="center"/>
    </xf>
    <xf numFmtId="166" fontId="3" fillId="0" borderId="1" xfId="0" applyNumberFormat="1" applyFont="1" applyFill="1" applyBorder="1" applyAlignment="1">
      <alignment horizontal="center"/>
    </xf>
    <xf numFmtId="165" fontId="3" fillId="0" borderId="1" xfId="0" applyNumberFormat="1" applyFont="1" applyFill="1" applyBorder="1" applyAlignment="1">
      <alignment horizontal="center"/>
    </xf>
    <xf numFmtId="0" fontId="2" fillId="0" borderId="1" xfId="0" applyFont="1" applyFill="1" applyBorder="1"/>
    <xf numFmtId="164" fontId="2" fillId="0" borderId="1" xfId="0" applyNumberFormat="1" applyFont="1" applyFill="1" applyBorder="1" applyAlignment="1">
      <alignment horizontal="center"/>
    </xf>
    <xf numFmtId="166" fontId="2" fillId="0" borderId="1" xfId="0" applyNumberFormat="1" applyFont="1" applyFill="1" applyBorder="1" applyAlignment="1">
      <alignment horizontal="center"/>
    </xf>
    <xf numFmtId="165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"/>
  <sheetViews>
    <sheetView tabSelected="1" topLeftCell="D1" zoomScale="80" zoomScaleNormal="80" workbookViewId="0">
      <selection activeCell="O22" sqref="O22"/>
    </sheetView>
  </sheetViews>
  <sheetFormatPr defaultColWidth="9.140625" defaultRowHeight="16.5" x14ac:dyDescent="0.3"/>
  <cols>
    <col min="1" max="1" width="9.140625" style="2"/>
    <col min="2" max="2" width="36.7109375" style="2" bestFit="1" customWidth="1"/>
    <col min="3" max="3" width="23" style="2" bestFit="1" customWidth="1"/>
    <col min="4" max="4" width="17.140625" style="3" customWidth="1"/>
    <col min="5" max="5" width="23.28515625" style="3" customWidth="1"/>
    <col min="6" max="6" width="13.42578125" style="3" bestFit="1" customWidth="1"/>
    <col min="7" max="7" width="20.7109375" style="3" bestFit="1" customWidth="1"/>
    <col min="8" max="8" width="18.140625" style="2" customWidth="1"/>
    <col min="9" max="9" width="30.28515625" style="2" customWidth="1"/>
    <col min="10" max="10" width="24.42578125" style="2" bestFit="1" customWidth="1"/>
    <col min="11" max="11" width="10.140625" style="3" customWidth="1"/>
    <col min="12" max="12" width="15.28515625" style="2" customWidth="1"/>
    <col min="13" max="13" width="13.28515625" style="2" bestFit="1" customWidth="1"/>
    <col min="14" max="14" width="20.7109375" style="2" bestFit="1" customWidth="1"/>
    <col min="15" max="16384" width="9.140625" style="2"/>
  </cols>
  <sheetData>
    <row r="1" spans="1:18" x14ac:dyDescent="0.3">
      <c r="A1" s="1" t="s">
        <v>0</v>
      </c>
    </row>
    <row r="2" spans="1:18" x14ac:dyDescent="0.3">
      <c r="B2" s="26" t="s">
        <v>1</v>
      </c>
      <c r="C2" s="27" t="s">
        <v>2</v>
      </c>
      <c r="D2" s="27"/>
      <c r="E2" s="28" t="s">
        <v>3</v>
      </c>
      <c r="F2" s="28" t="s">
        <v>4</v>
      </c>
      <c r="G2" s="4" t="s">
        <v>5</v>
      </c>
      <c r="H2" s="1"/>
      <c r="J2" s="25" t="s">
        <v>2</v>
      </c>
      <c r="K2" s="25"/>
      <c r="L2" s="4" t="s">
        <v>3</v>
      </c>
      <c r="M2" s="4" t="s">
        <v>4</v>
      </c>
      <c r="N2" s="4"/>
    </row>
    <row r="3" spans="1:18" x14ac:dyDescent="0.3">
      <c r="B3" s="29" t="s">
        <v>6</v>
      </c>
      <c r="C3" s="29" t="s">
        <v>7</v>
      </c>
      <c r="D3" s="30">
        <v>0.05</v>
      </c>
      <c r="E3" s="31">
        <v>100</v>
      </c>
      <c r="F3" s="32">
        <f>E3*(1+D3)</f>
        <v>105</v>
      </c>
      <c r="G3" s="5"/>
      <c r="H3" s="6"/>
      <c r="L3" s="4"/>
      <c r="M3" s="4"/>
      <c r="Q3" s="2" t="s">
        <v>8</v>
      </c>
      <c r="R3" s="2" t="s">
        <v>9</v>
      </c>
    </row>
    <row r="4" spans="1:18" x14ac:dyDescent="0.3">
      <c r="B4" s="29" t="s">
        <v>10</v>
      </c>
      <c r="C4" s="29" t="s">
        <v>7</v>
      </c>
      <c r="D4" s="30">
        <v>0.05</v>
      </c>
      <c r="E4" s="31">
        <v>15</v>
      </c>
      <c r="F4" s="32">
        <f>E4*(1+D4)</f>
        <v>15.75</v>
      </c>
      <c r="G4" s="5"/>
      <c r="H4" s="6"/>
      <c r="L4" s="4"/>
      <c r="M4" s="4"/>
      <c r="R4" s="2" t="s">
        <v>11</v>
      </c>
    </row>
    <row r="5" spans="1:18" x14ac:dyDescent="0.3">
      <c r="B5" s="26" t="s">
        <v>12</v>
      </c>
      <c r="C5" s="26" t="s">
        <v>13</v>
      </c>
      <c r="D5" s="33"/>
      <c r="E5" s="34">
        <f>E3*E4</f>
        <v>1500</v>
      </c>
      <c r="F5" s="35">
        <f>F3*F4</f>
        <v>1653.75</v>
      </c>
      <c r="G5" s="8"/>
      <c r="H5" s="9"/>
      <c r="I5" s="2" t="s">
        <v>14</v>
      </c>
      <c r="J5" s="2" t="s">
        <v>7</v>
      </c>
      <c r="K5" s="10">
        <v>0.05</v>
      </c>
      <c r="L5" s="5">
        <v>10</v>
      </c>
      <c r="M5" s="11">
        <f>L5*(1+K5)</f>
        <v>10.5</v>
      </c>
      <c r="N5" s="12"/>
    </row>
    <row r="6" spans="1:18" x14ac:dyDescent="0.3">
      <c r="A6" s="13"/>
      <c r="B6" s="36" t="s">
        <v>15</v>
      </c>
      <c r="C6" s="36" t="s">
        <v>16</v>
      </c>
      <c r="D6" s="37">
        <f>E6/$E$5</f>
        <v>0.8</v>
      </c>
      <c r="E6" s="38">
        <v>1200</v>
      </c>
      <c r="F6" s="39">
        <f>D6*$F$5</f>
        <v>1323</v>
      </c>
      <c r="G6" s="14"/>
      <c r="H6" s="6"/>
      <c r="I6" s="2" t="s">
        <v>17</v>
      </c>
      <c r="J6" s="2" t="s">
        <v>8</v>
      </c>
      <c r="K6" s="3">
        <v>40</v>
      </c>
      <c r="L6" s="5">
        <v>180</v>
      </c>
      <c r="M6" s="12">
        <f>K6*(F5/360)</f>
        <v>183.75</v>
      </c>
      <c r="N6" s="12"/>
    </row>
    <row r="7" spans="1:18" x14ac:dyDescent="0.3">
      <c r="A7" s="13"/>
      <c r="B7" s="40" t="s">
        <v>18</v>
      </c>
      <c r="C7" s="40"/>
      <c r="D7" s="41"/>
      <c r="E7" s="42">
        <f>E5-E6</f>
        <v>300</v>
      </c>
      <c r="F7" s="43">
        <f>F5-F6</f>
        <v>330.75</v>
      </c>
      <c r="G7" s="15"/>
      <c r="H7" s="9"/>
      <c r="I7" s="2" t="s">
        <v>19</v>
      </c>
      <c r="J7" s="2" t="s">
        <v>20</v>
      </c>
      <c r="K7" s="5">
        <f>E6/L7</f>
        <v>4.4444444444444446</v>
      </c>
      <c r="L7" s="5">
        <v>270</v>
      </c>
      <c r="M7" s="12">
        <f>F6/K7</f>
        <v>297.67500000000001</v>
      </c>
      <c r="N7" s="12"/>
    </row>
    <row r="8" spans="1:18" x14ac:dyDescent="0.3">
      <c r="A8" s="13"/>
      <c r="B8" s="36" t="s">
        <v>21</v>
      </c>
      <c r="C8" s="29" t="s">
        <v>7</v>
      </c>
      <c r="D8" s="30">
        <v>0.05</v>
      </c>
      <c r="E8" s="38">
        <v>50</v>
      </c>
      <c r="F8" s="32">
        <f>E8*(1+D8)</f>
        <v>52.5</v>
      </c>
      <c r="G8" s="14"/>
      <c r="H8" s="6"/>
      <c r="I8" s="2" t="s">
        <v>22</v>
      </c>
      <c r="J8" s="2" t="s">
        <v>23</v>
      </c>
      <c r="K8" s="3">
        <v>100</v>
      </c>
      <c r="L8" s="5">
        <v>600</v>
      </c>
      <c r="M8" s="11">
        <f>L8+K8</f>
        <v>700</v>
      </c>
      <c r="N8" s="12"/>
    </row>
    <row r="9" spans="1:18" x14ac:dyDescent="0.3">
      <c r="A9" s="13"/>
      <c r="B9" s="36" t="s">
        <v>24</v>
      </c>
      <c r="C9" s="36" t="s">
        <v>16</v>
      </c>
      <c r="D9" s="37">
        <f>E9/$E$5</f>
        <v>0.02</v>
      </c>
      <c r="E9" s="38">
        <v>30</v>
      </c>
      <c r="F9" s="39">
        <f>D9*$F$5</f>
        <v>33.075000000000003</v>
      </c>
      <c r="G9" s="14"/>
      <c r="H9" s="6"/>
      <c r="I9" s="2" t="s">
        <v>25</v>
      </c>
      <c r="J9" s="2" t="s">
        <v>26</v>
      </c>
      <c r="K9" s="3">
        <f>K8/10</f>
        <v>10</v>
      </c>
      <c r="L9" s="5">
        <v>-200</v>
      </c>
      <c r="M9" s="12">
        <f>L9-K9</f>
        <v>-210</v>
      </c>
      <c r="N9" s="12"/>
    </row>
    <row r="10" spans="1:18" x14ac:dyDescent="0.3">
      <c r="A10" s="13"/>
      <c r="B10" s="36" t="s">
        <v>27</v>
      </c>
      <c r="C10" s="29" t="s">
        <v>7</v>
      </c>
      <c r="D10" s="30">
        <v>0.05</v>
      </c>
      <c r="E10" s="38">
        <v>10</v>
      </c>
      <c r="F10" s="32">
        <f>E10*(1+D10)</f>
        <v>10.5</v>
      </c>
      <c r="G10" s="14"/>
      <c r="H10" s="6"/>
      <c r="I10" s="1" t="s">
        <v>28</v>
      </c>
      <c r="J10" s="1"/>
      <c r="K10" s="4"/>
      <c r="L10" s="8">
        <f>SUM(L5:L9)</f>
        <v>860</v>
      </c>
      <c r="M10" s="16">
        <f>SUM(M5:M9)</f>
        <v>981.92499999999995</v>
      </c>
      <c r="N10" s="16"/>
    </row>
    <row r="11" spans="1:18" x14ac:dyDescent="0.3">
      <c r="A11" s="13"/>
      <c r="B11" s="36" t="s">
        <v>29</v>
      </c>
      <c r="C11" s="36"/>
      <c r="D11" s="39"/>
      <c r="E11" s="38">
        <v>50</v>
      </c>
      <c r="F11" s="39">
        <f>E11+K9</f>
        <v>60</v>
      </c>
      <c r="G11" s="14"/>
      <c r="H11" s="6"/>
      <c r="I11" s="2" t="s">
        <v>30</v>
      </c>
      <c r="J11" s="2" t="s">
        <v>31</v>
      </c>
      <c r="K11" s="3">
        <v>24</v>
      </c>
      <c r="L11" s="5">
        <v>80</v>
      </c>
      <c r="M11" s="12">
        <f>K11*((F6+M7-L7)/360)</f>
        <v>90.045000000000002</v>
      </c>
      <c r="N11" s="12"/>
    </row>
    <row r="12" spans="1:18" x14ac:dyDescent="0.3">
      <c r="A12" s="13"/>
      <c r="B12" s="40" t="s">
        <v>32</v>
      </c>
      <c r="C12" s="40"/>
      <c r="D12" s="41"/>
      <c r="E12" s="42">
        <f>E7-SUM(E8:E11)</f>
        <v>160</v>
      </c>
      <c r="F12" s="42">
        <f>F7-SUM(F8:F11)</f>
        <v>174.67500000000001</v>
      </c>
      <c r="G12" s="15"/>
      <c r="H12" s="9"/>
      <c r="I12" s="2" t="s">
        <v>33</v>
      </c>
      <c r="J12" s="2" t="s">
        <v>7</v>
      </c>
      <c r="K12" s="10">
        <v>0.05</v>
      </c>
      <c r="L12" s="5">
        <v>20</v>
      </c>
      <c r="M12" s="11">
        <f>L12*(1+K12)</f>
        <v>21</v>
      </c>
      <c r="N12" s="12"/>
      <c r="O12" s="12"/>
    </row>
    <row r="13" spans="1:18" x14ac:dyDescent="0.3">
      <c r="A13" s="13"/>
      <c r="B13" s="36" t="s">
        <v>34</v>
      </c>
      <c r="C13" s="36"/>
      <c r="D13" s="37"/>
      <c r="E13" s="38">
        <v>36</v>
      </c>
      <c r="F13" s="38">
        <f>E13</f>
        <v>36</v>
      </c>
      <c r="G13" s="14"/>
      <c r="I13" s="2" t="s">
        <v>35</v>
      </c>
      <c r="J13" s="2" t="s">
        <v>7</v>
      </c>
      <c r="K13" s="10">
        <v>0.05</v>
      </c>
      <c r="L13" s="5">
        <v>60</v>
      </c>
      <c r="M13" s="11">
        <f>L13*(1+K13)</f>
        <v>63</v>
      </c>
      <c r="N13" s="12"/>
    </row>
    <row r="14" spans="1:18" x14ac:dyDescent="0.3">
      <c r="A14" s="13"/>
      <c r="B14" s="40" t="s">
        <v>36</v>
      </c>
      <c r="C14" s="40"/>
      <c r="D14" s="41"/>
      <c r="E14" s="42">
        <f>E12-E13</f>
        <v>124</v>
      </c>
      <c r="F14" s="42">
        <f>F12-F13</f>
        <v>138.67500000000001</v>
      </c>
      <c r="G14" s="15"/>
      <c r="I14" s="13" t="s">
        <v>37</v>
      </c>
      <c r="J14" s="13"/>
      <c r="K14" s="17"/>
      <c r="L14" s="14">
        <v>350</v>
      </c>
      <c r="M14" s="11">
        <f>L14</f>
        <v>350</v>
      </c>
      <c r="N14" s="11"/>
    </row>
    <row r="15" spans="1:18" x14ac:dyDescent="0.3">
      <c r="A15" s="13"/>
      <c r="B15" s="36" t="s">
        <v>38</v>
      </c>
      <c r="C15" s="36" t="s">
        <v>39</v>
      </c>
      <c r="D15" s="37">
        <f>E15/E14</f>
        <v>0.3</v>
      </c>
      <c r="E15" s="38">
        <f>E14*0.3</f>
        <v>37.199999999999996</v>
      </c>
      <c r="F15" s="39">
        <f>F14*D15</f>
        <v>41.602499999999999</v>
      </c>
      <c r="G15" s="14"/>
      <c r="H15" s="18"/>
      <c r="I15" s="2" t="s">
        <v>40</v>
      </c>
      <c r="K15" s="10"/>
      <c r="L15" s="5">
        <v>100</v>
      </c>
      <c r="M15" s="12">
        <f>L15</f>
        <v>100</v>
      </c>
      <c r="N15" s="12"/>
    </row>
    <row r="16" spans="1:18" x14ac:dyDescent="0.3">
      <c r="A16" s="13"/>
      <c r="B16" s="40" t="s">
        <v>41</v>
      </c>
      <c r="C16" s="40"/>
      <c r="D16" s="44"/>
      <c r="E16" s="42">
        <f>E14-E15</f>
        <v>86.800000000000011</v>
      </c>
      <c r="F16" s="43">
        <f>F14-F15</f>
        <v>97.072500000000019</v>
      </c>
      <c r="G16" s="15"/>
      <c r="I16" s="2" t="s">
        <v>42</v>
      </c>
      <c r="L16" s="5">
        <v>250</v>
      </c>
      <c r="M16" s="12">
        <f>L16+F16-F21</f>
        <v>302.80449999999996</v>
      </c>
      <c r="N16" s="12"/>
    </row>
    <row r="17" spans="2:15" x14ac:dyDescent="0.3">
      <c r="I17" s="1" t="s">
        <v>43</v>
      </c>
      <c r="J17" s="1"/>
      <c r="K17" s="4"/>
      <c r="L17" s="8">
        <f>SUM(L11:L16)</f>
        <v>860</v>
      </c>
      <c r="M17" s="16">
        <f>SUM(M11:M16)</f>
        <v>926.84950000000003</v>
      </c>
      <c r="N17" s="16"/>
    </row>
    <row r="18" spans="2:15" x14ac:dyDescent="0.3">
      <c r="E18" s="19"/>
      <c r="F18" s="19"/>
      <c r="G18" s="19"/>
    </row>
    <row r="19" spans="2:15" x14ac:dyDescent="0.3">
      <c r="B19" s="2" t="s">
        <v>44</v>
      </c>
      <c r="E19" s="3">
        <f>E16/2</f>
        <v>43.400000000000006</v>
      </c>
      <c r="F19" s="3">
        <f>E19</f>
        <v>43.400000000000006</v>
      </c>
      <c r="I19" s="1" t="s">
        <v>45</v>
      </c>
      <c r="K19" s="5">
        <f>M10-M17</f>
        <v>55.07549999999992</v>
      </c>
      <c r="M19" s="16"/>
      <c r="N19" s="16"/>
      <c r="O19" s="12"/>
    </row>
    <row r="20" spans="2:15" x14ac:dyDescent="0.3">
      <c r="B20" s="2" t="s">
        <v>46</v>
      </c>
      <c r="C20" s="2" t="s">
        <v>47</v>
      </c>
      <c r="D20" s="10">
        <v>0.02</v>
      </c>
      <c r="E20" s="5">
        <v>1</v>
      </c>
      <c r="F20" s="3">
        <f>E20*(1+$D$20)</f>
        <v>1.02</v>
      </c>
    </row>
    <row r="21" spans="2:15" x14ac:dyDescent="0.3">
      <c r="B21" s="2" t="s">
        <v>48</v>
      </c>
      <c r="E21" s="3">
        <f>E19*E20</f>
        <v>43.400000000000006</v>
      </c>
      <c r="F21" s="5">
        <f>F20*F19</f>
        <v>44.268000000000008</v>
      </c>
      <c r="G21" s="5"/>
      <c r="I21" s="1" t="s">
        <v>49</v>
      </c>
    </row>
    <row r="22" spans="2:15" x14ac:dyDescent="0.3">
      <c r="I22" s="2" t="s">
        <v>50</v>
      </c>
      <c r="J22" s="2">
        <f>M14/(F12+F11)</f>
        <v>1.4914243102162565</v>
      </c>
      <c r="L22" s="5"/>
      <c r="M22" s="5"/>
      <c r="N22" s="5"/>
    </row>
    <row r="23" spans="2:15" x14ac:dyDescent="0.3">
      <c r="B23" s="1" t="s">
        <v>51</v>
      </c>
      <c r="E23" s="7"/>
      <c r="F23" s="7"/>
      <c r="G23" s="7"/>
      <c r="L23" s="10"/>
      <c r="M23" s="10"/>
    </row>
    <row r="25" spans="2:15" x14ac:dyDescent="0.3">
      <c r="B25" s="2" t="s">
        <v>52</v>
      </c>
      <c r="C25" s="18"/>
      <c r="D25" s="10">
        <v>0.1</v>
      </c>
      <c r="L25" s="6"/>
      <c r="M25" s="6"/>
    </row>
    <row r="27" spans="2:15" x14ac:dyDescent="0.3">
      <c r="B27" s="1"/>
    </row>
    <row r="28" spans="2:15" x14ac:dyDescent="0.3">
      <c r="E28" s="20"/>
      <c r="F28" s="20"/>
    </row>
    <row r="29" spans="2:15" x14ac:dyDescent="0.3">
      <c r="E29" s="10"/>
      <c r="F29" s="10"/>
    </row>
    <row r="30" spans="2:15" x14ac:dyDescent="0.3">
      <c r="E30" s="21"/>
      <c r="F30" s="21"/>
    </row>
    <row r="31" spans="2:15" x14ac:dyDescent="0.3">
      <c r="E31" s="20"/>
      <c r="F31" s="20"/>
    </row>
    <row r="33" spans="3:7" x14ac:dyDescent="0.3">
      <c r="E33" s="20"/>
      <c r="F33" s="20"/>
    </row>
    <row r="34" spans="3:7" x14ac:dyDescent="0.3">
      <c r="E34" s="10"/>
      <c r="F34" s="10"/>
    </row>
    <row r="35" spans="3:7" x14ac:dyDescent="0.3">
      <c r="C35" s="1"/>
      <c r="D35" s="4"/>
      <c r="E35" s="7"/>
      <c r="F35" s="7"/>
    </row>
    <row r="36" spans="3:7" x14ac:dyDescent="0.3">
      <c r="E36" s="10"/>
      <c r="F36" s="10"/>
    </row>
    <row r="38" spans="3:7" x14ac:dyDescent="0.3">
      <c r="E38" s="20"/>
      <c r="F38" s="20"/>
      <c r="G38" s="6"/>
    </row>
    <row r="39" spans="3:7" x14ac:dyDescent="0.3">
      <c r="E39" s="20"/>
      <c r="F39" s="20"/>
    </row>
    <row r="40" spans="3:7" x14ac:dyDescent="0.3">
      <c r="C40" s="1"/>
      <c r="E40" s="9"/>
      <c r="F40" s="9"/>
    </row>
    <row r="42" spans="3:7" x14ac:dyDescent="0.3">
      <c r="C42" s="1"/>
    </row>
    <row r="43" spans="3:7" x14ac:dyDescent="0.3">
      <c r="F43" s="5"/>
    </row>
    <row r="44" spans="3:7" x14ac:dyDescent="0.3">
      <c r="F44" s="5"/>
    </row>
    <row r="45" spans="3:7" x14ac:dyDescent="0.3">
      <c r="C45" s="1"/>
      <c r="F45" s="22"/>
    </row>
    <row r="46" spans="3:7" x14ac:dyDescent="0.3">
      <c r="F46" s="10"/>
    </row>
    <row r="47" spans="3:7" x14ac:dyDescent="0.3">
      <c r="F47" s="5"/>
      <c r="G47" s="5"/>
    </row>
    <row r="48" spans="3:7" x14ac:dyDescent="0.3">
      <c r="G48" s="5"/>
    </row>
    <row r="49" spans="4:8" x14ac:dyDescent="0.3">
      <c r="H49" s="23"/>
    </row>
    <row r="50" spans="4:8" x14ac:dyDescent="0.3">
      <c r="H50" s="23"/>
    </row>
    <row r="51" spans="4:8" x14ac:dyDescent="0.3">
      <c r="H51" s="23"/>
    </row>
    <row r="54" spans="4:8" x14ac:dyDescent="0.3">
      <c r="F54" s="5"/>
    </row>
    <row r="55" spans="4:8" x14ac:dyDescent="0.3">
      <c r="F55" s="5"/>
    </row>
    <row r="58" spans="4:8" x14ac:dyDescent="0.3">
      <c r="F58" s="10"/>
    </row>
    <row r="60" spans="4:8" x14ac:dyDescent="0.3">
      <c r="E60" s="5"/>
      <c r="F60" s="10"/>
    </row>
    <row r="61" spans="4:8" x14ac:dyDescent="0.3">
      <c r="D61" s="2"/>
    </row>
  </sheetData>
  <mergeCells count="2">
    <mergeCell ref="C2:D2"/>
    <mergeCell ref="J2:K2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C24"/>
  <sheetViews>
    <sheetView workbookViewId="0">
      <selection activeCell="C25" sqref="C25"/>
    </sheetView>
  </sheetViews>
  <sheetFormatPr defaultRowHeight="13.5" x14ac:dyDescent="0.25"/>
  <cols>
    <col min="1" max="16384" width="9.140625" style="24"/>
  </cols>
  <sheetData>
    <row r="4" spans="2:3" x14ac:dyDescent="0.25">
      <c r="B4" s="24">
        <v>1</v>
      </c>
      <c r="C4" s="24" t="s">
        <v>53</v>
      </c>
    </row>
    <row r="5" spans="2:3" x14ac:dyDescent="0.25">
      <c r="C5" s="24" t="s">
        <v>56</v>
      </c>
    </row>
    <row r="6" spans="2:3" x14ac:dyDescent="0.25">
      <c r="C6" s="24" t="s">
        <v>57</v>
      </c>
    </row>
    <row r="7" spans="2:3" x14ac:dyDescent="0.25">
      <c r="C7" s="24" t="s">
        <v>58</v>
      </c>
    </row>
    <row r="8" spans="2:3" x14ac:dyDescent="0.25">
      <c r="C8" s="24" t="s">
        <v>59</v>
      </c>
    </row>
    <row r="10" spans="2:3" x14ac:dyDescent="0.25">
      <c r="B10" s="24">
        <v>2</v>
      </c>
      <c r="C10" s="24" t="s">
        <v>54</v>
      </c>
    </row>
    <row r="11" spans="2:3" x14ac:dyDescent="0.25">
      <c r="C11" s="24" t="s">
        <v>55</v>
      </c>
    </row>
    <row r="12" spans="2:3" x14ac:dyDescent="0.25">
      <c r="C12" s="24" t="s">
        <v>57</v>
      </c>
    </row>
    <row r="13" spans="2:3" x14ac:dyDescent="0.25">
      <c r="C13" s="24" t="s">
        <v>60</v>
      </c>
    </row>
    <row r="14" spans="2:3" x14ac:dyDescent="0.25">
      <c r="C14" s="24" t="s">
        <v>59</v>
      </c>
    </row>
    <row r="16" spans="2:3" x14ac:dyDescent="0.25">
      <c r="B16" s="24">
        <v>3</v>
      </c>
      <c r="C16" s="24" t="s">
        <v>61</v>
      </c>
    </row>
    <row r="17" spans="2:3" x14ac:dyDescent="0.25">
      <c r="C17" s="24" t="s">
        <v>62</v>
      </c>
    </row>
    <row r="18" spans="2:3" x14ac:dyDescent="0.25">
      <c r="C18" s="24" t="s">
        <v>63</v>
      </c>
    </row>
    <row r="19" spans="2:3" x14ac:dyDescent="0.25">
      <c r="C19" s="24" t="s">
        <v>64</v>
      </c>
    </row>
    <row r="21" spans="2:3" x14ac:dyDescent="0.25">
      <c r="B21" s="24">
        <v>4</v>
      </c>
      <c r="C21" s="24" t="s">
        <v>68</v>
      </c>
    </row>
    <row r="22" spans="2:3" x14ac:dyDescent="0.25">
      <c r="C22" s="24" t="s">
        <v>65</v>
      </c>
    </row>
    <row r="23" spans="2:3" x14ac:dyDescent="0.25">
      <c r="C23" s="24" t="s">
        <v>66</v>
      </c>
    </row>
    <row r="24" spans="2:3" x14ac:dyDescent="0.25">
      <c r="C24" s="2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Ejercicio No.16 (SP)</vt:lpstr>
      <vt:lpstr>Método de BG Proyectado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Sequeira</dc:creator>
  <cp:lastModifiedBy>Sergio Garcia</cp:lastModifiedBy>
  <dcterms:created xsi:type="dcterms:W3CDTF">2017-11-07T16:47:24Z</dcterms:created>
  <dcterms:modified xsi:type="dcterms:W3CDTF">2017-11-07T23:03:32Z</dcterms:modified>
</cp:coreProperties>
</file>