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bri\Documents\Gaby\UFM\Financiera I\Financiera I 2017\03 Ejercicios\"/>
    </mc:Choice>
  </mc:AlternateContent>
  <bookViews>
    <workbookView xWindow="0" yWindow="0" windowWidth="19200" windowHeight="6465" activeTab="1"/>
  </bookViews>
  <sheets>
    <sheet name="Histograma" sheetId="10" r:id="rId1"/>
    <sheet name="Pregunta 1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4" l="1"/>
  <c r="F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18" i="4"/>
  <c r="E25" i="4"/>
  <c r="B8" i="4"/>
  <c r="B9" i="4"/>
  <c r="B10" i="4"/>
  <c r="G8" i="4" l="1"/>
  <c r="G9" i="4"/>
  <c r="G10" i="4" s="1"/>
  <c r="G11" i="4" s="1"/>
  <c r="G12" i="4" s="1"/>
  <c r="G13" i="4" s="1"/>
  <c r="G14" i="4" s="1"/>
  <c r="B12" i="4"/>
  <c r="B11" i="4"/>
  <c r="E10" i="4"/>
  <c r="B7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E19" i="4"/>
  <c r="E20" i="4"/>
  <c r="E21" i="4"/>
  <c r="E22" i="4"/>
  <c r="E23" i="4"/>
  <c r="E24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18" i="4"/>
</calcChain>
</file>

<file path=xl/sharedStrings.xml><?xml version="1.0" encoding="utf-8"?>
<sst xmlns="http://schemas.openxmlformats.org/spreadsheetml/2006/main" count="25" uniqueCount="22">
  <si>
    <t>Bin</t>
  </si>
  <si>
    <t>More</t>
  </si>
  <si>
    <t>Frequency</t>
  </si>
  <si>
    <t>Date</t>
  </si>
  <si>
    <t>Close</t>
  </si>
  <si>
    <t>Dividends</t>
  </si>
  <si>
    <t>Adj Close</t>
  </si>
  <si>
    <t>Media</t>
  </si>
  <si>
    <t>Varianza</t>
  </si>
  <si>
    <t>Desv. St</t>
  </si>
  <si>
    <t>n</t>
  </si>
  <si>
    <t>Min</t>
  </si>
  <si>
    <t>Max</t>
  </si>
  <si>
    <t>Con los datos a continuación:</t>
  </si>
  <si>
    <t>1. Calcule el rendimiento semanal</t>
  </si>
  <si>
    <t>2. Realice una gráfica del comportamiento histórico del precio y del comportamiento histórico de los rendimientos.</t>
  </si>
  <si>
    <t>3. Calcule el promedio y desviación st.</t>
  </si>
  <si>
    <t>4. Realice un histograma y verifique si los resultados se parecen a una dist. Normal</t>
  </si>
  <si>
    <t>Rendimiento Semanal</t>
  </si>
  <si>
    <t>Rangos histograma</t>
  </si>
  <si>
    <t>Form. Excel</t>
  </si>
  <si>
    <t>Form. Matemática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</si>
</sst>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0.0%"/>
    <numFmt numFmtId="165" formatCode="#,##0.0000"/>
    <numFmt numFmtId="166" formatCode="0.000%"/>
    <numFmt numFmtId="169" formatCode="_-* #,##0.00000_-;\-* #,##0.000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entury Gothic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164" fontId="0" fillId="0" borderId="0" xfId="0" applyNumberFormat="1"/>
    <xf numFmtId="10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64" fontId="19" fillId="0" borderId="0" xfId="0" applyNumberFormat="1" applyFont="1"/>
    <xf numFmtId="166" fontId="19" fillId="0" borderId="0" xfId="0" applyNumberFormat="1" applyFont="1"/>
    <xf numFmtId="0" fontId="19" fillId="0" borderId="0" xfId="0" applyFont="1"/>
    <xf numFmtId="10" fontId="19" fillId="0" borderId="0" xfId="0" applyNumberFormat="1" applyFont="1"/>
    <xf numFmtId="165" fontId="19" fillId="0" borderId="0" xfId="0" applyNumberFormat="1" applyFont="1"/>
    <xf numFmtId="14" fontId="19" fillId="0" borderId="0" xfId="0" applyNumberFormat="1" applyFont="1"/>
    <xf numFmtId="4" fontId="19" fillId="0" borderId="0" xfId="0" applyNumberFormat="1" applyFont="1"/>
    <xf numFmtId="10" fontId="19" fillId="0" borderId="0" xfId="0" applyNumberFormat="1" applyFont="1" applyAlignment="1"/>
    <xf numFmtId="0" fontId="0" fillId="0" borderId="0" xfId="0"/>
    <xf numFmtId="10" fontId="19" fillId="33" borderId="0" xfId="0" applyNumberFormat="1" applyFont="1" applyFill="1" applyAlignment="1">
      <alignment horizontal="center"/>
    </xf>
    <xf numFmtId="169" fontId="19" fillId="0" borderId="0" xfId="42" applyNumberFormat="1" applyFont="1"/>
    <xf numFmtId="169" fontId="19" fillId="0" borderId="0" xfId="42" applyNumberFormat="1" applyFont="1" applyAlignment="1"/>
    <xf numFmtId="164" fontId="0" fillId="0" borderId="0" xfId="0" applyNumberFormat="1" applyFill="1" applyBorder="1" applyAlignment="1"/>
    <xf numFmtId="0" fontId="19" fillId="34" borderId="0" xfId="0" applyFont="1" applyFill="1"/>
    <xf numFmtId="10" fontId="19" fillId="34" borderId="0" xfId="0" applyNumberFormat="1" applyFont="1" applyFill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Histograma!$A$2:$A$9</c:f>
              <c:numCache>
                <c:formatCode>0.0%</c:formatCode>
                <c:ptCount val="8"/>
                <c:pt idx="0">
                  <c:v>-0.12</c:v>
                </c:pt>
                <c:pt idx="1">
                  <c:v>-0.09</c:v>
                </c:pt>
                <c:pt idx="2">
                  <c:v>-0.06</c:v>
                </c:pt>
                <c:pt idx="3">
                  <c:v>-0.03</c:v>
                </c:pt>
                <c:pt idx="4">
                  <c:v>0</c:v>
                </c:pt>
                <c:pt idx="5">
                  <c:v>0.03</c:v>
                </c:pt>
                <c:pt idx="6">
                  <c:v>0.06</c:v>
                </c:pt>
                <c:pt idx="7">
                  <c:v>0.09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Histograma!$B$2:$B$9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20</c:v>
                </c:pt>
                <c:pt idx="4">
                  <c:v>105</c:v>
                </c:pt>
                <c:pt idx="5">
                  <c:v>115</c:v>
                </c:pt>
                <c:pt idx="6">
                  <c:v>16</c:v>
                </c:pt>
                <c:pt idx="7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76"/>
        <c:axId val="602122776"/>
        <c:axId val="602121600"/>
      </c:barChart>
      <c:catAx>
        <c:axId val="602122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121600"/>
        <c:crosses val="autoZero"/>
        <c:auto val="1"/>
        <c:lblAlgn val="ctr"/>
        <c:lblOffset val="100"/>
        <c:noMultiLvlLbl val="0"/>
      </c:catAx>
      <c:valAx>
        <c:axId val="60212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122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Rendimiento Histórico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25678040244968"/>
          <c:y val="0.22014201713157949"/>
          <c:w val="0.84569663167104114"/>
          <c:h val="0.7514728682170542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'Pregunta 1'!$E$18:$E$278</c:f>
              <c:numCache>
                <c:formatCode>0.00%</c:formatCode>
                <c:ptCount val="261"/>
                <c:pt idx="0">
                  <c:v>-2.5061997759187049E-3</c:v>
                </c:pt>
                <c:pt idx="1">
                  <c:v>-6.7442737340277503E-3</c:v>
                </c:pt>
                <c:pt idx="2">
                  <c:v>-3.115435985681847E-2</c:v>
                </c:pt>
                <c:pt idx="3">
                  <c:v>-6.3212727630044263E-3</c:v>
                </c:pt>
                <c:pt idx="4">
                  <c:v>-5.9189588139664906E-2</c:v>
                </c:pt>
                <c:pt idx="5">
                  <c:v>3.189766326470167E-2</c:v>
                </c:pt>
                <c:pt idx="6">
                  <c:v>2.5925927033871643E-2</c:v>
                </c:pt>
                <c:pt idx="7">
                  <c:v>9.2752572594525518E-3</c:v>
                </c:pt>
                <c:pt idx="8">
                  <c:v>-4.8969441845767903E-2</c:v>
                </c:pt>
                <c:pt idx="9">
                  <c:v>-1.4545163636363601E-3</c:v>
                </c:pt>
                <c:pt idx="10">
                  <c:v>-1.5149322209779492E-2</c:v>
                </c:pt>
                <c:pt idx="11">
                  <c:v>2.1446486888825778E-2</c:v>
                </c:pt>
                <c:pt idx="12">
                  <c:v>-6.2264843969440653E-3</c:v>
                </c:pt>
                <c:pt idx="13">
                  <c:v>8.3054061622644948E-3</c:v>
                </c:pt>
                <c:pt idx="14">
                  <c:v>-2.8901301830980275E-3</c:v>
                </c:pt>
                <c:pt idx="15">
                  <c:v>2.1594173913043413E-2</c:v>
                </c:pt>
                <c:pt idx="16">
                  <c:v>1.4044616656110565E-2</c:v>
                </c:pt>
                <c:pt idx="17">
                  <c:v>-3.0498040130188531E-2</c:v>
                </c:pt>
                <c:pt idx="18">
                  <c:v>1.5873000755858513E-2</c:v>
                </c:pt>
                <c:pt idx="19">
                  <c:v>1.9034033550169527E-2</c:v>
                </c:pt>
                <c:pt idx="20">
                  <c:v>1.7981614663552081E-2</c:v>
                </c:pt>
                <c:pt idx="21">
                  <c:v>-8.2156649077869126E-4</c:v>
                </c:pt>
                <c:pt idx="22">
                  <c:v>2.4551710344827615E-2</c:v>
                </c:pt>
                <c:pt idx="23">
                  <c:v>7.4044562116915014E-3</c:v>
                </c:pt>
                <c:pt idx="24">
                  <c:v>2.0847213127162645E-2</c:v>
                </c:pt>
                <c:pt idx="25">
                  <c:v>2.8406846817735865E-2</c:v>
                </c:pt>
                <c:pt idx="26">
                  <c:v>-3.4368254439108847E-3</c:v>
                </c:pt>
                <c:pt idx="27">
                  <c:v>9.5797674086119944E-3</c:v>
                </c:pt>
                <c:pt idx="28">
                  <c:v>2.6568699056570555E-3</c:v>
                </c:pt>
                <c:pt idx="29">
                  <c:v>1.3879999999999448E-3</c:v>
                </c:pt>
                <c:pt idx="30">
                  <c:v>-1.2929344821008382E-2</c:v>
                </c:pt>
                <c:pt idx="31">
                  <c:v>-7.1915369002876206E-3</c:v>
                </c:pt>
                <c:pt idx="32">
                  <c:v>-3.1949321742318459E-2</c:v>
                </c:pt>
                <c:pt idx="33">
                  <c:v>1.9909220732721389E-2</c:v>
                </c:pt>
                <c:pt idx="34">
                  <c:v>-1.91274592132199E-2</c:v>
                </c:pt>
                <c:pt idx="35">
                  <c:v>-1.8164831648263657E-2</c:v>
                </c:pt>
                <c:pt idx="36">
                  <c:v>1.3331464744076538E-2</c:v>
                </c:pt>
                <c:pt idx="37">
                  <c:v>9.6657406273523705E-3</c:v>
                </c:pt>
                <c:pt idx="38">
                  <c:v>3.2176546099940806E-2</c:v>
                </c:pt>
                <c:pt idx="39">
                  <c:v>5.7967927011512987E-3</c:v>
                </c:pt>
                <c:pt idx="40">
                  <c:v>-1.0246157524431698E-3</c:v>
                </c:pt>
                <c:pt idx="41">
                  <c:v>9.6153846153845812E-3</c:v>
                </c:pt>
                <c:pt idx="42">
                  <c:v>-1.7523784126984188E-2</c:v>
                </c:pt>
                <c:pt idx="43">
                  <c:v>-3.6280896325594392E-2</c:v>
                </c:pt>
                <c:pt idx="44">
                  <c:v>-9.0406016861339644E-3</c:v>
                </c:pt>
                <c:pt idx="45">
                  <c:v>-6.2636027705992303E-3</c:v>
                </c:pt>
                <c:pt idx="46">
                  <c:v>-5.3440255408045978E-3</c:v>
                </c:pt>
                <c:pt idx="47">
                  <c:v>2.4383594125008567E-2</c:v>
                </c:pt>
                <c:pt idx="48">
                  <c:v>1.9768706027854854E-2</c:v>
                </c:pt>
                <c:pt idx="49">
                  <c:v>-1.9385480169181513E-2</c:v>
                </c:pt>
                <c:pt idx="50">
                  <c:v>-2.0978993800712775E-2</c:v>
                </c:pt>
                <c:pt idx="51">
                  <c:v>2.7747210395032473E-2</c:v>
                </c:pt>
                <c:pt idx="52">
                  <c:v>1.1895201817695877E-2</c:v>
                </c:pt>
                <c:pt idx="53">
                  <c:v>4.8871087688167059E-3</c:v>
                </c:pt>
                <c:pt idx="54">
                  <c:v>1.3012591666335727E-2</c:v>
                </c:pt>
                <c:pt idx="55">
                  <c:v>1.1547930452835198E-2</c:v>
                </c:pt>
                <c:pt idx="56">
                  <c:v>1.6162160289406868E-2</c:v>
                </c:pt>
                <c:pt idx="57">
                  <c:v>7.447576275592338E-3</c:v>
                </c:pt>
                <c:pt idx="58">
                  <c:v>1.5035760306622237E-2</c:v>
                </c:pt>
                <c:pt idx="59">
                  <c:v>-7.4064928426985643E-3</c:v>
                </c:pt>
                <c:pt idx="60">
                  <c:v>-2.3267450005818313E-2</c:v>
                </c:pt>
                <c:pt idx="61">
                  <c:v>-8.3248204834829309E-3</c:v>
                </c:pt>
                <c:pt idx="62">
                  <c:v>1.3431499418829818E-2</c:v>
                </c:pt>
                <c:pt idx="63">
                  <c:v>2.2938829833836216E-3</c:v>
                </c:pt>
                <c:pt idx="64">
                  <c:v>-7.7558930004858473E-3</c:v>
                </c:pt>
                <c:pt idx="65">
                  <c:v>-2.3705778783882803E-2</c:v>
                </c:pt>
                <c:pt idx="66">
                  <c:v>-2.3231447086718759E-2</c:v>
                </c:pt>
                <c:pt idx="67">
                  <c:v>3.4937114618036613E-3</c:v>
                </c:pt>
                <c:pt idx="68">
                  <c:v>-1.2453133369041303E-2</c:v>
                </c:pt>
                <c:pt idx="69">
                  <c:v>2.7661030508474571E-2</c:v>
                </c:pt>
                <c:pt idx="70">
                  <c:v>-3.5228895167846885E-2</c:v>
                </c:pt>
                <c:pt idx="71">
                  <c:v>2.1608232155023277E-2</c:v>
                </c:pt>
                <c:pt idx="72">
                  <c:v>-1.6063588329193745E-3</c:v>
                </c:pt>
                <c:pt idx="73">
                  <c:v>2.4134753978688472E-3</c:v>
                </c:pt>
                <c:pt idx="74">
                  <c:v>2.4501871627650385E-2</c:v>
                </c:pt>
                <c:pt idx="75">
                  <c:v>-1.1826018707647989E-3</c:v>
                </c:pt>
                <c:pt idx="76">
                  <c:v>1.7102959686805308E-2</c:v>
                </c:pt>
                <c:pt idx="77">
                  <c:v>-1.0477273586270042E-2</c:v>
                </c:pt>
                <c:pt idx="78">
                  <c:v>1.5163450980392179E-2</c:v>
                </c:pt>
                <c:pt idx="79">
                  <c:v>1.2361562587609454E-2</c:v>
                </c:pt>
                <c:pt idx="80">
                  <c:v>6.3597046670171853E-3</c:v>
                </c:pt>
                <c:pt idx="81">
                  <c:v>7.0777803180821497E-3</c:v>
                </c:pt>
                <c:pt idx="82">
                  <c:v>-2.7651453067605525E-2</c:v>
                </c:pt>
                <c:pt idx="83">
                  <c:v>-1.817946972654283E-2</c:v>
                </c:pt>
                <c:pt idx="84">
                  <c:v>1.5341832887953544E-2</c:v>
                </c:pt>
                <c:pt idx="85">
                  <c:v>5.7314317727534814E-3</c:v>
                </c:pt>
                <c:pt idx="86">
                  <c:v>-2.49967624012013E-2</c:v>
                </c:pt>
                <c:pt idx="87">
                  <c:v>5.3135096348766453E-3</c:v>
                </c:pt>
                <c:pt idx="88">
                  <c:v>-4.4926532769556937E-3</c:v>
                </c:pt>
                <c:pt idx="89">
                  <c:v>5.4420496650942063E-3</c:v>
                </c:pt>
                <c:pt idx="90">
                  <c:v>1.412541254125399E-2</c:v>
                </c:pt>
                <c:pt idx="91">
                  <c:v>3.5146576412392605E-3</c:v>
                </c:pt>
                <c:pt idx="92">
                  <c:v>-1.452840910771358E-2</c:v>
                </c:pt>
                <c:pt idx="93">
                  <c:v>-3.1986309964639803E-2</c:v>
                </c:pt>
                <c:pt idx="94">
                  <c:v>2.1892806338145165E-2</c:v>
                </c:pt>
                <c:pt idx="95">
                  <c:v>-1.0311986348252034E-2</c:v>
                </c:pt>
                <c:pt idx="96">
                  <c:v>2.4763206366354318E-2</c:v>
                </c:pt>
                <c:pt idx="97">
                  <c:v>-3.0371450005092226E-3</c:v>
                </c:pt>
                <c:pt idx="98">
                  <c:v>2.6622543046357583E-2</c:v>
                </c:pt>
                <c:pt idx="99">
                  <c:v>-2.2448780223228382E-2</c:v>
                </c:pt>
                <c:pt idx="100">
                  <c:v>1.4121671405107783E-2</c:v>
                </c:pt>
                <c:pt idx="101">
                  <c:v>-4.5548935218581166E-3</c:v>
                </c:pt>
                <c:pt idx="102">
                  <c:v>1.0851118076901978E-2</c:v>
                </c:pt>
                <c:pt idx="103">
                  <c:v>1.2545279358510131E-2</c:v>
                </c:pt>
                <c:pt idx="104">
                  <c:v>-5.3519005575181966E-2</c:v>
                </c:pt>
                <c:pt idx="105">
                  <c:v>3.0769218104432339E-2</c:v>
                </c:pt>
                <c:pt idx="106">
                  <c:v>-1.4401676397027829E-3</c:v>
                </c:pt>
                <c:pt idx="107">
                  <c:v>3.2778288951551993E-2</c:v>
                </c:pt>
                <c:pt idx="108">
                  <c:v>5.3192867329930005E-2</c:v>
                </c:pt>
                <c:pt idx="109">
                  <c:v>2.0371299666963605E-2</c:v>
                </c:pt>
                <c:pt idx="110">
                  <c:v>3.4140566234127201E-2</c:v>
                </c:pt>
                <c:pt idx="111">
                  <c:v>-3.3584623788158297E-2</c:v>
                </c:pt>
                <c:pt idx="112">
                  <c:v>-3.6852709099404191E-3</c:v>
                </c:pt>
                <c:pt idx="113">
                  <c:v>1.6107934998399687E-2</c:v>
                </c:pt>
                <c:pt idx="114">
                  <c:v>2.0549552815896988E-2</c:v>
                </c:pt>
                <c:pt idx="115">
                  <c:v>-1.1621239828731311E-2</c:v>
                </c:pt>
                <c:pt idx="116">
                  <c:v>4.016293270866278E-2</c:v>
                </c:pt>
                <c:pt idx="117">
                  <c:v>-2.8875221687190145E-2</c:v>
                </c:pt>
                <c:pt idx="118">
                  <c:v>2.0053072031338104E-2</c:v>
                </c:pt>
                <c:pt idx="119">
                  <c:v>-3.9882486953282448E-2</c:v>
                </c:pt>
                <c:pt idx="120">
                  <c:v>2.7653552801121917E-2</c:v>
                </c:pt>
                <c:pt idx="121">
                  <c:v>-1.7405289879645292E-2</c:v>
                </c:pt>
                <c:pt idx="122">
                  <c:v>-1.7596958806594842E-2</c:v>
                </c:pt>
                <c:pt idx="123">
                  <c:v>-4.3891220264843378E-3</c:v>
                </c:pt>
                <c:pt idx="124">
                  <c:v>-1.5965733349219691E-2</c:v>
                </c:pt>
                <c:pt idx="125">
                  <c:v>-2.4215281473073391E-3</c:v>
                </c:pt>
                <c:pt idx="126">
                  <c:v>1.6361367121822568E-2</c:v>
                </c:pt>
                <c:pt idx="127">
                  <c:v>-2.2705430627232848E-2</c:v>
                </c:pt>
                <c:pt idx="128">
                  <c:v>-7.6213277841752358E-3</c:v>
                </c:pt>
                <c:pt idx="129">
                  <c:v>-9.9096986284019639E-4</c:v>
                </c:pt>
                <c:pt idx="130">
                  <c:v>-3.4346000388195908E-2</c:v>
                </c:pt>
                <c:pt idx="131">
                  <c:v>2.5166911601190778E-2</c:v>
                </c:pt>
                <c:pt idx="132">
                  <c:v>-1.5531037852256402E-2</c:v>
                </c:pt>
                <c:pt idx="133">
                  <c:v>5.3435243089954287E-3</c:v>
                </c:pt>
                <c:pt idx="134">
                  <c:v>9.0411181591889545E-3</c:v>
                </c:pt>
                <c:pt idx="135">
                  <c:v>-4.2655187850963894E-2</c:v>
                </c:pt>
                <c:pt idx="136">
                  <c:v>-2.0959714988667E-2</c:v>
                </c:pt>
                <c:pt idx="137">
                  <c:v>-1.6291895097289566E-2</c:v>
                </c:pt>
                <c:pt idx="138">
                  <c:v>-8.6230224096089936E-3</c:v>
                </c:pt>
                <c:pt idx="139">
                  <c:v>4.2799668645587818E-3</c:v>
                </c:pt>
                <c:pt idx="140">
                  <c:v>-8.523439882415218E-3</c:v>
                </c:pt>
                <c:pt idx="141">
                  <c:v>-3.6051301883611719E-3</c:v>
                </c:pt>
                <c:pt idx="142">
                  <c:v>1.753412165969781E-2</c:v>
                </c:pt>
                <c:pt idx="143">
                  <c:v>3.692505318961814E-3</c:v>
                </c:pt>
                <c:pt idx="144">
                  <c:v>-2.4662720052632925E-2</c:v>
                </c:pt>
                <c:pt idx="145">
                  <c:v>5.5881669296404812E-3</c:v>
                </c:pt>
                <c:pt idx="146">
                  <c:v>-3.334301055808564E-3</c:v>
                </c:pt>
                <c:pt idx="147">
                  <c:v>1.5859607017543853E-2</c:v>
                </c:pt>
                <c:pt idx="148">
                  <c:v>-8.0685220254982815E-2</c:v>
                </c:pt>
                <c:pt idx="149">
                  <c:v>-2.4045671415003356E-2</c:v>
                </c:pt>
                <c:pt idx="150">
                  <c:v>-1.6168816871918179E-2</c:v>
                </c:pt>
                <c:pt idx="151">
                  <c:v>1.1895492438495747E-2</c:v>
                </c:pt>
                <c:pt idx="152">
                  <c:v>-2.0262984678639295E-2</c:v>
                </c:pt>
                <c:pt idx="153">
                  <c:v>6.9466214082727351E-3</c:v>
                </c:pt>
                <c:pt idx="154">
                  <c:v>1.881473845742776E-2</c:v>
                </c:pt>
                <c:pt idx="155">
                  <c:v>2.6315772869385912E-2</c:v>
                </c:pt>
                <c:pt idx="156">
                  <c:v>-0.11695910580419544</c:v>
                </c:pt>
                <c:pt idx="157">
                  <c:v>-1.0018679062976488E-2</c:v>
                </c:pt>
                <c:pt idx="158">
                  <c:v>-1.8181767035707841E-2</c:v>
                </c:pt>
                <c:pt idx="159">
                  <c:v>2.6904209402368595E-2</c:v>
                </c:pt>
                <c:pt idx="160">
                  <c:v>-4.0149728481621683E-2</c:v>
                </c:pt>
                <c:pt idx="161">
                  <c:v>6.4693408886685955E-2</c:v>
                </c:pt>
                <c:pt idx="162">
                  <c:v>-2.9965207258197957E-3</c:v>
                </c:pt>
                <c:pt idx="163">
                  <c:v>-3.8403573858801776E-3</c:v>
                </c:pt>
                <c:pt idx="164">
                  <c:v>3.1847301374454684E-3</c:v>
                </c:pt>
                <c:pt idx="165">
                  <c:v>-8.5916945991965088E-3</c:v>
                </c:pt>
                <c:pt idx="166">
                  <c:v>3.3644928925910866E-2</c:v>
                </c:pt>
                <c:pt idx="167">
                  <c:v>7.7264011926219123E-3</c:v>
                </c:pt>
                <c:pt idx="168">
                  <c:v>3.654163191748161E-2</c:v>
                </c:pt>
                <c:pt idx="169">
                  <c:v>-2.5338384870343234E-2</c:v>
                </c:pt>
                <c:pt idx="170">
                  <c:v>1.2271903762312242E-2</c:v>
                </c:pt>
                <c:pt idx="171">
                  <c:v>5.8542065058893922E-2</c:v>
                </c:pt>
                <c:pt idx="172">
                  <c:v>9.6443488600912453E-3</c:v>
                </c:pt>
                <c:pt idx="173">
                  <c:v>-1.2238805970149147E-2</c:v>
                </c:pt>
                <c:pt idx="174">
                  <c:v>-2.2967603505590906E-2</c:v>
                </c:pt>
                <c:pt idx="175">
                  <c:v>2.8611164329652716E-2</c:v>
                </c:pt>
                <c:pt idx="176">
                  <c:v>4.0594946907384077E-3</c:v>
                </c:pt>
                <c:pt idx="177">
                  <c:v>1.3327328741050248E-2</c:v>
                </c:pt>
                <c:pt idx="178">
                  <c:v>-3.2752866837960637E-3</c:v>
                </c:pt>
                <c:pt idx="179">
                  <c:v>1.5683391292758531E-2</c:v>
                </c:pt>
                <c:pt idx="180">
                  <c:v>1.5588205882352879E-2</c:v>
                </c:pt>
                <c:pt idx="181">
                  <c:v>-1.4480162597166557E-2</c:v>
                </c:pt>
                <c:pt idx="182">
                  <c:v>1.4692918445281089E-2</c:v>
                </c:pt>
                <c:pt idx="183">
                  <c:v>-4.9232118425488469E-3</c:v>
                </c:pt>
                <c:pt idx="184">
                  <c:v>-2.6920808688579601E-2</c:v>
                </c:pt>
                <c:pt idx="185">
                  <c:v>2.0637011187213616E-2</c:v>
                </c:pt>
                <c:pt idx="186">
                  <c:v>-4.1172131868131734E-2</c:v>
                </c:pt>
                <c:pt idx="187">
                  <c:v>7.5762224337473594E-2</c:v>
                </c:pt>
                <c:pt idx="188">
                  <c:v>1.2739750748071099E-2</c:v>
                </c:pt>
                <c:pt idx="189">
                  <c:v>1.6961554770318354E-3</c:v>
                </c:pt>
                <c:pt idx="190">
                  <c:v>3.8097359753181959E-3</c:v>
                </c:pt>
                <c:pt idx="191">
                  <c:v>-2.6708181426879918E-3</c:v>
                </c:pt>
                <c:pt idx="192">
                  <c:v>1.4235405816860114E-2</c:v>
                </c:pt>
                <c:pt idx="193">
                  <c:v>1.181210411078526E-2</c:v>
                </c:pt>
                <c:pt idx="194">
                  <c:v>1.414638138020563E-2</c:v>
                </c:pt>
                <c:pt idx="195">
                  <c:v>-2.3022482287240464E-3</c:v>
                </c:pt>
                <c:pt idx="196">
                  <c:v>-1.6288177447758567E-3</c:v>
                </c:pt>
                <c:pt idx="197">
                  <c:v>-7.8858188489809855E-3</c:v>
                </c:pt>
                <c:pt idx="198">
                  <c:v>1.0826380556031578E-2</c:v>
                </c:pt>
                <c:pt idx="199">
                  <c:v>8.5411738464975517E-3</c:v>
                </c:pt>
                <c:pt idx="200">
                  <c:v>-1.4616335290517646E-2</c:v>
                </c:pt>
                <c:pt idx="201">
                  <c:v>-2.2936396729471009E-2</c:v>
                </c:pt>
                <c:pt idx="202">
                  <c:v>1.9117247949356875E-2</c:v>
                </c:pt>
                <c:pt idx="203">
                  <c:v>-3.0344786206896512E-2</c:v>
                </c:pt>
                <c:pt idx="204">
                  <c:v>3.6557608681752063E-2</c:v>
                </c:pt>
                <c:pt idx="205">
                  <c:v>-7.1360639301744078E-3</c:v>
                </c:pt>
                <c:pt idx="206">
                  <c:v>-3.1789219952708114E-3</c:v>
                </c:pt>
                <c:pt idx="207">
                  <c:v>-4.742104628032251E-2</c:v>
                </c:pt>
                <c:pt idx="208">
                  <c:v>-3.6390103481372948E-3</c:v>
                </c:pt>
                <c:pt idx="209">
                  <c:v>-1.6070270974591905E-3</c:v>
                </c:pt>
                <c:pt idx="210">
                  <c:v>2.4144016631197918E-2</c:v>
                </c:pt>
                <c:pt idx="211">
                  <c:v>-1.1858751589048477E-2</c:v>
                </c:pt>
                <c:pt idx="212">
                  <c:v>2.9930579529752421E-2</c:v>
                </c:pt>
                <c:pt idx="213">
                  <c:v>-3.7765013150427573E-2</c:v>
                </c:pt>
                <c:pt idx="214">
                  <c:v>3.9247183553440479E-2</c:v>
                </c:pt>
                <c:pt idx="215">
                  <c:v>-4.913744001948106E-3</c:v>
                </c:pt>
                <c:pt idx="216">
                  <c:v>-4.2324352807183718E-3</c:v>
                </c:pt>
                <c:pt idx="217">
                  <c:v>1.2842479656322014E-2</c:v>
                </c:pt>
                <c:pt idx="218">
                  <c:v>-2.0287432222283686E-2</c:v>
                </c:pt>
                <c:pt idx="219">
                  <c:v>-6.0396605401257242E-3</c:v>
                </c:pt>
                <c:pt idx="220">
                  <c:v>-1.2442143557198637E-2</c:v>
                </c:pt>
                <c:pt idx="221">
                  <c:v>-1.655442377514138E-2</c:v>
                </c:pt>
                <c:pt idx="222">
                  <c:v>7.4486819953234473E-4</c:v>
                </c:pt>
                <c:pt idx="223">
                  <c:v>-2.2625721941053945E-2</c:v>
                </c:pt>
                <c:pt idx="224">
                  <c:v>1.2793115273035838E-2</c:v>
                </c:pt>
                <c:pt idx="225">
                  <c:v>2.2857097744360955E-2</c:v>
                </c:pt>
                <c:pt idx="226">
                  <c:v>1.9847192877706199E-2</c:v>
                </c:pt>
                <c:pt idx="227">
                  <c:v>4.3534609620818454E-2</c:v>
                </c:pt>
                <c:pt idx="228">
                  <c:v>-3.2601188459748465E-2</c:v>
                </c:pt>
                <c:pt idx="229">
                  <c:v>8.2821506251913313E-3</c:v>
                </c:pt>
                <c:pt idx="230">
                  <c:v>-2.9957062195635764E-3</c:v>
                </c:pt>
                <c:pt idx="231">
                  <c:v>-4.0062670483084206E-3</c:v>
                </c:pt>
                <c:pt idx="232">
                  <c:v>3.548342141239158E-2</c:v>
                </c:pt>
                <c:pt idx="233">
                  <c:v>1.1376248296996572E-2</c:v>
                </c:pt>
                <c:pt idx="234">
                  <c:v>3.4293551871233952E-3</c:v>
                </c:pt>
                <c:pt idx="235">
                  <c:v>2.4470265906486377E-2</c:v>
                </c:pt>
                <c:pt idx="236">
                  <c:v>3.2025352761533288E-3</c:v>
                </c:pt>
                <c:pt idx="237">
                  <c:v>1.7557861133280062E-2</c:v>
                </c:pt>
                <c:pt idx="238">
                  <c:v>-3.6601437908496681E-3</c:v>
                </c:pt>
                <c:pt idx="239">
                  <c:v>4.0417356233223733E-2</c:v>
                </c:pt>
                <c:pt idx="240">
                  <c:v>-8.1249209645138931E-3</c:v>
                </c:pt>
                <c:pt idx="241">
                  <c:v>1.9070856997472907E-2</c:v>
                </c:pt>
                <c:pt idx="242">
                  <c:v>-2.5119943791007682E-3</c:v>
                </c:pt>
                <c:pt idx="243">
                  <c:v>-5.2631580272767153E-2</c:v>
                </c:pt>
                <c:pt idx="244">
                  <c:v>-5.3163478287173715E-3</c:v>
                </c:pt>
                <c:pt idx="245">
                  <c:v>1.1223998461998841E-2</c:v>
                </c:pt>
                <c:pt idx="246">
                  <c:v>-4.6247093023257246E-3</c:v>
                </c:pt>
                <c:pt idx="247">
                  <c:v>1.3407592900369414E-2</c:v>
                </c:pt>
                <c:pt idx="248">
                  <c:v>-2.4887871359070557E-3</c:v>
                </c:pt>
                <c:pt idx="249">
                  <c:v>4.8062979696310348E-2</c:v>
                </c:pt>
                <c:pt idx="250">
                  <c:v>8.3950008368625095E-3</c:v>
                </c:pt>
                <c:pt idx="251">
                  <c:v>5.3429297213123395E-3</c:v>
                </c:pt>
                <c:pt idx="252">
                  <c:v>-1.3557263344346815E-2</c:v>
                </c:pt>
                <c:pt idx="253">
                  <c:v>-8.5739631464873955E-3</c:v>
                </c:pt>
                <c:pt idx="254">
                  <c:v>-3.306549789134583E-3</c:v>
                </c:pt>
                <c:pt idx="255">
                  <c:v>6.5075153818738851E-3</c:v>
                </c:pt>
                <c:pt idx="256">
                  <c:v>1.9016227903761118E-2</c:v>
                </c:pt>
                <c:pt idx="257">
                  <c:v>-1.0574745356111359E-2</c:v>
                </c:pt>
                <c:pt idx="258">
                  <c:v>-1.7477681597858452E-2</c:v>
                </c:pt>
                <c:pt idx="259">
                  <c:v>1.1005899808112396E-2</c:v>
                </c:pt>
                <c:pt idx="260">
                  <c:v>6.4936670886075909E-2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909784"/>
        <c:axId val="271911744"/>
      </c:lineChart>
      <c:catAx>
        <c:axId val="271909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11744"/>
        <c:crosses val="autoZero"/>
        <c:auto val="1"/>
        <c:lblAlgn val="ctr"/>
        <c:lblOffset val="100"/>
        <c:noMultiLvlLbl val="0"/>
      </c:catAx>
      <c:valAx>
        <c:axId val="27191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09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Precio</a:t>
            </a:r>
            <a:r>
              <a:rPr lang="en-US" baseline="0"/>
              <a:t> Histórico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'Pregunta 1'!$B$17:$B$278</c:f>
              <c:numCache>
                <c:formatCode>General</c:formatCode>
                <c:ptCount val="262"/>
                <c:pt idx="0">
                  <c:v>75.809997999999993</c:v>
                </c:pt>
                <c:pt idx="1">
                  <c:v>75.620002999999997</c:v>
                </c:pt>
                <c:pt idx="2">
                  <c:v>75.110000999999997</c:v>
                </c:pt>
                <c:pt idx="3">
                  <c:v>72.769997000000004</c:v>
                </c:pt>
                <c:pt idx="4">
                  <c:v>72.309997999999993</c:v>
                </c:pt>
                <c:pt idx="5">
                  <c:v>68.029999000000004</c:v>
                </c:pt>
                <c:pt idx="6">
                  <c:v>70.199996999999996</c:v>
                </c:pt>
                <c:pt idx="7">
                  <c:v>72.019997000000004</c:v>
                </c:pt>
                <c:pt idx="8">
                  <c:v>72.290001000000004</c:v>
                </c:pt>
                <c:pt idx="9">
                  <c:v>68.75</c:v>
                </c:pt>
                <c:pt idx="10">
                  <c:v>68.650002000000001</c:v>
                </c:pt>
                <c:pt idx="11">
                  <c:v>67.610000999999997</c:v>
                </c:pt>
                <c:pt idx="12">
                  <c:v>69.059997999999993</c:v>
                </c:pt>
                <c:pt idx="13">
                  <c:v>68.629997000000003</c:v>
                </c:pt>
                <c:pt idx="14">
                  <c:v>69.199996999999996</c:v>
                </c:pt>
                <c:pt idx="15">
                  <c:v>69</c:v>
                </c:pt>
                <c:pt idx="16">
                  <c:v>70.489998</c:v>
                </c:pt>
                <c:pt idx="17">
                  <c:v>71.480002999999996</c:v>
                </c:pt>
                <c:pt idx="18">
                  <c:v>69.300003000000004</c:v>
                </c:pt>
                <c:pt idx="19">
                  <c:v>70.400002000000001</c:v>
                </c:pt>
                <c:pt idx="20">
                  <c:v>71.739998</c:v>
                </c:pt>
                <c:pt idx="21">
                  <c:v>73.029999000000004</c:v>
                </c:pt>
                <c:pt idx="22">
                  <c:v>72.5</c:v>
                </c:pt>
                <c:pt idx="23">
                  <c:v>74.279999000000004</c:v>
                </c:pt>
                <c:pt idx="24">
                  <c:v>74.830001999999993</c:v>
                </c:pt>
                <c:pt idx="25">
                  <c:v>76.389999000000003</c:v>
                </c:pt>
                <c:pt idx="26">
                  <c:v>78.559997999999993</c:v>
                </c:pt>
                <c:pt idx="27">
                  <c:v>78.290001000000004</c:v>
                </c:pt>
                <c:pt idx="28">
                  <c:v>79.040001000000004</c:v>
                </c:pt>
                <c:pt idx="29">
                  <c:v>79.25</c:v>
                </c:pt>
                <c:pt idx="30">
                  <c:v>78.889999000000003</c:v>
                </c:pt>
                <c:pt idx="31">
                  <c:v>77.870002999999997</c:v>
                </c:pt>
                <c:pt idx="32">
                  <c:v>77.309997999999993</c:v>
                </c:pt>
                <c:pt idx="33">
                  <c:v>74.839995999999999</c:v>
                </c:pt>
                <c:pt idx="34">
                  <c:v>76.330001999999993</c:v>
                </c:pt>
                <c:pt idx="35">
                  <c:v>74.870002999999997</c:v>
                </c:pt>
                <c:pt idx="36">
                  <c:v>73.510002</c:v>
                </c:pt>
                <c:pt idx="37">
                  <c:v>74.489998</c:v>
                </c:pt>
                <c:pt idx="38">
                  <c:v>75.209998999999996</c:v>
                </c:pt>
                <c:pt idx="39">
                  <c:v>77.629997000000003</c:v>
                </c:pt>
                <c:pt idx="40">
                  <c:v>78.080001999999993</c:v>
                </c:pt>
                <c:pt idx="41">
                  <c:v>78</c:v>
                </c:pt>
                <c:pt idx="42">
                  <c:v>78.75</c:v>
                </c:pt>
                <c:pt idx="43">
                  <c:v>76.900002000000001</c:v>
                </c:pt>
                <c:pt idx="44">
                  <c:v>74.110000999999997</c:v>
                </c:pt>
                <c:pt idx="45">
                  <c:v>73.440002000000007</c:v>
                </c:pt>
                <c:pt idx="46">
                  <c:v>72.980002999999996</c:v>
                </c:pt>
                <c:pt idx="47">
                  <c:v>72.589995999999999</c:v>
                </c:pt>
                <c:pt idx="48">
                  <c:v>74.360000999999997</c:v>
                </c:pt>
                <c:pt idx="49">
                  <c:v>75.830001999999993</c:v>
                </c:pt>
                <c:pt idx="50">
                  <c:v>74.360000999999997</c:v>
                </c:pt>
                <c:pt idx="51">
                  <c:v>72.800003000000004</c:v>
                </c:pt>
                <c:pt idx="52">
                  <c:v>74.819999999999993</c:v>
                </c:pt>
                <c:pt idx="53">
                  <c:v>75.709998999999996</c:v>
                </c:pt>
                <c:pt idx="54">
                  <c:v>76.080001999999993</c:v>
                </c:pt>
                <c:pt idx="55">
                  <c:v>77.069999999999993</c:v>
                </c:pt>
                <c:pt idx="56">
                  <c:v>77.959998999999996</c:v>
                </c:pt>
                <c:pt idx="57">
                  <c:v>79.220000999999996</c:v>
                </c:pt>
                <c:pt idx="58">
                  <c:v>79.809997999999993</c:v>
                </c:pt>
                <c:pt idx="59">
                  <c:v>81.010002</c:v>
                </c:pt>
                <c:pt idx="60">
                  <c:v>79.940002000000007</c:v>
                </c:pt>
                <c:pt idx="61">
                  <c:v>78.080001999999993</c:v>
                </c:pt>
                <c:pt idx="62">
                  <c:v>77.430000000000007</c:v>
                </c:pt>
                <c:pt idx="63">
                  <c:v>78.470000999999996</c:v>
                </c:pt>
                <c:pt idx="64">
                  <c:v>78.650002000000001</c:v>
                </c:pt>
                <c:pt idx="65">
                  <c:v>78.040001000000004</c:v>
                </c:pt>
                <c:pt idx="66">
                  <c:v>76.190002000000007</c:v>
                </c:pt>
                <c:pt idx="67">
                  <c:v>74.419998000000007</c:v>
                </c:pt>
                <c:pt idx="68">
                  <c:v>74.680000000000007</c:v>
                </c:pt>
                <c:pt idx="69">
                  <c:v>73.75</c:v>
                </c:pt>
                <c:pt idx="70">
                  <c:v>75.790001000000004</c:v>
                </c:pt>
                <c:pt idx="71">
                  <c:v>73.120002999999997</c:v>
                </c:pt>
                <c:pt idx="72">
                  <c:v>74.699996999999996</c:v>
                </c:pt>
                <c:pt idx="73">
                  <c:v>74.580001999999993</c:v>
                </c:pt>
                <c:pt idx="74">
                  <c:v>74.279999000000004</c:v>
                </c:pt>
                <c:pt idx="75">
                  <c:v>76.099997999999999</c:v>
                </c:pt>
                <c:pt idx="76">
                  <c:v>76.010002</c:v>
                </c:pt>
                <c:pt idx="77">
                  <c:v>77.309997999999993</c:v>
                </c:pt>
                <c:pt idx="78">
                  <c:v>76.5</c:v>
                </c:pt>
                <c:pt idx="79">
                  <c:v>77.660004000000001</c:v>
                </c:pt>
                <c:pt idx="80">
                  <c:v>78.620002999999997</c:v>
                </c:pt>
                <c:pt idx="81">
                  <c:v>79.120002999999997</c:v>
                </c:pt>
                <c:pt idx="82">
                  <c:v>79.199996999999996</c:v>
                </c:pt>
                <c:pt idx="83">
                  <c:v>77.010002</c:v>
                </c:pt>
                <c:pt idx="84">
                  <c:v>75.610000999999997</c:v>
                </c:pt>
                <c:pt idx="85">
                  <c:v>76.769997000000004</c:v>
                </c:pt>
                <c:pt idx="86">
                  <c:v>77.209998999999996</c:v>
                </c:pt>
                <c:pt idx="87">
                  <c:v>75.279999000000004</c:v>
                </c:pt>
                <c:pt idx="88">
                  <c:v>75.680000000000007</c:v>
                </c:pt>
                <c:pt idx="89">
                  <c:v>75.339995999999999</c:v>
                </c:pt>
                <c:pt idx="90">
                  <c:v>75.75</c:v>
                </c:pt>
                <c:pt idx="91">
                  <c:v>76.819999999999993</c:v>
                </c:pt>
                <c:pt idx="92">
                  <c:v>77.089995999999999</c:v>
                </c:pt>
                <c:pt idx="93">
                  <c:v>75.970000999999996</c:v>
                </c:pt>
                <c:pt idx="94">
                  <c:v>73.540001000000004</c:v>
                </c:pt>
                <c:pt idx="95">
                  <c:v>74.669998000000007</c:v>
                </c:pt>
                <c:pt idx="96">
                  <c:v>73.900002000000001</c:v>
                </c:pt>
                <c:pt idx="97">
                  <c:v>75.730002999999996</c:v>
                </c:pt>
                <c:pt idx="98">
                  <c:v>75.5</c:v>
                </c:pt>
                <c:pt idx="99">
                  <c:v>77.510002</c:v>
                </c:pt>
                <c:pt idx="100">
                  <c:v>75.769997000000004</c:v>
                </c:pt>
                <c:pt idx="101">
                  <c:v>76.839995999999999</c:v>
                </c:pt>
                <c:pt idx="102">
                  <c:v>76.489998</c:v>
                </c:pt>
                <c:pt idx="103">
                  <c:v>77.319999999999993</c:v>
                </c:pt>
                <c:pt idx="104">
                  <c:v>78.290001000000004</c:v>
                </c:pt>
                <c:pt idx="105">
                  <c:v>74.099997999999999</c:v>
                </c:pt>
                <c:pt idx="106">
                  <c:v>76.379997000000003</c:v>
                </c:pt>
                <c:pt idx="107">
                  <c:v>76.269997000000004</c:v>
                </c:pt>
                <c:pt idx="108">
                  <c:v>78.769997000000004</c:v>
                </c:pt>
                <c:pt idx="109">
                  <c:v>82.959998999999996</c:v>
                </c:pt>
                <c:pt idx="110">
                  <c:v>84.650002000000001</c:v>
                </c:pt>
                <c:pt idx="111">
                  <c:v>87.540001000000004</c:v>
                </c:pt>
                <c:pt idx="112">
                  <c:v>84.120002999999997</c:v>
                </c:pt>
                <c:pt idx="113">
                  <c:v>83.809997999999993</c:v>
                </c:pt>
                <c:pt idx="114">
                  <c:v>85.160004000000001</c:v>
                </c:pt>
                <c:pt idx="115">
                  <c:v>86.910004000000001</c:v>
                </c:pt>
                <c:pt idx="116">
                  <c:v>85.900002000000001</c:v>
                </c:pt>
                <c:pt idx="117">
                  <c:v>89.349997999999999</c:v>
                </c:pt>
                <c:pt idx="118">
                  <c:v>86.769997000000004</c:v>
                </c:pt>
                <c:pt idx="119">
                  <c:v>88.510002</c:v>
                </c:pt>
                <c:pt idx="120">
                  <c:v>84.980002999999996</c:v>
                </c:pt>
                <c:pt idx="121">
                  <c:v>87.330001999999993</c:v>
                </c:pt>
                <c:pt idx="122">
                  <c:v>85.809997999999993</c:v>
                </c:pt>
                <c:pt idx="123">
                  <c:v>84.300003000000004</c:v>
                </c:pt>
                <c:pt idx="124">
                  <c:v>83.93</c:v>
                </c:pt>
                <c:pt idx="125">
                  <c:v>82.589995999999999</c:v>
                </c:pt>
                <c:pt idx="126">
                  <c:v>81.900002000000001</c:v>
                </c:pt>
                <c:pt idx="127">
                  <c:v>83.239998</c:v>
                </c:pt>
                <c:pt idx="128">
                  <c:v>81.349997999999999</c:v>
                </c:pt>
                <c:pt idx="129">
                  <c:v>80.730002999999996</c:v>
                </c:pt>
                <c:pt idx="130">
                  <c:v>80.650002000000001</c:v>
                </c:pt>
                <c:pt idx="131">
                  <c:v>77.879997000000003</c:v>
                </c:pt>
                <c:pt idx="132">
                  <c:v>79.839995999999999</c:v>
                </c:pt>
                <c:pt idx="133">
                  <c:v>78.599997999999999</c:v>
                </c:pt>
                <c:pt idx="134">
                  <c:v>78.529999000000004</c:v>
                </c:pt>
                <c:pt idx="135">
                  <c:v>79.239998</c:v>
                </c:pt>
                <c:pt idx="136">
                  <c:v>75.860000999999997</c:v>
                </c:pt>
                <c:pt idx="137">
                  <c:v>74.269997000000004</c:v>
                </c:pt>
                <c:pt idx="138">
                  <c:v>73.059997999999993</c:v>
                </c:pt>
                <c:pt idx="139">
                  <c:v>72.430000000000007</c:v>
                </c:pt>
                <c:pt idx="140">
                  <c:v>72.739998</c:v>
                </c:pt>
                <c:pt idx="141">
                  <c:v>72.120002999999997</c:v>
                </c:pt>
                <c:pt idx="142">
                  <c:v>71.860000999999997</c:v>
                </c:pt>
                <c:pt idx="143">
                  <c:v>73.120002999999997</c:v>
                </c:pt>
                <c:pt idx="144">
                  <c:v>73.389999000000003</c:v>
                </c:pt>
                <c:pt idx="145">
                  <c:v>71.580001999999993</c:v>
                </c:pt>
                <c:pt idx="146">
                  <c:v>71.980002999999996</c:v>
                </c:pt>
                <c:pt idx="147">
                  <c:v>71.25</c:v>
                </c:pt>
                <c:pt idx="148">
                  <c:v>72.379997000000003</c:v>
                </c:pt>
                <c:pt idx="149">
                  <c:v>66.540001000000004</c:v>
                </c:pt>
                <c:pt idx="150">
                  <c:v>64.940002000000007</c:v>
                </c:pt>
                <c:pt idx="151">
                  <c:v>63.889999000000003</c:v>
                </c:pt>
                <c:pt idx="152">
                  <c:v>64.650002000000001</c:v>
                </c:pt>
                <c:pt idx="153">
                  <c:v>63.34</c:v>
                </c:pt>
                <c:pt idx="154">
                  <c:v>63.779998999999997</c:v>
                </c:pt>
                <c:pt idx="155">
                  <c:v>64.980002999999996</c:v>
                </c:pt>
                <c:pt idx="156">
                  <c:v>66.690002000000007</c:v>
                </c:pt>
                <c:pt idx="157">
                  <c:v>58.889999000000003</c:v>
                </c:pt>
                <c:pt idx="158">
                  <c:v>58.299999</c:v>
                </c:pt>
                <c:pt idx="159">
                  <c:v>57.240001999999997</c:v>
                </c:pt>
                <c:pt idx="160">
                  <c:v>58.779998999999997</c:v>
                </c:pt>
                <c:pt idx="161">
                  <c:v>56.419998</c:v>
                </c:pt>
                <c:pt idx="162">
                  <c:v>60.07</c:v>
                </c:pt>
                <c:pt idx="163">
                  <c:v>59.889999000000003</c:v>
                </c:pt>
                <c:pt idx="164">
                  <c:v>59.66</c:v>
                </c:pt>
                <c:pt idx="165">
                  <c:v>59.360000999999997</c:v>
                </c:pt>
                <c:pt idx="166">
                  <c:v>58.849997999999999</c:v>
                </c:pt>
                <c:pt idx="167">
                  <c:v>60.830002</c:v>
                </c:pt>
                <c:pt idx="168">
                  <c:v>61.299999</c:v>
                </c:pt>
                <c:pt idx="169">
                  <c:v>63.540000999999997</c:v>
                </c:pt>
                <c:pt idx="170">
                  <c:v>61.93</c:v>
                </c:pt>
                <c:pt idx="171">
                  <c:v>62.689999</c:v>
                </c:pt>
                <c:pt idx="172">
                  <c:v>66.360000999999997</c:v>
                </c:pt>
                <c:pt idx="173">
                  <c:v>67</c:v>
                </c:pt>
                <c:pt idx="174">
                  <c:v>66.180000000000007</c:v>
                </c:pt>
                <c:pt idx="175">
                  <c:v>64.660004000000001</c:v>
                </c:pt>
                <c:pt idx="176">
                  <c:v>66.510002</c:v>
                </c:pt>
                <c:pt idx="177">
                  <c:v>66.779999000000004</c:v>
                </c:pt>
                <c:pt idx="178">
                  <c:v>67.169998000000007</c:v>
                </c:pt>
                <c:pt idx="179">
                  <c:v>66.949996999999996</c:v>
                </c:pt>
                <c:pt idx="180">
                  <c:v>68</c:v>
                </c:pt>
                <c:pt idx="181">
                  <c:v>69.059997999999993</c:v>
                </c:pt>
                <c:pt idx="182">
                  <c:v>68.059997999999993</c:v>
                </c:pt>
                <c:pt idx="183">
                  <c:v>69.059997999999993</c:v>
                </c:pt>
                <c:pt idx="184">
                  <c:v>68.720000999999996</c:v>
                </c:pt>
                <c:pt idx="185">
                  <c:v>66.870002999999997</c:v>
                </c:pt>
                <c:pt idx="186">
                  <c:v>68.25</c:v>
                </c:pt>
                <c:pt idx="187">
                  <c:v>64.940002000000007</c:v>
                </c:pt>
                <c:pt idx="188">
                  <c:v>69.860000999999997</c:v>
                </c:pt>
                <c:pt idx="189">
                  <c:v>70.75</c:v>
                </c:pt>
                <c:pt idx="190">
                  <c:v>70.870002999999997</c:v>
                </c:pt>
                <c:pt idx="191">
                  <c:v>71.139999000000003</c:v>
                </c:pt>
                <c:pt idx="192">
                  <c:v>70.949996999999996</c:v>
                </c:pt>
                <c:pt idx="193">
                  <c:v>71.959998999999996</c:v>
                </c:pt>
                <c:pt idx="194">
                  <c:v>72.809997999999993</c:v>
                </c:pt>
                <c:pt idx="195">
                  <c:v>73.839995999999999</c:v>
                </c:pt>
                <c:pt idx="196">
                  <c:v>73.669998000000007</c:v>
                </c:pt>
                <c:pt idx="197">
                  <c:v>73.550003000000004</c:v>
                </c:pt>
                <c:pt idx="198">
                  <c:v>72.970000999999996</c:v>
                </c:pt>
                <c:pt idx="199">
                  <c:v>73.760002</c:v>
                </c:pt>
                <c:pt idx="200">
                  <c:v>73.889999000000003</c:v>
                </c:pt>
                <c:pt idx="201">
                  <c:v>72.809997999999993</c:v>
                </c:pt>
                <c:pt idx="202">
                  <c:v>71.139999000000003</c:v>
                </c:pt>
                <c:pt idx="203">
                  <c:v>72.5</c:v>
                </c:pt>
                <c:pt idx="204">
                  <c:v>70.300003000000004</c:v>
                </c:pt>
                <c:pt idx="205">
                  <c:v>72.870002999999997</c:v>
                </c:pt>
                <c:pt idx="206">
                  <c:v>72.349997999999999</c:v>
                </c:pt>
                <c:pt idx="207">
                  <c:v>72.120002999999997</c:v>
                </c:pt>
                <c:pt idx="208">
                  <c:v>68.699996999999996</c:v>
                </c:pt>
                <c:pt idx="209">
                  <c:v>68.449996999999996</c:v>
                </c:pt>
                <c:pt idx="210">
                  <c:v>68.339995999999999</c:v>
                </c:pt>
                <c:pt idx="211">
                  <c:v>69.989998</c:v>
                </c:pt>
                <c:pt idx="212">
                  <c:v>69.160004000000001</c:v>
                </c:pt>
                <c:pt idx="213">
                  <c:v>71.230002999999996</c:v>
                </c:pt>
                <c:pt idx="214">
                  <c:v>68.540001000000004</c:v>
                </c:pt>
                <c:pt idx="215">
                  <c:v>71.230002999999996</c:v>
                </c:pt>
                <c:pt idx="216">
                  <c:v>70.879997000000003</c:v>
                </c:pt>
                <c:pt idx="217">
                  <c:v>70.080001999999993</c:v>
                </c:pt>
                <c:pt idx="218">
                  <c:v>70.980002999999996</c:v>
                </c:pt>
                <c:pt idx="219">
                  <c:v>69.540001000000004</c:v>
                </c:pt>
                <c:pt idx="220">
                  <c:v>69.120002999999997</c:v>
                </c:pt>
                <c:pt idx="221">
                  <c:v>68.260002</c:v>
                </c:pt>
                <c:pt idx="222">
                  <c:v>67.129997000000003</c:v>
                </c:pt>
                <c:pt idx="223">
                  <c:v>67.180000000000007</c:v>
                </c:pt>
                <c:pt idx="224">
                  <c:v>65.660004000000001</c:v>
                </c:pt>
                <c:pt idx="225">
                  <c:v>66.5</c:v>
                </c:pt>
                <c:pt idx="226">
                  <c:v>68.019997000000004</c:v>
                </c:pt>
                <c:pt idx="227">
                  <c:v>69.370002999999997</c:v>
                </c:pt>
                <c:pt idx="228">
                  <c:v>72.389999000000003</c:v>
                </c:pt>
                <c:pt idx="229">
                  <c:v>70.029999000000004</c:v>
                </c:pt>
                <c:pt idx="230">
                  <c:v>70.099997999999999</c:v>
                </c:pt>
                <c:pt idx="231">
                  <c:v>69.889999000000003</c:v>
                </c:pt>
                <c:pt idx="232">
                  <c:v>69.610000999999997</c:v>
                </c:pt>
                <c:pt idx="233">
                  <c:v>72.080001999999993</c:v>
                </c:pt>
                <c:pt idx="234">
                  <c:v>72.900002000000001</c:v>
                </c:pt>
                <c:pt idx="235">
                  <c:v>73.150002000000001</c:v>
                </c:pt>
                <c:pt idx="236">
                  <c:v>74.940002000000007</c:v>
                </c:pt>
                <c:pt idx="237">
                  <c:v>75.180000000000007</c:v>
                </c:pt>
                <c:pt idx="238">
                  <c:v>76.5</c:v>
                </c:pt>
                <c:pt idx="239">
                  <c:v>75.709998999999996</c:v>
                </c:pt>
                <c:pt idx="240">
                  <c:v>78.769997000000004</c:v>
                </c:pt>
                <c:pt idx="241">
                  <c:v>78.129997000000003</c:v>
                </c:pt>
                <c:pt idx="242">
                  <c:v>79.620002999999997</c:v>
                </c:pt>
                <c:pt idx="243">
                  <c:v>79.419998000000007</c:v>
                </c:pt>
                <c:pt idx="244">
                  <c:v>75.239998</c:v>
                </c:pt>
                <c:pt idx="245">
                  <c:v>74.839995999999999</c:v>
                </c:pt>
                <c:pt idx="246">
                  <c:v>75.680000000000007</c:v>
                </c:pt>
                <c:pt idx="247">
                  <c:v>75.330001999999993</c:v>
                </c:pt>
                <c:pt idx="248">
                  <c:v>76.339995999999999</c:v>
                </c:pt>
                <c:pt idx="249">
                  <c:v>76.150002000000001</c:v>
                </c:pt>
                <c:pt idx="250">
                  <c:v>79.809997999999993</c:v>
                </c:pt>
                <c:pt idx="251">
                  <c:v>80.480002999999996</c:v>
                </c:pt>
                <c:pt idx="252">
                  <c:v>80.400002000000001</c:v>
                </c:pt>
                <c:pt idx="253">
                  <c:v>79.309997999999993</c:v>
                </c:pt>
                <c:pt idx="254">
                  <c:v>78.629997000000003</c:v>
                </c:pt>
                <c:pt idx="255">
                  <c:v>78.370002999999997</c:v>
                </c:pt>
                <c:pt idx="256">
                  <c:v>78.879997000000003</c:v>
                </c:pt>
                <c:pt idx="257">
                  <c:v>80.379997000000003</c:v>
                </c:pt>
                <c:pt idx="258">
                  <c:v>79.529999000000004</c:v>
                </c:pt>
                <c:pt idx="259">
                  <c:v>78.139999000000003</c:v>
                </c:pt>
                <c:pt idx="260">
                  <c:v>79</c:v>
                </c:pt>
                <c:pt idx="261">
                  <c:v>84.129997000000003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904688"/>
        <c:axId val="271909392"/>
      </c:lineChart>
      <c:catAx>
        <c:axId val="27190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09392"/>
        <c:crosses val="autoZero"/>
        <c:auto val="1"/>
        <c:lblAlgn val="ctr"/>
        <c:lblOffset val="100"/>
        <c:noMultiLvlLbl val="0"/>
      </c:catAx>
      <c:valAx>
        <c:axId val="27190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0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2</xdr:row>
      <xdr:rowOff>166687</xdr:rowOff>
    </xdr:from>
    <xdr:to>
      <xdr:col>14</xdr:col>
      <xdr:colOff>152400</xdr:colOff>
      <xdr:row>17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35</xdr:row>
      <xdr:rowOff>109537</xdr:rowOff>
    </xdr:from>
    <xdr:to>
      <xdr:col>15</xdr:col>
      <xdr:colOff>390525</xdr:colOff>
      <xdr:row>49</xdr:row>
      <xdr:rowOff>166687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409575</xdr:colOff>
      <xdr:row>15</xdr:row>
      <xdr:rowOff>109537</xdr:rowOff>
    </xdr:from>
    <xdr:to>
      <xdr:col>16</xdr:col>
      <xdr:colOff>104775</xdr:colOff>
      <xdr:row>33</xdr:row>
      <xdr:rowOff>147637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P7" sqref="P7"/>
    </sheetView>
  </sheetViews>
  <sheetFormatPr defaultRowHeight="15" x14ac:dyDescent="0.25"/>
  <sheetData>
    <row r="1" spans="1:2" x14ac:dyDescent="0.25">
      <c r="A1" s="3" t="s">
        <v>0</v>
      </c>
      <c r="B1" s="3" t="s">
        <v>2</v>
      </c>
    </row>
    <row r="2" spans="1:2" x14ac:dyDescent="0.25">
      <c r="A2" s="19">
        <v>-0.12</v>
      </c>
      <c r="B2" s="1">
        <v>0</v>
      </c>
    </row>
    <row r="3" spans="1:2" x14ac:dyDescent="0.25">
      <c r="A3" s="19">
        <v>-0.09</v>
      </c>
      <c r="B3" s="1">
        <v>1</v>
      </c>
    </row>
    <row r="4" spans="1:2" x14ac:dyDescent="0.25">
      <c r="A4" s="19">
        <v>-0.06</v>
      </c>
      <c r="B4" s="1">
        <v>1</v>
      </c>
    </row>
    <row r="5" spans="1:2" x14ac:dyDescent="0.25">
      <c r="A5" s="19">
        <v>-0.03</v>
      </c>
      <c r="B5" s="1">
        <v>20</v>
      </c>
    </row>
    <row r="6" spans="1:2" x14ac:dyDescent="0.25">
      <c r="A6" s="19">
        <v>0</v>
      </c>
      <c r="B6" s="1">
        <v>105</v>
      </c>
    </row>
    <row r="7" spans="1:2" x14ac:dyDescent="0.25">
      <c r="A7" s="19">
        <v>0.03</v>
      </c>
      <c r="B7" s="1">
        <v>115</v>
      </c>
    </row>
    <row r="8" spans="1:2" x14ac:dyDescent="0.25">
      <c r="A8" s="19">
        <v>0.06</v>
      </c>
      <c r="B8" s="1">
        <v>16</v>
      </c>
    </row>
    <row r="9" spans="1:2" x14ac:dyDescent="0.25">
      <c r="A9" s="19">
        <v>0.09</v>
      </c>
      <c r="B9" s="1">
        <v>3</v>
      </c>
    </row>
    <row r="10" spans="1:2" ht="15.75" thickBot="1" x14ac:dyDescent="0.3">
      <c r="A10" s="2" t="s">
        <v>1</v>
      </c>
      <c r="B10" s="2">
        <v>0</v>
      </c>
    </row>
  </sheetData>
  <sortState ref="A2:A9">
    <sortCondition ref="A2"/>
  </sortState>
  <pageMargins left="0.7" right="0.7" top="0.75" bottom="0.75" header="0.3" footer="0.3"/>
  <pageSetup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8"/>
  <sheetViews>
    <sheetView tabSelected="1" workbookViewId="0">
      <selection activeCell="F12" sqref="F12"/>
    </sheetView>
  </sheetViews>
  <sheetFormatPr defaultRowHeight="15" x14ac:dyDescent="0.25"/>
  <cols>
    <col min="1" max="1" width="12.140625" style="9" bestFit="1" customWidth="1"/>
    <col min="2" max="2" width="9.28515625" style="9" bestFit="1" customWidth="1"/>
    <col min="3" max="3" width="13.28515625" style="9" customWidth="1"/>
    <col min="4" max="4" width="9.28515625" style="9" hidden="1" customWidth="1"/>
    <col min="5" max="5" width="18.42578125" style="6" customWidth="1"/>
    <col min="6" max="6" width="14.28515625" style="9" customWidth="1"/>
    <col min="7" max="7" width="12.28515625" style="9" customWidth="1"/>
    <col min="9" max="16384" width="9.140625" style="9"/>
  </cols>
  <sheetData>
    <row r="1" spans="1:8" x14ac:dyDescent="0.25">
      <c r="A1" s="9" t="s">
        <v>13</v>
      </c>
      <c r="H1" s="15"/>
    </row>
    <row r="2" spans="1:8" x14ac:dyDescent="0.25">
      <c r="A2" s="9" t="s">
        <v>14</v>
      </c>
      <c r="H2" s="15"/>
    </row>
    <row r="3" spans="1:8" x14ac:dyDescent="0.25">
      <c r="A3" s="9" t="s">
        <v>15</v>
      </c>
      <c r="H3" s="15"/>
    </row>
    <row r="4" spans="1:8" x14ac:dyDescent="0.25">
      <c r="A4" s="9" t="s">
        <v>16</v>
      </c>
      <c r="H4" s="15"/>
    </row>
    <row r="5" spans="1:8" x14ac:dyDescent="0.25">
      <c r="A5" s="9" t="s">
        <v>17</v>
      </c>
      <c r="H5" s="15"/>
    </row>
    <row r="6" spans="1:8" x14ac:dyDescent="0.25">
      <c r="G6" s="9" t="s">
        <v>19</v>
      </c>
      <c r="H6" s="15"/>
    </row>
    <row r="7" spans="1:8" x14ac:dyDescent="0.25">
      <c r="A7" s="9" t="s">
        <v>10</v>
      </c>
      <c r="B7" s="13">
        <f>COUNT(E18:E278)</f>
        <v>261</v>
      </c>
      <c r="G7" s="7">
        <v>-0.12</v>
      </c>
      <c r="H7" s="15"/>
    </row>
    <row r="8" spans="1:8" x14ac:dyDescent="0.25">
      <c r="A8" s="20" t="s">
        <v>7</v>
      </c>
      <c r="B8" s="21">
        <f>AVERAGE(E18:E278)</f>
        <v>1.1712278822494282E-3</v>
      </c>
      <c r="C8" s="10" t="s">
        <v>20</v>
      </c>
      <c r="E8" s="9"/>
      <c r="G8" s="7">
        <f>G7+3%</f>
        <v>-0.09</v>
      </c>
      <c r="H8" s="4"/>
    </row>
    <row r="9" spans="1:8" x14ac:dyDescent="0.25">
      <c r="A9" s="9" t="s">
        <v>8</v>
      </c>
      <c r="B9" s="18">
        <f>_xlfn.VAR.S(E18:E278)</f>
        <v>5.3794931086149336E-4</v>
      </c>
      <c r="C9" s="10" t="s">
        <v>20</v>
      </c>
      <c r="E9" s="17">
        <f>SUM(F18:F278)/(B7-1)</f>
        <v>5.3794931086149358E-4</v>
      </c>
      <c r="F9" s="9" t="s">
        <v>21</v>
      </c>
      <c r="G9" s="7">
        <f t="shared" ref="G9:G14" si="0">G8+3%</f>
        <v>-0.06</v>
      </c>
      <c r="H9" s="4"/>
    </row>
    <row r="10" spans="1:8" x14ac:dyDescent="0.25">
      <c r="A10" s="20" t="s">
        <v>9</v>
      </c>
      <c r="B10" s="21">
        <f>_xlfn.STDEV.S(E18:E278)</f>
        <v>2.3193734301778429E-2</v>
      </c>
      <c r="C10" s="10" t="s">
        <v>20</v>
      </c>
      <c r="E10" s="10">
        <f>SQRT(E9)</f>
        <v>2.3193734301778436E-2</v>
      </c>
      <c r="F10" s="9" t="s">
        <v>21</v>
      </c>
      <c r="G10" s="7">
        <f t="shared" si="0"/>
        <v>-0.03</v>
      </c>
      <c r="H10" s="4"/>
    </row>
    <row r="11" spans="1:8" x14ac:dyDescent="0.25">
      <c r="A11" s="9" t="s">
        <v>11</v>
      </c>
      <c r="B11" s="14">
        <f>MIN(E18:E278)</f>
        <v>-0.11695910580419544</v>
      </c>
      <c r="C11" s="10"/>
      <c r="E11" s="5"/>
      <c r="G11" s="7">
        <f t="shared" si="0"/>
        <v>0</v>
      </c>
      <c r="H11" s="4"/>
    </row>
    <row r="12" spans="1:8" x14ac:dyDescent="0.25">
      <c r="A12" s="9" t="s">
        <v>12</v>
      </c>
      <c r="B12" s="14">
        <f>MAX(E18:E278)</f>
        <v>7.5762224337473594E-2</v>
      </c>
      <c r="C12" s="10"/>
      <c r="E12" s="5"/>
      <c r="G12" s="7">
        <f t="shared" si="0"/>
        <v>0.03</v>
      </c>
      <c r="H12" s="4"/>
    </row>
    <row r="13" spans="1:8" x14ac:dyDescent="0.25">
      <c r="E13" s="5"/>
      <c r="G13" s="7">
        <f t="shared" si="0"/>
        <v>0.06</v>
      </c>
      <c r="H13" s="4"/>
    </row>
    <row r="14" spans="1:8" x14ac:dyDescent="0.25">
      <c r="E14" s="5"/>
      <c r="G14" s="7">
        <f t="shared" si="0"/>
        <v>0.09</v>
      </c>
      <c r="H14" s="4"/>
    </row>
    <row r="15" spans="1:8" x14ac:dyDescent="0.25">
      <c r="E15" s="5"/>
      <c r="G15" s="8"/>
      <c r="H15" s="4"/>
    </row>
    <row r="16" spans="1:8" ht="13.5" x14ac:dyDescent="0.25">
      <c r="A16" s="9" t="s">
        <v>3</v>
      </c>
      <c r="B16" s="9" t="s">
        <v>4</v>
      </c>
      <c r="C16" s="9" t="s">
        <v>5</v>
      </c>
      <c r="D16" s="9" t="s">
        <v>6</v>
      </c>
      <c r="E16" s="6" t="s">
        <v>18</v>
      </c>
      <c r="G16" s="11"/>
      <c r="H16" s="9"/>
    </row>
    <row r="17" spans="1:8" ht="13.5" x14ac:dyDescent="0.25">
      <c r="A17" s="12">
        <v>41190</v>
      </c>
      <c r="B17" s="9">
        <v>75.809997999999993</v>
      </c>
      <c r="D17" s="9">
        <v>66.511177000000004</v>
      </c>
      <c r="H17" s="9"/>
    </row>
    <row r="18" spans="1:8" ht="13.5" x14ac:dyDescent="0.25">
      <c r="A18" s="12">
        <v>41197</v>
      </c>
      <c r="B18" s="9">
        <v>75.620002999999997</v>
      </c>
      <c r="D18" s="9">
        <v>66.344475000000003</v>
      </c>
      <c r="E18" s="5">
        <f>(B18+C18)/B17-1</f>
        <v>-2.5061997759187049E-3</v>
      </c>
      <c r="F18" s="9">
        <f>(E18-$B$8)^2</f>
        <v>1.3523474181059961E-5</v>
      </c>
      <c r="G18" s="10">
        <f>((B18-B17)+C18)/B17</f>
        <v>-2.5061997759186876E-3</v>
      </c>
      <c r="H18" s="9"/>
    </row>
    <row r="19" spans="1:8" ht="13.5" x14ac:dyDescent="0.25">
      <c r="A19" s="12">
        <v>41204</v>
      </c>
      <c r="B19" s="9">
        <v>75.110000999999997</v>
      </c>
      <c r="D19" s="9">
        <v>65.897034000000005</v>
      </c>
      <c r="E19" s="5">
        <f t="shared" ref="E19:E82" si="1">(B19+C19)/B18-1</f>
        <v>-6.7442737340277503E-3</v>
      </c>
      <c r="F19" s="9">
        <f t="shared" ref="F18:F81" si="2">(E19-$B$8)^2</f>
        <v>6.2655165837286627E-5</v>
      </c>
      <c r="G19" s="10">
        <f t="shared" ref="G19:G82" si="3">((B19-B18)+C19)/B18</f>
        <v>-6.7442737340277555E-3</v>
      </c>
      <c r="H19" s="9"/>
    </row>
    <row r="20" spans="1:8" ht="13.5" x14ac:dyDescent="0.25">
      <c r="A20" s="12">
        <v>41211</v>
      </c>
      <c r="B20" s="9">
        <v>72.769997000000004</v>
      </c>
      <c r="D20" s="9">
        <v>63.844048000000001</v>
      </c>
      <c r="E20" s="5">
        <f t="shared" si="1"/>
        <v>-3.115435985681847E-2</v>
      </c>
      <c r="F20" s="9">
        <f t="shared" si="2"/>
        <v>1.0449436226761769E-3</v>
      </c>
      <c r="G20" s="10">
        <f t="shared" si="3"/>
        <v>-3.1154359856818446E-2</v>
      </c>
      <c r="H20" s="9"/>
    </row>
    <row r="21" spans="1:8" ht="13.5" x14ac:dyDescent="0.25">
      <c r="A21" s="12">
        <v>41218</v>
      </c>
      <c r="B21" s="9">
        <v>72.309997999999993</v>
      </c>
      <c r="D21" s="9">
        <v>63.440479000000003</v>
      </c>
      <c r="E21" s="5">
        <f t="shared" si="1"/>
        <v>-6.3212727630044263E-3</v>
      </c>
      <c r="F21" s="9">
        <f t="shared" si="2"/>
        <v>5.6137565919129431E-5</v>
      </c>
      <c r="G21" s="10">
        <f t="shared" si="3"/>
        <v>-6.3212727630043803E-3</v>
      </c>
      <c r="H21" s="9"/>
    </row>
    <row r="22" spans="1:8" ht="13.5" x14ac:dyDescent="0.25">
      <c r="A22" s="12">
        <v>41225</v>
      </c>
      <c r="B22" s="9">
        <v>68.029999000000004</v>
      </c>
      <c r="D22" s="9">
        <v>59.685454999999997</v>
      </c>
      <c r="E22" s="5">
        <f t="shared" si="1"/>
        <v>-5.9189588139664906E-2</v>
      </c>
      <c r="F22" s="9">
        <f t="shared" si="2"/>
        <v>3.6434281108313903E-3</v>
      </c>
      <c r="G22" s="10">
        <f t="shared" si="3"/>
        <v>-5.9189588139664864E-2</v>
      </c>
      <c r="H22" s="9"/>
    </row>
    <row r="23" spans="1:8" ht="13.5" x14ac:dyDescent="0.25">
      <c r="A23" s="12">
        <v>41232</v>
      </c>
      <c r="B23" s="9">
        <v>70.199996999999996</v>
      </c>
      <c r="D23" s="9">
        <v>61.589294000000002</v>
      </c>
      <c r="E23" s="5">
        <f t="shared" si="1"/>
        <v>3.189766326470167E-2</v>
      </c>
      <c r="F23" s="9">
        <f t="shared" si="2"/>
        <v>9.4411383131201316E-4</v>
      </c>
      <c r="G23" s="10">
        <f t="shared" si="3"/>
        <v>3.1897663264701684E-2</v>
      </c>
      <c r="H23" s="9"/>
    </row>
    <row r="24" spans="1:8" ht="13.5" x14ac:dyDescent="0.25">
      <c r="A24" s="12">
        <v>41239</v>
      </c>
      <c r="B24" s="9">
        <v>72.019997000000004</v>
      </c>
      <c r="D24" s="9">
        <v>63.186053999999999</v>
      </c>
      <c r="E24" s="5">
        <f t="shared" si="1"/>
        <v>2.5925927033871643E-2</v>
      </c>
      <c r="F24" s="9">
        <f t="shared" si="2"/>
        <v>6.1279513008732564E-4</v>
      </c>
      <c r="G24" s="10">
        <f t="shared" si="3"/>
        <v>2.5925927033871633E-2</v>
      </c>
      <c r="H24" s="9"/>
    </row>
    <row r="25" spans="1:8" ht="13.5" x14ac:dyDescent="0.25">
      <c r="A25" s="12">
        <v>41246</v>
      </c>
      <c r="B25" s="9">
        <v>72.290001000000004</v>
      </c>
      <c r="C25" s="9">
        <v>0.39800000000000002</v>
      </c>
      <c r="D25" s="9">
        <v>63.422939</v>
      </c>
      <c r="E25" s="16">
        <f>(B25+C25)/B24-1</f>
        <v>9.2752572594525518E-3</v>
      </c>
      <c r="F25" s="9">
        <f t="shared" si="2"/>
        <v>6.5675292146571241E-5</v>
      </c>
      <c r="G25" s="10">
        <f t="shared" si="3"/>
        <v>9.2752572594525396E-3</v>
      </c>
      <c r="H25" s="9"/>
    </row>
    <row r="26" spans="1:8" ht="13.5" x14ac:dyDescent="0.25">
      <c r="A26" s="12">
        <v>41253</v>
      </c>
      <c r="B26" s="9">
        <v>68.75</v>
      </c>
      <c r="D26" s="9">
        <v>60.651871</v>
      </c>
      <c r="E26" s="5">
        <f t="shared" si="1"/>
        <v>-4.8969441845767903E-2</v>
      </c>
      <c r="F26" s="9">
        <f t="shared" si="2"/>
        <v>2.5140867607741139E-3</v>
      </c>
      <c r="G26" s="10">
        <f t="shared" si="3"/>
        <v>-4.8969441845767903E-2</v>
      </c>
      <c r="H26" s="9"/>
    </row>
    <row r="27" spans="1:8" ht="13.5" x14ac:dyDescent="0.25">
      <c r="A27" s="12">
        <v>41260</v>
      </c>
      <c r="B27" s="9">
        <v>68.650002000000001</v>
      </c>
      <c r="D27" s="9">
        <v>60.563633000000003</v>
      </c>
      <c r="E27" s="5">
        <f t="shared" si="1"/>
        <v>-1.4545163636363601E-3</v>
      </c>
      <c r="F27" s="9">
        <f t="shared" si="2"/>
        <v>6.8945328448023282E-6</v>
      </c>
      <c r="G27" s="10">
        <f t="shared" si="3"/>
        <v>-1.4545163636363544E-3</v>
      </c>
      <c r="H27" s="9"/>
    </row>
    <row r="28" spans="1:8" ht="13.5" x14ac:dyDescent="0.25">
      <c r="A28" s="12">
        <v>41267</v>
      </c>
      <c r="B28" s="9">
        <v>67.610000999999997</v>
      </c>
      <c r="D28" s="9">
        <v>59.646141</v>
      </c>
      <c r="E28" s="5">
        <f t="shared" si="1"/>
        <v>-1.5149322209779492E-2</v>
      </c>
      <c r="F28" s="9">
        <f t="shared" si="2"/>
        <v>2.6636035530642517E-4</v>
      </c>
      <c r="G28" s="10">
        <f t="shared" si="3"/>
        <v>-1.5149322209779451E-2</v>
      </c>
      <c r="H28" s="9"/>
    </row>
    <row r="29" spans="1:8" ht="13.5" x14ac:dyDescent="0.25">
      <c r="A29" s="12">
        <v>41274</v>
      </c>
      <c r="B29" s="9">
        <v>69.059997999999993</v>
      </c>
      <c r="D29" s="9">
        <v>60.925350000000002</v>
      </c>
      <c r="E29" s="5">
        <f t="shared" si="1"/>
        <v>2.1446486888825778E-2</v>
      </c>
      <c r="F29" s="9">
        <f t="shared" si="2"/>
        <v>4.1108612778375543E-4</v>
      </c>
      <c r="G29" s="10">
        <f t="shared" si="3"/>
        <v>2.1446486888825757E-2</v>
      </c>
      <c r="H29" s="9"/>
    </row>
    <row r="30" spans="1:8" ht="13.5" x14ac:dyDescent="0.25">
      <c r="A30" s="12">
        <v>41281</v>
      </c>
      <c r="B30" s="9">
        <v>68.629997000000003</v>
      </c>
      <c r="D30" s="9">
        <v>60.545990000000003</v>
      </c>
      <c r="E30" s="5">
        <f t="shared" si="1"/>
        <v>-6.2264843969440653E-3</v>
      </c>
      <c r="F30" s="9">
        <f t="shared" si="2"/>
        <v>5.4726146965730199E-5</v>
      </c>
      <c r="G30" s="10">
        <f t="shared" si="3"/>
        <v>-6.2264843969440913E-3</v>
      </c>
      <c r="H30" s="9"/>
    </row>
    <row r="31" spans="1:8" ht="13.5" x14ac:dyDescent="0.25">
      <c r="A31" s="12">
        <v>41288</v>
      </c>
      <c r="B31" s="9">
        <v>69.199996999999996</v>
      </c>
      <c r="D31" s="9">
        <v>61.048847000000002</v>
      </c>
      <c r="E31" s="5">
        <f t="shared" si="1"/>
        <v>8.3054061622644948E-3</v>
      </c>
      <c r="F31" s="9">
        <f t="shared" si="2"/>
        <v>5.0896499731038731E-5</v>
      </c>
      <c r="G31" s="10">
        <f t="shared" si="3"/>
        <v>8.3054061622644861E-3</v>
      </c>
      <c r="H31" s="9"/>
    </row>
    <row r="32" spans="1:8" ht="13.5" x14ac:dyDescent="0.25">
      <c r="A32" s="12">
        <v>41295</v>
      </c>
      <c r="B32" s="9">
        <v>69</v>
      </c>
      <c r="D32" s="9">
        <v>60.872405999999998</v>
      </c>
      <c r="E32" s="5">
        <f t="shared" si="1"/>
        <v>-2.8901301830980275E-3</v>
      </c>
      <c r="F32" s="9">
        <f t="shared" si="2"/>
        <v>1.649462933496283E-5</v>
      </c>
      <c r="G32" s="10">
        <f t="shared" si="3"/>
        <v>-2.8901301830980748E-3</v>
      </c>
      <c r="H32" s="9"/>
    </row>
    <row r="33" spans="1:8" ht="13.5" x14ac:dyDescent="0.25">
      <c r="A33" s="12">
        <v>41302</v>
      </c>
      <c r="B33" s="9">
        <v>70.489998</v>
      </c>
      <c r="D33" s="9">
        <v>62.186900999999999</v>
      </c>
      <c r="E33" s="5">
        <f t="shared" si="1"/>
        <v>2.1594173913043413E-2</v>
      </c>
      <c r="F33" s="9">
        <f t="shared" si="2"/>
        <v>4.1709672457672386E-4</v>
      </c>
      <c r="G33" s="10">
        <f t="shared" si="3"/>
        <v>2.1594173913043479E-2</v>
      </c>
      <c r="H33" s="9"/>
    </row>
    <row r="34" spans="1:8" ht="13.5" x14ac:dyDescent="0.25">
      <c r="A34" s="12">
        <v>41309</v>
      </c>
      <c r="B34" s="9">
        <v>71.480002999999996</v>
      </c>
      <c r="D34" s="9">
        <v>63.060295000000004</v>
      </c>
      <c r="E34" s="5">
        <f t="shared" si="1"/>
        <v>1.4044616656110565E-2</v>
      </c>
      <c r="F34" s="9">
        <f t="shared" si="2"/>
        <v>1.6572413852297392E-4</v>
      </c>
      <c r="G34" s="10">
        <f t="shared" si="3"/>
        <v>1.4044616656110509E-2</v>
      </c>
      <c r="H34" s="9"/>
    </row>
    <row r="35" spans="1:8" ht="13.5" x14ac:dyDescent="0.25">
      <c r="A35" s="12">
        <v>41316</v>
      </c>
      <c r="B35" s="9">
        <v>69.300003000000004</v>
      </c>
      <c r="D35" s="9">
        <v>61.137070000000001</v>
      </c>
      <c r="E35" s="5">
        <f t="shared" si="1"/>
        <v>-3.0498040130188531E-2</v>
      </c>
      <c r="F35" s="9">
        <f t="shared" si="2"/>
        <v>1.0029425364436262E-3</v>
      </c>
      <c r="G35" s="10">
        <f t="shared" si="3"/>
        <v>-3.0498040130188479E-2</v>
      </c>
      <c r="H35" s="9"/>
    </row>
    <row r="36" spans="1:8" ht="13.5" x14ac:dyDescent="0.25">
      <c r="A36" s="12">
        <v>41323</v>
      </c>
      <c r="B36" s="9">
        <v>70.400002000000001</v>
      </c>
      <c r="D36" s="9">
        <v>62.107509999999998</v>
      </c>
      <c r="E36" s="5">
        <f t="shared" si="1"/>
        <v>1.5873000755858513E-2</v>
      </c>
      <c r="F36" s="9">
        <f t="shared" si="2"/>
        <v>2.1614212562718791E-4</v>
      </c>
      <c r="G36" s="10">
        <f t="shared" si="3"/>
        <v>1.5873000755858506E-2</v>
      </c>
      <c r="H36" s="9"/>
    </row>
    <row r="37" spans="1:8" ht="13.5" x14ac:dyDescent="0.25">
      <c r="A37" s="12">
        <v>41330</v>
      </c>
      <c r="B37" s="9">
        <v>71.739998</v>
      </c>
      <c r="D37" s="9">
        <v>63.289658000000003</v>
      </c>
      <c r="E37" s="5">
        <f t="shared" si="1"/>
        <v>1.9034033550169527E-2</v>
      </c>
      <c r="F37" s="9">
        <f t="shared" si="2"/>
        <v>3.1907982632987844E-4</v>
      </c>
      <c r="G37" s="10">
        <f t="shared" si="3"/>
        <v>1.9034033550169492E-2</v>
      </c>
      <c r="H37" s="9"/>
    </row>
    <row r="38" spans="1:8" ht="13.5" x14ac:dyDescent="0.25">
      <c r="A38" s="12">
        <v>41337</v>
      </c>
      <c r="B38" s="9">
        <v>73.029999000000004</v>
      </c>
      <c r="D38" s="9">
        <v>64.427734000000001</v>
      </c>
      <c r="E38" s="5">
        <f t="shared" si="1"/>
        <v>1.7981614663552081E-2</v>
      </c>
      <c r="F38" s="9">
        <f t="shared" si="2"/>
        <v>2.8258910373699504E-4</v>
      </c>
      <c r="G38" s="10">
        <f t="shared" si="3"/>
        <v>1.7981614663552175E-2</v>
      </c>
      <c r="H38" s="9"/>
    </row>
    <row r="39" spans="1:8" ht="13.5" x14ac:dyDescent="0.25">
      <c r="A39" s="12">
        <v>41344</v>
      </c>
      <c r="B39" s="9">
        <v>72.5</v>
      </c>
      <c r="C39" s="9">
        <v>0.47</v>
      </c>
      <c r="D39" s="9">
        <v>64.372794999999996</v>
      </c>
      <c r="E39" s="5">
        <f t="shared" si="1"/>
        <v>-8.2156649077869126E-4</v>
      </c>
      <c r="F39" s="9">
        <f t="shared" si="2"/>
        <v>3.9712294131725364E-6</v>
      </c>
      <c r="G39" s="10">
        <f t="shared" si="3"/>
        <v>-8.2156649077872346E-4</v>
      </c>
      <c r="H39" s="9"/>
    </row>
    <row r="40" spans="1:8" ht="13.5" x14ac:dyDescent="0.25">
      <c r="A40" s="12">
        <v>41351</v>
      </c>
      <c r="B40" s="9">
        <v>74.279999000000004</v>
      </c>
      <c r="D40" s="9">
        <v>65.953247000000005</v>
      </c>
      <c r="E40" s="5">
        <f t="shared" si="1"/>
        <v>2.4551710344827615E-2</v>
      </c>
      <c r="F40" s="9">
        <f t="shared" si="2"/>
        <v>5.4664696018292625E-4</v>
      </c>
      <c r="G40" s="10">
        <f t="shared" si="3"/>
        <v>2.4551710344827636E-2</v>
      </c>
      <c r="H40" s="9"/>
    </row>
    <row r="41" spans="1:8" ht="13.5" x14ac:dyDescent="0.25">
      <c r="A41" s="12">
        <v>41358</v>
      </c>
      <c r="B41" s="9">
        <v>74.830001999999993</v>
      </c>
      <c r="D41" s="9">
        <v>66.441588999999993</v>
      </c>
      <c r="E41" s="5">
        <f t="shared" si="1"/>
        <v>7.4044562116915014E-3</v>
      </c>
      <c r="F41" s="9">
        <f t="shared" si="2"/>
        <v>3.8853135406959214E-5</v>
      </c>
      <c r="G41" s="10">
        <f t="shared" si="3"/>
        <v>7.4044562116915152E-3</v>
      </c>
      <c r="H41" s="9"/>
    </row>
    <row r="42" spans="1:8" ht="13.5" x14ac:dyDescent="0.25">
      <c r="A42" s="12">
        <v>41365</v>
      </c>
      <c r="B42" s="9">
        <v>76.389999000000003</v>
      </c>
      <c r="D42" s="9">
        <v>67.826721000000006</v>
      </c>
      <c r="E42" s="5">
        <f t="shared" si="1"/>
        <v>2.0847213127162645E-2</v>
      </c>
      <c r="F42" s="9">
        <f t="shared" si="2"/>
        <v>3.8714439535804266E-4</v>
      </c>
      <c r="G42" s="10">
        <f t="shared" si="3"/>
        <v>2.0847213127162686E-2</v>
      </c>
      <c r="H42" s="9"/>
    </row>
    <row r="43" spans="1:8" ht="13.5" x14ac:dyDescent="0.25">
      <c r="A43" s="12">
        <v>41372</v>
      </c>
      <c r="B43" s="9">
        <v>78.559997999999993</v>
      </c>
      <c r="D43" s="9">
        <v>69.753463999999994</v>
      </c>
      <c r="E43" s="5">
        <f t="shared" si="1"/>
        <v>2.8406846817735865E-2</v>
      </c>
      <c r="F43" s="9">
        <f t="shared" si="2"/>
        <v>7.4177893879902746E-4</v>
      </c>
      <c r="G43" s="10">
        <f t="shared" si="3"/>
        <v>2.8406846817735788E-2</v>
      </c>
      <c r="H43" s="9"/>
    </row>
    <row r="44" spans="1:8" ht="13.5" x14ac:dyDescent="0.25">
      <c r="A44" s="12">
        <v>41379</v>
      </c>
      <c r="B44" s="9">
        <v>78.290001000000004</v>
      </c>
      <c r="D44" s="9">
        <v>69.513724999999994</v>
      </c>
      <c r="E44" s="5">
        <f t="shared" si="1"/>
        <v>-3.4368254439108847E-3</v>
      </c>
      <c r="F44" s="9">
        <f t="shared" si="2"/>
        <v>2.1234155456737124E-5</v>
      </c>
      <c r="G44" s="10">
        <f t="shared" si="3"/>
        <v>-3.4368254439108999E-3</v>
      </c>
      <c r="H44" s="9"/>
    </row>
    <row r="45" spans="1:8" ht="13.5" x14ac:dyDescent="0.25">
      <c r="A45" s="12">
        <v>41386</v>
      </c>
      <c r="B45" s="9">
        <v>79.040001000000004</v>
      </c>
      <c r="D45" s="9">
        <v>70.179648999999998</v>
      </c>
      <c r="E45" s="5">
        <f t="shared" si="1"/>
        <v>9.5797674086119944E-3</v>
      </c>
      <c r="F45" s="9">
        <f t="shared" si="2"/>
        <v>7.0703536966401604E-5</v>
      </c>
      <c r="G45" s="10">
        <f t="shared" si="3"/>
        <v>9.5797674086119874E-3</v>
      </c>
      <c r="H45" s="9"/>
    </row>
    <row r="46" spans="1:8" ht="13.5" x14ac:dyDescent="0.25">
      <c r="A46" s="12">
        <v>41393</v>
      </c>
      <c r="B46" s="9">
        <v>79.25</v>
      </c>
      <c r="D46" s="9">
        <v>70.366118999999998</v>
      </c>
      <c r="E46" s="5">
        <f t="shared" si="1"/>
        <v>2.6568699056570555E-3</v>
      </c>
      <c r="F46" s="9">
        <f t="shared" si="2"/>
        <v>2.2071322217147089E-6</v>
      </c>
      <c r="G46" s="10">
        <f t="shared" si="3"/>
        <v>2.6568699056569631E-3</v>
      </c>
      <c r="H46" s="9"/>
    </row>
    <row r="47" spans="1:8" ht="13.5" x14ac:dyDescent="0.25">
      <c r="A47" s="12">
        <v>41400</v>
      </c>
      <c r="B47" s="9">
        <v>78.889999000000003</v>
      </c>
      <c r="C47" s="9">
        <v>0.47</v>
      </c>
      <c r="D47" s="9">
        <v>70.046463000000003</v>
      </c>
      <c r="E47" s="5">
        <f t="shared" si="1"/>
        <v>1.3879999999999448E-3</v>
      </c>
      <c r="F47" s="9">
        <f t="shared" si="2"/>
        <v>4.6990151034043853E-8</v>
      </c>
      <c r="G47" s="10">
        <f t="shared" si="3"/>
        <v>1.3880000000000387E-3</v>
      </c>
      <c r="H47" s="9"/>
    </row>
    <row r="48" spans="1:8" ht="13.5" x14ac:dyDescent="0.25">
      <c r="A48" s="12">
        <v>41407</v>
      </c>
      <c r="B48" s="9">
        <v>77.870002999999997</v>
      </c>
      <c r="D48" s="9">
        <v>69.555526999999998</v>
      </c>
      <c r="E48" s="5">
        <f t="shared" si="1"/>
        <v>-1.2929344821008382E-2</v>
      </c>
      <c r="F48" s="9">
        <f t="shared" si="2"/>
        <v>1.9882615055985927E-4</v>
      </c>
      <c r="G48" s="10">
        <f t="shared" si="3"/>
        <v>-1.2929344821008378E-2</v>
      </c>
      <c r="H48" s="9"/>
    </row>
    <row r="49" spans="1:8" ht="13.5" x14ac:dyDescent="0.25">
      <c r="A49" s="12">
        <v>41414</v>
      </c>
      <c r="B49" s="9">
        <v>77.309997999999993</v>
      </c>
      <c r="D49" s="9">
        <v>69.055305000000004</v>
      </c>
      <c r="E49" s="5">
        <f t="shared" si="1"/>
        <v>-7.1915369002876206E-3</v>
      </c>
      <c r="F49" s="9">
        <f t="shared" si="2"/>
        <v>6.9935834808041935E-5</v>
      </c>
      <c r="G49" s="10">
        <f t="shared" si="3"/>
        <v>-7.1915369002875712E-3</v>
      </c>
      <c r="H49" s="9"/>
    </row>
    <row r="50" spans="1:8" ht="13.5" x14ac:dyDescent="0.25">
      <c r="A50" s="12">
        <v>41421</v>
      </c>
      <c r="B50" s="9">
        <v>74.839995999999999</v>
      </c>
      <c r="D50" s="9">
        <v>66.849036999999996</v>
      </c>
      <c r="E50" s="5">
        <f t="shared" si="1"/>
        <v>-3.1949321742318459E-2</v>
      </c>
      <c r="F50" s="9">
        <f t="shared" si="2"/>
        <v>1.0969708074334641E-3</v>
      </c>
      <c r="G50" s="10">
        <f t="shared" si="3"/>
        <v>-3.1949321742318425E-2</v>
      </c>
      <c r="H50" s="9"/>
    </row>
    <row r="51" spans="1:8" ht="13.5" x14ac:dyDescent="0.25">
      <c r="A51" s="12">
        <v>41428</v>
      </c>
      <c r="B51" s="9">
        <v>76.330001999999993</v>
      </c>
      <c r="D51" s="9">
        <v>68.179946999999999</v>
      </c>
      <c r="E51" s="5">
        <f t="shared" si="1"/>
        <v>1.9909220732721389E-2</v>
      </c>
      <c r="F51" s="9">
        <f t="shared" si="2"/>
        <v>3.5111237606433836E-4</v>
      </c>
      <c r="G51" s="10">
        <f t="shared" si="3"/>
        <v>1.9909220732721496E-2</v>
      </c>
      <c r="H51" s="9"/>
    </row>
    <row r="52" spans="1:8" ht="13.5" x14ac:dyDescent="0.25">
      <c r="A52" s="12">
        <v>41435</v>
      </c>
      <c r="B52" s="9">
        <v>74.870002999999997</v>
      </c>
      <c r="D52" s="9">
        <v>66.875854000000004</v>
      </c>
      <c r="E52" s="5">
        <f t="shared" si="1"/>
        <v>-1.91274592132199E-2</v>
      </c>
      <c r="F52" s="9">
        <f t="shared" si="2"/>
        <v>4.1203669779977294E-4</v>
      </c>
      <c r="G52" s="10">
        <f t="shared" si="3"/>
        <v>-1.9127459213219941E-2</v>
      </c>
      <c r="H52" s="9"/>
    </row>
    <row r="53" spans="1:8" ht="13.5" x14ac:dyDescent="0.25">
      <c r="A53" s="12">
        <v>41442</v>
      </c>
      <c r="B53" s="9">
        <v>73.510002</v>
      </c>
      <c r="D53" s="9">
        <v>65.661057</v>
      </c>
      <c r="E53" s="5">
        <f t="shared" si="1"/>
        <v>-1.8164831648263657E-2</v>
      </c>
      <c r="F53" s="9">
        <f t="shared" si="2"/>
        <v>3.7388319816754589E-4</v>
      </c>
      <c r="G53" s="10">
        <f t="shared" si="3"/>
        <v>-1.8164831648263685E-2</v>
      </c>
      <c r="H53" s="9"/>
    </row>
    <row r="54" spans="1:8" ht="13.5" x14ac:dyDescent="0.25">
      <c r="A54" s="12">
        <v>41449</v>
      </c>
      <c r="B54" s="9">
        <v>74.489998</v>
      </c>
      <c r="D54" s="9">
        <v>66.536406999999997</v>
      </c>
      <c r="E54" s="5">
        <f t="shared" si="1"/>
        <v>1.3331464744076538E-2</v>
      </c>
      <c r="F54" s="9">
        <f t="shared" si="2"/>
        <v>1.4787136053573882E-4</v>
      </c>
      <c r="G54" s="10">
        <f t="shared" si="3"/>
        <v>1.3331464744076593E-2</v>
      </c>
      <c r="H54" s="9"/>
    </row>
    <row r="55" spans="1:8" ht="13.5" x14ac:dyDescent="0.25">
      <c r="A55" s="12">
        <v>41456</v>
      </c>
      <c r="B55" s="9">
        <v>75.209998999999996</v>
      </c>
      <c r="D55" s="9">
        <v>67.179542999999995</v>
      </c>
      <c r="E55" s="5">
        <f t="shared" si="1"/>
        <v>9.6657406273523705E-3</v>
      </c>
      <c r="F55" s="9">
        <f t="shared" si="2"/>
        <v>7.2156746776716316E-5</v>
      </c>
      <c r="G55" s="10">
        <f t="shared" si="3"/>
        <v>9.6657406273523636E-3</v>
      </c>
      <c r="H55" s="9"/>
    </row>
    <row r="56" spans="1:8" ht="13.5" x14ac:dyDescent="0.25">
      <c r="A56" s="12">
        <v>41463</v>
      </c>
      <c r="B56" s="9">
        <v>77.629997000000003</v>
      </c>
      <c r="D56" s="9">
        <v>69.341125000000005</v>
      </c>
      <c r="E56" s="5">
        <f t="shared" si="1"/>
        <v>3.2176546099940806E-2</v>
      </c>
      <c r="F56" s="9">
        <f t="shared" si="2"/>
        <v>9.6132975778030489E-4</v>
      </c>
      <c r="G56" s="10">
        <f t="shared" si="3"/>
        <v>3.2176546099940875E-2</v>
      </c>
      <c r="H56" s="9"/>
    </row>
    <row r="57" spans="1:8" ht="13.5" x14ac:dyDescent="0.25">
      <c r="A57" s="12">
        <v>41470</v>
      </c>
      <c r="B57" s="9">
        <v>78.080001999999993</v>
      </c>
      <c r="D57" s="9">
        <v>69.743103000000005</v>
      </c>
      <c r="E57" s="5">
        <f t="shared" si="1"/>
        <v>5.7967927011512987E-3</v>
      </c>
      <c r="F57" s="9">
        <f t="shared" si="2"/>
        <v>2.1395849893862692E-5</v>
      </c>
      <c r="G57" s="10">
        <f t="shared" si="3"/>
        <v>5.7967927011512085E-3</v>
      </c>
      <c r="H57" s="9"/>
    </row>
    <row r="58" spans="1:8" ht="13.5" x14ac:dyDescent="0.25">
      <c r="A58" s="12">
        <v>41477</v>
      </c>
      <c r="B58" s="9">
        <v>78</v>
      </c>
      <c r="D58" s="9">
        <v>69.671638000000002</v>
      </c>
      <c r="E58" s="5">
        <f t="shared" si="1"/>
        <v>-1.0246157524431698E-3</v>
      </c>
      <c r="F58" s="9">
        <f t="shared" si="2"/>
        <v>4.8217292680200008E-6</v>
      </c>
      <c r="G58" s="10">
        <f t="shared" si="3"/>
        <v>-1.0246157524431577E-3</v>
      </c>
      <c r="H58" s="9"/>
    </row>
    <row r="59" spans="1:8" ht="13.5" x14ac:dyDescent="0.25">
      <c r="A59" s="12">
        <v>41484</v>
      </c>
      <c r="B59" s="9">
        <v>78.75</v>
      </c>
      <c r="D59" s="9">
        <v>70.341567999999995</v>
      </c>
      <c r="E59" s="5">
        <f t="shared" si="1"/>
        <v>9.6153846153845812E-3</v>
      </c>
      <c r="F59" s="9">
        <f t="shared" si="2"/>
        <v>7.130378293375173E-5</v>
      </c>
      <c r="G59" s="10">
        <f t="shared" si="3"/>
        <v>9.6153846153846159E-3</v>
      </c>
      <c r="H59" s="9"/>
    </row>
    <row r="60" spans="1:8" ht="13.5" x14ac:dyDescent="0.25">
      <c r="A60" s="12">
        <v>41491</v>
      </c>
      <c r="B60" s="9">
        <v>76.900002000000001</v>
      </c>
      <c r="C60" s="9">
        <v>0.47</v>
      </c>
      <c r="D60" s="9">
        <v>68.689079000000007</v>
      </c>
      <c r="E60" s="5">
        <f t="shared" si="1"/>
        <v>-1.7523784126984188E-2</v>
      </c>
      <c r="F60" s="9">
        <f t="shared" si="2"/>
        <v>3.4950347402538907E-4</v>
      </c>
      <c r="G60" s="10">
        <f t="shared" si="3"/>
        <v>-1.7523784126984118E-2</v>
      </c>
      <c r="H60" s="9"/>
    </row>
    <row r="61" spans="1:8" ht="13.5" x14ac:dyDescent="0.25">
      <c r="A61" s="12">
        <v>41498</v>
      </c>
      <c r="B61" s="9">
        <v>74.110000999999997</v>
      </c>
      <c r="D61" s="9">
        <v>66.598952999999995</v>
      </c>
      <c r="E61" s="5">
        <f t="shared" si="1"/>
        <v>-3.6280896325594392E-2</v>
      </c>
      <c r="F61" s="9">
        <f t="shared" si="2"/>
        <v>1.4026616076797613E-3</v>
      </c>
      <c r="G61" s="10">
        <f t="shared" si="3"/>
        <v>-3.6280896325594419E-2</v>
      </c>
      <c r="H61" s="9"/>
    </row>
    <row r="62" spans="1:8" ht="13.5" x14ac:dyDescent="0.25">
      <c r="A62" s="12">
        <v>41505</v>
      </c>
      <c r="B62" s="9">
        <v>73.440002000000007</v>
      </c>
      <c r="D62" s="9">
        <v>65.996871999999996</v>
      </c>
      <c r="E62" s="5">
        <f t="shared" si="1"/>
        <v>-9.0406016861339644E-3</v>
      </c>
      <c r="F62" s="9">
        <f t="shared" si="2"/>
        <v>1.0428146313370935E-4</v>
      </c>
      <c r="G62" s="10">
        <f t="shared" si="3"/>
        <v>-9.0406016861339679E-3</v>
      </c>
      <c r="H62" s="9"/>
    </row>
    <row r="63" spans="1:8" ht="13.5" x14ac:dyDescent="0.25">
      <c r="A63" s="12">
        <v>41512</v>
      </c>
      <c r="B63" s="9">
        <v>72.980002999999996</v>
      </c>
      <c r="D63" s="9">
        <v>65.583481000000006</v>
      </c>
      <c r="E63" s="5">
        <f t="shared" si="1"/>
        <v>-6.2636027705992303E-3</v>
      </c>
      <c r="F63" s="9">
        <f t="shared" si="2"/>
        <v>5.5276706836538014E-5</v>
      </c>
      <c r="G63" s="10">
        <f t="shared" si="3"/>
        <v>-6.2636027705991956E-3</v>
      </c>
      <c r="H63" s="9"/>
    </row>
    <row r="64" spans="1:8" ht="13.5" x14ac:dyDescent="0.25">
      <c r="A64" s="12">
        <v>41519</v>
      </c>
      <c r="B64" s="9">
        <v>72.589995999999999</v>
      </c>
      <c r="D64" s="9">
        <v>65.233008999999996</v>
      </c>
      <c r="E64" s="5">
        <f t="shared" si="1"/>
        <v>-5.3440255408045978E-3</v>
      </c>
      <c r="F64" s="9">
        <f t="shared" si="2"/>
        <v>4.2448527166617207E-5</v>
      </c>
      <c r="G64" s="10">
        <f t="shared" si="3"/>
        <v>-5.3440255408046108E-3</v>
      </c>
      <c r="H64" s="9"/>
    </row>
    <row r="65" spans="1:8" ht="13.5" x14ac:dyDescent="0.25">
      <c r="A65" s="12">
        <v>41526</v>
      </c>
      <c r="B65" s="9">
        <v>74.360000999999997</v>
      </c>
      <c r="D65" s="9">
        <v>66.823623999999995</v>
      </c>
      <c r="E65" s="5">
        <f t="shared" si="1"/>
        <v>2.4383594125008567E-2</v>
      </c>
      <c r="F65" s="9">
        <f t="shared" si="2"/>
        <v>5.3881394658798407E-4</v>
      </c>
      <c r="G65" s="10">
        <f t="shared" si="3"/>
        <v>2.4383594125008599E-2</v>
      </c>
      <c r="H65" s="9"/>
    </row>
    <row r="66" spans="1:8" ht="13.5" x14ac:dyDescent="0.25">
      <c r="A66" s="12">
        <v>41533</v>
      </c>
      <c r="B66" s="9">
        <v>75.830001999999993</v>
      </c>
      <c r="D66" s="9">
        <v>68.144630000000006</v>
      </c>
      <c r="E66" s="5">
        <f t="shared" si="1"/>
        <v>1.9768706027854854E-2</v>
      </c>
      <c r="F66" s="9">
        <f t="shared" si="2"/>
        <v>3.458661933762715E-4</v>
      </c>
      <c r="G66" s="10">
        <f t="shared" si="3"/>
        <v>1.9768706027854899E-2</v>
      </c>
      <c r="H66" s="9"/>
    </row>
    <row r="67" spans="1:8" ht="13.5" x14ac:dyDescent="0.25">
      <c r="A67" s="12">
        <v>41540</v>
      </c>
      <c r="B67" s="9">
        <v>74.360000999999997</v>
      </c>
      <c r="D67" s="9">
        <v>66.823623999999995</v>
      </c>
      <c r="E67" s="5">
        <f t="shared" si="1"/>
        <v>-1.9385480169181513E-2</v>
      </c>
      <c r="F67" s="9">
        <f t="shared" si="2"/>
        <v>4.2257824591176562E-4</v>
      </c>
      <c r="G67" s="10">
        <f t="shared" si="3"/>
        <v>-1.938548016918154E-2</v>
      </c>
      <c r="H67" s="9"/>
    </row>
    <row r="68" spans="1:8" ht="13.5" x14ac:dyDescent="0.25">
      <c r="A68" s="12">
        <v>41547</v>
      </c>
      <c r="B68" s="9">
        <v>72.800003000000004</v>
      </c>
      <c r="D68" s="9">
        <v>65.421729999999997</v>
      </c>
      <c r="E68" s="5">
        <f t="shared" si="1"/>
        <v>-2.0978993800712775E-2</v>
      </c>
      <c r="F68" s="9">
        <f t="shared" si="2"/>
        <v>4.9063232060436886E-4</v>
      </c>
      <c r="G68" s="10">
        <f t="shared" si="3"/>
        <v>-2.0978993800712741E-2</v>
      </c>
      <c r="H68" s="9"/>
    </row>
    <row r="69" spans="1:8" ht="13.5" x14ac:dyDescent="0.25">
      <c r="A69" s="12">
        <v>41554</v>
      </c>
      <c r="B69" s="9">
        <v>74.819999999999993</v>
      </c>
      <c r="D69" s="9">
        <v>67.236992000000001</v>
      </c>
      <c r="E69" s="5">
        <f t="shared" si="1"/>
        <v>2.7747210395032473E-2</v>
      </c>
      <c r="F69" s="9">
        <f t="shared" si="2"/>
        <v>7.0628284651975026E-4</v>
      </c>
      <c r="G69" s="10">
        <f t="shared" si="3"/>
        <v>2.774721039503239E-2</v>
      </c>
      <c r="H69" s="9"/>
    </row>
    <row r="70" spans="1:8" ht="13.5" x14ac:dyDescent="0.25">
      <c r="A70" s="12">
        <v>41561</v>
      </c>
      <c r="B70" s="9">
        <v>75.709998999999996</v>
      </c>
      <c r="D70" s="9">
        <v>68.036797000000007</v>
      </c>
      <c r="E70" s="5">
        <f t="shared" si="1"/>
        <v>1.1895201817695877E-2</v>
      </c>
      <c r="F70" s="9">
        <f t="shared" si="2"/>
        <v>1.1500361696813479E-4</v>
      </c>
      <c r="G70" s="10">
        <f t="shared" si="3"/>
        <v>1.1895201817695846E-2</v>
      </c>
      <c r="H70" s="9"/>
    </row>
    <row r="71" spans="1:8" ht="13.5" x14ac:dyDescent="0.25">
      <c r="A71" s="12">
        <v>41568</v>
      </c>
      <c r="B71" s="9">
        <v>76.080001999999993</v>
      </c>
      <c r="D71" s="9">
        <v>68.369277999999994</v>
      </c>
      <c r="E71" s="5">
        <f t="shared" si="1"/>
        <v>4.8871087688167059E-3</v>
      </c>
      <c r="F71" s="9">
        <f t="shared" si="2"/>
        <v>1.3807770763156016E-5</v>
      </c>
      <c r="G71" s="10">
        <f t="shared" si="3"/>
        <v>4.8871087688166131E-3</v>
      </c>
      <c r="H71" s="9"/>
    </row>
    <row r="72" spans="1:8" ht="13.5" x14ac:dyDescent="0.25">
      <c r="A72" s="12">
        <v>41575</v>
      </c>
      <c r="B72" s="9">
        <v>77.069999999999993</v>
      </c>
      <c r="D72" s="9">
        <v>69.258956999999995</v>
      </c>
      <c r="E72" s="5">
        <f t="shared" si="1"/>
        <v>1.3012591666335727E-2</v>
      </c>
      <c r="F72" s="9">
        <f t="shared" si="2"/>
        <v>1.4021789626707059E-4</v>
      </c>
      <c r="G72" s="10">
        <f t="shared" si="3"/>
        <v>1.3012591666335655E-2</v>
      </c>
      <c r="H72" s="9"/>
    </row>
    <row r="73" spans="1:8" ht="13.5" x14ac:dyDescent="0.25">
      <c r="A73" s="12">
        <v>41582</v>
      </c>
      <c r="B73" s="9">
        <v>77.959998999999996</v>
      </c>
      <c r="D73" s="9">
        <v>70.058753999999993</v>
      </c>
      <c r="E73" s="5">
        <f t="shared" si="1"/>
        <v>1.1547930452835198E-2</v>
      </c>
      <c r="F73" s="9">
        <f t="shared" si="2"/>
        <v>1.0767595623840132E-4</v>
      </c>
      <c r="G73" s="10">
        <f t="shared" si="3"/>
        <v>1.1547930452835127E-2</v>
      </c>
      <c r="H73" s="9"/>
    </row>
    <row r="74" spans="1:8" ht="13.5" x14ac:dyDescent="0.25">
      <c r="A74" s="12">
        <v>41589</v>
      </c>
      <c r="B74" s="9">
        <v>79.220000999999996</v>
      </c>
      <c r="D74" s="9">
        <v>71.191055000000006</v>
      </c>
      <c r="E74" s="5">
        <f t="shared" si="1"/>
        <v>1.6162160289406868E-2</v>
      </c>
      <c r="F74" s="9">
        <f t="shared" si="2"/>
        <v>2.2472805443596316E-4</v>
      </c>
      <c r="G74" s="10">
        <f t="shared" si="3"/>
        <v>1.6162160289406882E-2</v>
      </c>
      <c r="H74" s="9"/>
    </row>
    <row r="75" spans="1:8" ht="13.5" x14ac:dyDescent="0.25">
      <c r="A75" s="12">
        <v>41596</v>
      </c>
      <c r="B75" s="9">
        <v>79.809997999999993</v>
      </c>
      <c r="D75" s="9">
        <v>71.721267999999995</v>
      </c>
      <c r="E75" s="5">
        <f t="shared" si="1"/>
        <v>7.447576275592338E-3</v>
      </c>
      <c r="F75" s="9">
        <f t="shared" si="2"/>
        <v>3.9392549154618126E-5</v>
      </c>
      <c r="G75" s="10">
        <f t="shared" si="3"/>
        <v>7.4475762755922817E-3</v>
      </c>
      <c r="H75" s="9"/>
    </row>
    <row r="76" spans="1:8" ht="13.5" x14ac:dyDescent="0.25">
      <c r="A76" s="12">
        <v>41603</v>
      </c>
      <c r="B76" s="9">
        <v>81.010002</v>
      </c>
      <c r="D76" s="9">
        <v>72.799644000000001</v>
      </c>
      <c r="E76" s="5">
        <f t="shared" si="1"/>
        <v>1.5035760306622237E-2</v>
      </c>
      <c r="F76" s="9">
        <f t="shared" si="2"/>
        <v>1.9222525934648493E-4</v>
      </c>
      <c r="G76" s="10">
        <f t="shared" si="3"/>
        <v>1.5035760306622323E-2</v>
      </c>
      <c r="H76" s="9"/>
    </row>
    <row r="77" spans="1:8" ht="13.5" x14ac:dyDescent="0.25">
      <c r="A77" s="12">
        <v>41610</v>
      </c>
      <c r="B77" s="9">
        <v>79.940002000000007</v>
      </c>
      <c r="C77" s="9">
        <v>0.47</v>
      </c>
      <c r="D77" s="9">
        <v>71.838088999999997</v>
      </c>
      <c r="E77" s="5">
        <f t="shared" si="1"/>
        <v>-7.4064928426985643E-3</v>
      </c>
      <c r="F77" s="9">
        <f t="shared" si="2"/>
        <v>7.3577292835202312E-5</v>
      </c>
      <c r="G77" s="10">
        <f t="shared" si="3"/>
        <v>-7.4064928426985253E-3</v>
      </c>
      <c r="H77" s="9"/>
    </row>
    <row r="78" spans="1:8" ht="13.5" x14ac:dyDescent="0.25">
      <c r="A78" s="12">
        <v>41617</v>
      </c>
      <c r="B78" s="9">
        <v>78.080001999999993</v>
      </c>
      <c r="D78" s="9">
        <v>70.575057999999999</v>
      </c>
      <c r="E78" s="5">
        <f t="shared" si="1"/>
        <v>-2.3267450005818313E-2</v>
      </c>
      <c r="F78" s="9">
        <f t="shared" si="2"/>
        <v>5.9724897691673109E-4</v>
      </c>
      <c r="G78" s="10">
        <f t="shared" si="3"/>
        <v>-2.3267450005818282E-2</v>
      </c>
      <c r="H78" s="9"/>
    </row>
    <row r="79" spans="1:8" ht="13.5" x14ac:dyDescent="0.25">
      <c r="A79" s="12">
        <v>41624</v>
      </c>
      <c r="B79" s="9">
        <v>77.430000000000007</v>
      </c>
      <c r="D79" s="9">
        <v>69.987526000000003</v>
      </c>
      <c r="E79" s="5">
        <f t="shared" si="1"/>
        <v>-8.3248204834829309E-3</v>
      </c>
      <c r="F79" s="9">
        <f t="shared" si="2"/>
        <v>9.0174934564328209E-5</v>
      </c>
      <c r="G79" s="10">
        <f t="shared" si="3"/>
        <v>-8.3248204834829084E-3</v>
      </c>
      <c r="H79" s="9"/>
    </row>
    <row r="80" spans="1:8" ht="13.5" x14ac:dyDescent="0.25">
      <c r="A80" s="12">
        <v>41631</v>
      </c>
      <c r="B80" s="9">
        <v>78.470000999999996</v>
      </c>
      <c r="D80" s="9">
        <v>70.927550999999994</v>
      </c>
      <c r="E80" s="5">
        <f t="shared" si="1"/>
        <v>1.3431499418829818E-2</v>
      </c>
      <c r="F80" s="9">
        <f t="shared" si="2"/>
        <v>1.5031425815068326E-4</v>
      </c>
      <c r="G80" s="10">
        <f t="shared" si="3"/>
        <v>1.3431499418829774E-2</v>
      </c>
      <c r="H80" s="9"/>
    </row>
    <row r="81" spans="1:8" ht="13.5" x14ac:dyDescent="0.25">
      <c r="A81" s="12">
        <v>41638</v>
      </c>
      <c r="B81" s="9">
        <v>78.650002000000001</v>
      </c>
      <c r="D81" s="9">
        <v>71.090278999999995</v>
      </c>
      <c r="E81" s="5">
        <f t="shared" si="1"/>
        <v>2.2938829833836216E-3</v>
      </c>
      <c r="F81" s="9">
        <f t="shared" si="2"/>
        <v>1.2603544761026262E-6</v>
      </c>
      <c r="G81" s="10">
        <f t="shared" si="3"/>
        <v>2.2938829833837305E-3</v>
      </c>
      <c r="H81" s="9"/>
    </row>
    <row r="82" spans="1:8" ht="13.5" x14ac:dyDescent="0.25">
      <c r="A82" s="12">
        <v>41645</v>
      </c>
      <c r="B82" s="9">
        <v>78.040001000000004</v>
      </c>
      <c r="D82" s="9">
        <v>70.538901999999993</v>
      </c>
      <c r="E82" s="5">
        <f t="shared" si="1"/>
        <v>-7.7558930004858473E-3</v>
      </c>
      <c r="F82" s="9">
        <f t="shared" ref="F82:F145" si="4">(E82-$B$8)^2</f>
        <v>7.969348725496825E-5</v>
      </c>
      <c r="G82" s="10">
        <f t="shared" si="3"/>
        <v>-7.7558930004858351E-3</v>
      </c>
      <c r="H82" s="9"/>
    </row>
    <row r="83" spans="1:8" ht="13.5" x14ac:dyDescent="0.25">
      <c r="A83" s="12">
        <v>41652</v>
      </c>
      <c r="B83" s="9">
        <v>76.190002000000007</v>
      </c>
      <c r="D83" s="9">
        <v>68.866714000000002</v>
      </c>
      <c r="E83" s="5">
        <f t="shared" ref="E83:E146" si="5">(B83+C83)/B82-1</f>
        <v>-2.3705778783882803E-2</v>
      </c>
      <c r="F83" s="9">
        <f t="shared" si="4"/>
        <v>6.188654606667874E-4</v>
      </c>
      <c r="G83" s="10">
        <f t="shared" ref="G83:G146" si="6">((B83-B82)+C83)/B82</f>
        <v>-2.3705778783882855E-2</v>
      </c>
      <c r="H83" s="9"/>
    </row>
    <row r="84" spans="1:8" ht="13.5" x14ac:dyDescent="0.25">
      <c r="A84" s="12">
        <v>41659</v>
      </c>
      <c r="B84" s="9">
        <v>74.419998000000007</v>
      </c>
      <c r="D84" s="9">
        <v>67.266838000000007</v>
      </c>
      <c r="E84" s="5">
        <f t="shared" si="5"/>
        <v>-2.3231447086718759E-2</v>
      </c>
      <c r="F84" s="9">
        <f t="shared" si="4"/>
        <v>5.9549054564110647E-4</v>
      </c>
      <c r="G84" s="10">
        <f t="shared" si="6"/>
        <v>-2.3231447086718805E-2</v>
      </c>
      <c r="H84" s="9"/>
    </row>
    <row r="85" spans="1:8" ht="13.5" x14ac:dyDescent="0.25">
      <c r="A85" s="12">
        <v>41666</v>
      </c>
      <c r="B85" s="9">
        <v>74.680000000000007</v>
      </c>
      <c r="D85" s="9">
        <v>67.501853999999994</v>
      </c>
      <c r="E85" s="5">
        <f t="shared" si="5"/>
        <v>3.4937114618036613E-3</v>
      </c>
      <c r="F85" s="9">
        <f t="shared" si="4"/>
        <v>5.3939299772990432E-6</v>
      </c>
      <c r="G85" s="10">
        <f t="shared" si="6"/>
        <v>3.4937114618035872E-3</v>
      </c>
      <c r="H85" s="9"/>
    </row>
    <row r="86" spans="1:8" ht="13.5" x14ac:dyDescent="0.25">
      <c r="A86" s="12">
        <v>42074</v>
      </c>
      <c r="B86" s="9">
        <v>73.75</v>
      </c>
      <c r="D86" s="9">
        <v>66.661247000000003</v>
      </c>
      <c r="E86" s="5">
        <f t="shared" si="5"/>
        <v>-1.2453133369041303E-2</v>
      </c>
      <c r="F86" s="9">
        <f t="shared" si="4"/>
        <v>1.8562321950567234E-4</v>
      </c>
      <c r="G86" s="10">
        <f t="shared" si="6"/>
        <v>-1.2453133369041332E-2</v>
      </c>
      <c r="H86" s="9"/>
    </row>
    <row r="87" spans="1:8" ht="13.5" x14ac:dyDescent="0.25">
      <c r="A87" s="12">
        <v>41680</v>
      </c>
      <c r="B87" s="9">
        <v>75.790001000000004</v>
      </c>
      <c r="D87" s="9">
        <v>68.505165000000005</v>
      </c>
      <c r="E87" s="5">
        <f t="shared" si="5"/>
        <v>2.7661030508474571E-2</v>
      </c>
      <c r="F87" s="9">
        <f t="shared" si="4"/>
        <v>7.0170964317636461E-4</v>
      </c>
      <c r="G87" s="10">
        <f t="shared" si="6"/>
        <v>2.7661030508474627E-2</v>
      </c>
      <c r="H87" s="9"/>
    </row>
    <row r="88" spans="1:8" ht="13.5" x14ac:dyDescent="0.25">
      <c r="A88" s="12">
        <v>41687</v>
      </c>
      <c r="B88" s="9">
        <v>73.120002999999997</v>
      </c>
      <c r="D88" s="9">
        <v>66.091804999999994</v>
      </c>
      <c r="E88" s="5">
        <f t="shared" si="5"/>
        <v>-3.5228895167846885E-2</v>
      </c>
      <c r="F88" s="9">
        <f t="shared" si="4"/>
        <v>1.3249689580621532E-3</v>
      </c>
      <c r="G88" s="10">
        <f t="shared" si="6"/>
        <v>-3.522889516784683E-2</v>
      </c>
      <c r="H88" s="9"/>
    </row>
    <row r="89" spans="1:8" ht="13.5" x14ac:dyDescent="0.25">
      <c r="A89" s="12">
        <v>41694</v>
      </c>
      <c r="B89" s="9">
        <v>74.699996999999996</v>
      </c>
      <c r="D89" s="9">
        <v>67.519927999999993</v>
      </c>
      <c r="E89" s="5">
        <f t="shared" si="5"/>
        <v>2.1608232155023277E-2</v>
      </c>
      <c r="F89" s="9">
        <f t="shared" si="4"/>
        <v>4.1767114364537662E-4</v>
      </c>
      <c r="G89" s="10">
        <f t="shared" si="6"/>
        <v>2.1608232155023287E-2</v>
      </c>
      <c r="H89" s="9"/>
    </row>
    <row r="90" spans="1:8" ht="13.5" x14ac:dyDescent="0.25">
      <c r="A90" s="12">
        <v>41701</v>
      </c>
      <c r="B90" s="9">
        <v>74.580001999999993</v>
      </c>
      <c r="D90" s="9">
        <v>67.411461000000003</v>
      </c>
      <c r="E90" s="5">
        <f t="shared" si="5"/>
        <v>-1.6063588329193745E-3</v>
      </c>
      <c r="F90" s="9">
        <f t="shared" si="4"/>
        <v>7.7149879602822206E-6</v>
      </c>
      <c r="G90" s="10">
        <f t="shared" si="6"/>
        <v>-1.6063588329194038E-3</v>
      </c>
      <c r="H90" s="9"/>
    </row>
    <row r="91" spans="1:8" ht="13.5" x14ac:dyDescent="0.25">
      <c r="A91" s="12">
        <v>41708</v>
      </c>
      <c r="B91" s="9">
        <v>74.279999000000004</v>
      </c>
      <c r="C91" s="9">
        <v>0.48</v>
      </c>
      <c r="D91" s="9">
        <v>67.573455999999993</v>
      </c>
      <c r="E91" s="5">
        <f t="shared" si="5"/>
        <v>2.4134753978688472E-3</v>
      </c>
      <c r="F91" s="9">
        <f t="shared" si="4"/>
        <v>1.5431788900626188E-6</v>
      </c>
      <c r="G91" s="10">
        <f t="shared" si="6"/>
        <v>2.4134753978688607E-3</v>
      </c>
      <c r="H91" s="9"/>
    </row>
    <row r="92" spans="1:8" ht="13.5" x14ac:dyDescent="0.25">
      <c r="A92" s="12">
        <v>41715</v>
      </c>
      <c r="B92" s="9">
        <v>76.099997999999999</v>
      </c>
      <c r="D92" s="9">
        <v>69.229140999999998</v>
      </c>
      <c r="E92" s="5">
        <f t="shared" si="5"/>
        <v>2.4501871627650385E-2</v>
      </c>
      <c r="F92" s="9">
        <f t="shared" si="4"/>
        <v>5.4431893757481684E-4</v>
      </c>
      <c r="G92" s="10">
        <f t="shared" si="6"/>
        <v>2.4501871627650339E-2</v>
      </c>
      <c r="H92" s="9"/>
    </row>
    <row r="93" spans="1:8" ht="13.5" x14ac:dyDescent="0.25">
      <c r="A93" s="12">
        <v>41722</v>
      </c>
      <c r="B93" s="9">
        <v>76.010002</v>
      </c>
      <c r="D93" s="9">
        <v>69.147284999999997</v>
      </c>
      <c r="E93" s="5">
        <f t="shared" si="5"/>
        <v>-1.1826018707647989E-3</v>
      </c>
      <c r="F93" s="9">
        <f t="shared" si="4"/>
        <v>5.5405145061750186E-6</v>
      </c>
      <c r="G93" s="10">
        <f t="shared" si="6"/>
        <v>-1.1826018707648232E-3</v>
      </c>
      <c r="H93" s="9"/>
    </row>
    <row r="94" spans="1:8" ht="13.5" x14ac:dyDescent="0.25">
      <c r="A94" s="12">
        <v>41729</v>
      </c>
      <c r="B94" s="9">
        <v>77.309997999999993</v>
      </c>
      <c r="D94" s="9">
        <v>70.329894999999993</v>
      </c>
      <c r="E94" s="5">
        <f t="shared" si="5"/>
        <v>1.7102959686805308E-2</v>
      </c>
      <c r="F94" s="9">
        <f t="shared" si="4"/>
        <v>2.5382007829229737E-4</v>
      </c>
      <c r="G94" s="10">
        <f t="shared" si="6"/>
        <v>1.7102959686805336E-2</v>
      </c>
      <c r="H94" s="9"/>
    </row>
    <row r="95" spans="1:8" ht="13.5" x14ac:dyDescent="0.25">
      <c r="A95" s="12">
        <v>41736</v>
      </c>
      <c r="B95" s="9">
        <v>76.5</v>
      </c>
      <c r="D95" s="9">
        <v>69.593033000000005</v>
      </c>
      <c r="E95" s="5">
        <f t="shared" si="5"/>
        <v>-1.0477273586270042E-2</v>
      </c>
      <c r="F95" s="9">
        <f t="shared" si="4"/>
        <v>1.3568758646210024E-4</v>
      </c>
      <c r="G95" s="10">
        <f t="shared" si="6"/>
        <v>-1.0477273586270087E-2</v>
      </c>
      <c r="H95" s="9"/>
    </row>
    <row r="96" spans="1:8" ht="13.5" x14ac:dyDescent="0.25">
      <c r="A96" s="12">
        <v>41743</v>
      </c>
      <c r="B96" s="9">
        <v>77.660004000000001</v>
      </c>
      <c r="D96" s="9">
        <v>70.648292999999995</v>
      </c>
      <c r="E96" s="5">
        <f t="shared" si="5"/>
        <v>1.5163450980392179E-2</v>
      </c>
      <c r="F96" s="9">
        <f t="shared" si="4"/>
        <v>1.9578230722819951E-4</v>
      </c>
      <c r="G96" s="10">
        <f t="shared" si="6"/>
        <v>1.5163450980392165E-2</v>
      </c>
      <c r="H96" s="9"/>
    </row>
    <row r="97" spans="1:8" ht="13.5" x14ac:dyDescent="0.25">
      <c r="A97" s="12">
        <v>41750</v>
      </c>
      <c r="B97" s="9">
        <v>78.620002999999997</v>
      </c>
      <c r="D97" s="9">
        <v>71.521621999999994</v>
      </c>
      <c r="E97" s="5">
        <f t="shared" si="5"/>
        <v>1.2361562587609454E-2</v>
      </c>
      <c r="F97" s="9">
        <f t="shared" si="4"/>
        <v>1.2522359081798505E-4</v>
      </c>
      <c r="G97" s="10">
        <f t="shared" si="6"/>
        <v>1.2361562587609398E-2</v>
      </c>
      <c r="H97" s="9"/>
    </row>
    <row r="98" spans="1:8" ht="13.5" x14ac:dyDescent="0.25">
      <c r="A98" s="12">
        <v>41757</v>
      </c>
      <c r="B98" s="9">
        <v>79.120002999999997</v>
      </c>
      <c r="D98" s="9">
        <v>71.976471000000004</v>
      </c>
      <c r="E98" s="5">
        <f t="shared" si="5"/>
        <v>6.3597046670171853E-3</v>
      </c>
      <c r="F98" s="9">
        <f t="shared" si="4"/>
        <v>2.6920291346073961E-5</v>
      </c>
      <c r="G98" s="10">
        <f t="shared" si="6"/>
        <v>6.3597046670171202E-3</v>
      </c>
      <c r="H98" s="9"/>
    </row>
    <row r="99" spans="1:8" ht="13.5" x14ac:dyDescent="0.25">
      <c r="A99" s="12">
        <v>41764</v>
      </c>
      <c r="B99" s="9">
        <v>79.199996999999996</v>
      </c>
      <c r="C99" s="9">
        <v>0.48</v>
      </c>
      <c r="D99" s="9">
        <v>72.049248000000006</v>
      </c>
      <c r="E99" s="5">
        <f t="shared" si="5"/>
        <v>7.0777803180821497E-3</v>
      </c>
      <c r="F99" s="9">
        <f t="shared" si="4"/>
        <v>3.4887361677241453E-5</v>
      </c>
      <c r="G99" s="10">
        <f t="shared" si="6"/>
        <v>7.0777803180821323E-3</v>
      </c>
      <c r="H99" s="9"/>
    </row>
    <row r="100" spans="1:8" ht="13.5" x14ac:dyDescent="0.25">
      <c r="A100" s="12">
        <v>41771</v>
      </c>
      <c r="B100" s="9">
        <v>77.010002</v>
      </c>
      <c r="D100" s="9">
        <v>70.490714999999994</v>
      </c>
      <c r="E100" s="5">
        <f t="shared" si="5"/>
        <v>-2.7651453067605525E-2</v>
      </c>
      <c r="F100" s="9">
        <f t="shared" si="4"/>
        <v>8.307469371371315E-4</v>
      </c>
      <c r="G100" s="10">
        <f t="shared" si="6"/>
        <v>-2.7651453067605497E-2</v>
      </c>
      <c r="H100" s="9"/>
    </row>
    <row r="101" spans="1:8" ht="13.5" x14ac:dyDescent="0.25">
      <c r="A101" s="12">
        <v>41778</v>
      </c>
      <c r="B101" s="9">
        <v>75.610000999999997</v>
      </c>
      <c r="D101" s="9">
        <v>69.209228999999993</v>
      </c>
      <c r="E101" s="5">
        <f t="shared" si="5"/>
        <v>-1.817946972654283E-2</v>
      </c>
      <c r="F101" s="9">
        <f t="shared" si="4"/>
        <v>3.7444949794691835E-4</v>
      </c>
      <c r="G101" s="10">
        <f t="shared" si="6"/>
        <v>-1.8179469726542836E-2</v>
      </c>
      <c r="H101" s="9"/>
    </row>
    <row r="102" spans="1:8" ht="13.5" x14ac:dyDescent="0.25">
      <c r="A102" s="12">
        <v>41785</v>
      </c>
      <c r="B102" s="9">
        <v>76.769997000000004</v>
      </c>
      <c r="D102" s="9">
        <v>70.271027000000004</v>
      </c>
      <c r="E102" s="5">
        <f t="shared" si="5"/>
        <v>1.5341832887953544E-2</v>
      </c>
      <c r="F102" s="9">
        <f t="shared" si="4"/>
        <v>2.0080604622768654E-4</v>
      </c>
      <c r="G102" s="10">
        <f t="shared" si="6"/>
        <v>1.5341832887953629E-2</v>
      </c>
      <c r="H102" s="9"/>
    </row>
    <row r="103" spans="1:8" ht="13.5" x14ac:dyDescent="0.25">
      <c r="A103" s="12">
        <v>41792</v>
      </c>
      <c r="B103" s="9">
        <v>77.209998999999996</v>
      </c>
      <c r="D103" s="9">
        <v>70.673782000000003</v>
      </c>
      <c r="E103" s="5">
        <f t="shared" si="5"/>
        <v>5.7314317727534814E-3</v>
      </c>
      <c r="F103" s="9">
        <f t="shared" si="4"/>
        <v>2.0795459522968302E-5</v>
      </c>
      <c r="G103" s="10">
        <f t="shared" si="6"/>
        <v>5.731431772753523E-3</v>
      </c>
      <c r="H103" s="9"/>
    </row>
    <row r="104" spans="1:8" ht="13.5" x14ac:dyDescent="0.25">
      <c r="A104" s="12">
        <v>41799</v>
      </c>
      <c r="B104" s="9">
        <v>75.279999000000004</v>
      </c>
      <c r="D104" s="9">
        <v>68.907166000000004</v>
      </c>
      <c r="E104" s="5">
        <f t="shared" si="5"/>
        <v>-2.49967624012013E-2</v>
      </c>
      <c r="F104" s="9">
        <f t="shared" si="4"/>
        <v>6.8476371547477168E-4</v>
      </c>
      <c r="G104" s="10">
        <f t="shared" si="6"/>
        <v>-2.4996762401201335E-2</v>
      </c>
      <c r="H104" s="9"/>
    </row>
    <row r="105" spans="1:8" ht="13.5" x14ac:dyDescent="0.25">
      <c r="A105" s="12">
        <v>41806</v>
      </c>
      <c r="B105" s="9">
        <v>75.680000000000007</v>
      </c>
      <c r="D105" s="9">
        <v>69.273314999999997</v>
      </c>
      <c r="E105" s="5">
        <f t="shared" si="5"/>
        <v>5.3135096348766453E-3</v>
      </c>
      <c r="F105" s="9">
        <f t="shared" si="4"/>
        <v>1.7158498118148407E-5</v>
      </c>
      <c r="G105" s="10">
        <f t="shared" si="6"/>
        <v>5.3135096348766305E-3</v>
      </c>
      <c r="H105" s="9"/>
    </row>
    <row r="106" spans="1:8" ht="13.5" x14ac:dyDescent="0.25">
      <c r="A106" s="12">
        <v>41813</v>
      </c>
      <c r="B106" s="9">
        <v>75.339995999999999</v>
      </c>
      <c r="D106" s="9">
        <v>68.962074000000001</v>
      </c>
      <c r="E106" s="5">
        <f t="shared" si="5"/>
        <v>-4.4926532769556937E-3</v>
      </c>
      <c r="F106" s="9">
        <f t="shared" si="4"/>
        <v>3.2079549785598756E-5</v>
      </c>
      <c r="G106" s="10">
        <f t="shared" si="6"/>
        <v>-4.4926532769557015E-3</v>
      </c>
      <c r="H106" s="9"/>
    </row>
    <row r="107" spans="1:8" ht="13.5" x14ac:dyDescent="0.25">
      <c r="A107" s="12">
        <v>41820</v>
      </c>
      <c r="B107" s="9">
        <v>75.75</v>
      </c>
      <c r="D107" s="9">
        <v>69.337378999999999</v>
      </c>
      <c r="E107" s="5">
        <f t="shared" si="5"/>
        <v>5.4420496650942063E-3</v>
      </c>
      <c r="F107" s="9">
        <f t="shared" si="4"/>
        <v>1.8239918700821448E-5</v>
      </c>
      <c r="G107" s="10">
        <f t="shared" si="6"/>
        <v>5.4420496650942314E-3</v>
      </c>
      <c r="H107" s="9"/>
    </row>
    <row r="108" spans="1:8" ht="13.5" x14ac:dyDescent="0.25">
      <c r="A108" s="12">
        <v>41827</v>
      </c>
      <c r="B108" s="9">
        <v>76.819999999999993</v>
      </c>
      <c r="D108" s="9">
        <v>70.316802999999993</v>
      </c>
      <c r="E108" s="5">
        <f t="shared" si="5"/>
        <v>1.412541254125399E-2</v>
      </c>
      <c r="F108" s="9">
        <f t="shared" si="4"/>
        <v>1.6781090017958913E-4</v>
      </c>
      <c r="G108" s="10">
        <f t="shared" si="6"/>
        <v>1.4125412541254035E-2</v>
      </c>
      <c r="H108" s="9"/>
    </row>
    <row r="109" spans="1:8" ht="13.5" x14ac:dyDescent="0.25">
      <c r="A109" s="12">
        <v>41834</v>
      </c>
      <c r="B109" s="9">
        <v>77.089995999999999</v>
      </c>
      <c r="D109" s="9">
        <v>70.563927000000007</v>
      </c>
      <c r="E109" s="5">
        <f t="shared" si="5"/>
        <v>3.5146576412392605E-3</v>
      </c>
      <c r="F109" s="9">
        <f t="shared" si="4"/>
        <v>5.4916630353191427E-6</v>
      </c>
      <c r="G109" s="10">
        <f t="shared" si="6"/>
        <v>3.5146576412393407E-3</v>
      </c>
      <c r="H109" s="9"/>
    </row>
    <row r="110" spans="1:8" ht="13.5" x14ac:dyDescent="0.25">
      <c r="A110" s="12">
        <v>41841</v>
      </c>
      <c r="B110" s="9">
        <v>75.970000999999996</v>
      </c>
      <c r="D110" s="9">
        <v>69.538749999999993</v>
      </c>
      <c r="E110" s="5">
        <f t="shared" si="5"/>
        <v>-1.452840910771358E-2</v>
      </c>
      <c r="F110" s="9">
        <f t="shared" si="4"/>
        <v>2.4647860161661471E-4</v>
      </c>
      <c r="G110" s="10">
        <f t="shared" si="6"/>
        <v>-1.4528409107713573E-2</v>
      </c>
      <c r="H110" s="9"/>
    </row>
    <row r="111" spans="1:8" ht="13.5" x14ac:dyDescent="0.25">
      <c r="A111" s="12">
        <v>41848</v>
      </c>
      <c r="B111" s="9">
        <v>73.540001000000004</v>
      </c>
      <c r="D111" s="9">
        <v>67.314468000000005</v>
      </c>
      <c r="E111" s="5">
        <f t="shared" si="5"/>
        <v>-3.1986309964639803E-2</v>
      </c>
      <c r="F111" s="9">
        <f t="shared" si="4"/>
        <v>1.099422316067892E-3</v>
      </c>
      <c r="G111" s="10">
        <f t="shared" si="6"/>
        <v>-3.1986309964639761E-2</v>
      </c>
      <c r="H111" s="9"/>
    </row>
    <row r="112" spans="1:8" ht="13.5" x14ac:dyDescent="0.25">
      <c r="A112" s="12">
        <v>41855</v>
      </c>
      <c r="B112" s="9">
        <v>74.669998000000007</v>
      </c>
      <c r="C112" s="9">
        <v>0.48</v>
      </c>
      <c r="D112" s="9">
        <v>68.348800999999995</v>
      </c>
      <c r="E112" s="5">
        <f t="shared" si="5"/>
        <v>2.1892806338145165E-2</v>
      </c>
      <c r="F112" s="9">
        <f t="shared" si="4"/>
        <v>4.293838137038424E-4</v>
      </c>
      <c r="G112" s="10">
        <f t="shared" si="6"/>
        <v>2.1892806338145179E-2</v>
      </c>
      <c r="H112" s="9"/>
    </row>
    <row r="113" spans="1:8" ht="13.5" x14ac:dyDescent="0.25">
      <c r="A113" s="12">
        <v>41862</v>
      </c>
      <c r="B113" s="9">
        <v>73.900002000000001</v>
      </c>
      <c r="D113" s="9">
        <v>68.08963</v>
      </c>
      <c r="E113" s="5">
        <f t="shared" si="5"/>
        <v>-1.0311986348252034E-2</v>
      </c>
      <c r="F113" s="9">
        <f t="shared" si="4"/>
        <v>1.3186420906359129E-4</v>
      </c>
      <c r="G113" s="10">
        <f t="shared" si="6"/>
        <v>-1.0311986348252025E-2</v>
      </c>
      <c r="H113" s="9"/>
    </row>
    <row r="114" spans="1:8" ht="13.5" x14ac:dyDescent="0.25">
      <c r="A114" s="12">
        <v>41869</v>
      </c>
      <c r="B114" s="9">
        <v>75.730002999999996</v>
      </c>
      <c r="D114" s="9">
        <v>69.775741999999994</v>
      </c>
      <c r="E114" s="5">
        <f t="shared" si="5"/>
        <v>2.4763206366354318E-2</v>
      </c>
      <c r="F114" s="9">
        <f t="shared" si="4"/>
        <v>5.5658144879446817E-4</v>
      </c>
      <c r="G114" s="10">
        <f t="shared" si="6"/>
        <v>2.4763206366354304E-2</v>
      </c>
      <c r="H114" s="9"/>
    </row>
    <row r="115" spans="1:8" ht="13.5" x14ac:dyDescent="0.25">
      <c r="A115" s="12">
        <v>41876</v>
      </c>
      <c r="B115" s="9">
        <v>75.5</v>
      </c>
      <c r="D115" s="9">
        <v>69.563820000000007</v>
      </c>
      <c r="E115" s="5">
        <f t="shared" si="5"/>
        <v>-3.0371450005092226E-3</v>
      </c>
      <c r="F115" s="9">
        <f t="shared" si="4"/>
        <v>1.7710402320338358E-5</v>
      </c>
      <c r="G115" s="10">
        <f t="shared" si="6"/>
        <v>-3.0371450005091962E-3</v>
      </c>
      <c r="H115" s="9"/>
    </row>
    <row r="116" spans="1:8" ht="13.5" x14ac:dyDescent="0.25">
      <c r="A116" s="12">
        <v>41883</v>
      </c>
      <c r="B116" s="9">
        <v>77.510002</v>
      </c>
      <c r="D116" s="9">
        <v>71.415794000000005</v>
      </c>
      <c r="E116" s="5">
        <f t="shared" si="5"/>
        <v>2.6622543046357583E-2</v>
      </c>
      <c r="F116" s="9">
        <f t="shared" si="4"/>
        <v>6.4776944358276175E-4</v>
      </c>
      <c r="G116" s="10">
        <f t="shared" si="6"/>
        <v>2.6622543046357618E-2</v>
      </c>
      <c r="H116" s="9"/>
    </row>
    <row r="117" spans="1:8" ht="13.5" x14ac:dyDescent="0.25">
      <c r="A117" s="12">
        <v>41890</v>
      </c>
      <c r="B117" s="9">
        <v>75.769997000000004</v>
      </c>
      <c r="D117" s="9">
        <v>69.812613999999996</v>
      </c>
      <c r="E117" s="5">
        <f t="shared" si="5"/>
        <v>-2.2448780223228382E-2</v>
      </c>
      <c r="F117" s="9">
        <f t="shared" si="4"/>
        <v>5.5790478290283741E-4</v>
      </c>
      <c r="G117" s="10">
        <f t="shared" si="6"/>
        <v>-2.2448780223228434E-2</v>
      </c>
      <c r="H117" s="9"/>
    </row>
    <row r="118" spans="1:8" ht="13.5" x14ac:dyDescent="0.25">
      <c r="A118" s="12">
        <v>41897</v>
      </c>
      <c r="B118" s="9">
        <v>76.839995999999999</v>
      </c>
      <c r="D118" s="9">
        <v>70.798469999999995</v>
      </c>
      <c r="E118" s="5">
        <f t="shared" si="5"/>
        <v>1.4121671405107783E-2</v>
      </c>
      <c r="F118" s="9">
        <f t="shared" si="4"/>
        <v>1.6771398743874392E-4</v>
      </c>
      <c r="G118" s="10">
        <f t="shared" si="6"/>
        <v>1.4121671405107693E-2</v>
      </c>
      <c r="H118" s="9"/>
    </row>
    <row r="119" spans="1:8" ht="13.5" x14ac:dyDescent="0.25">
      <c r="A119" s="12">
        <v>41904</v>
      </c>
      <c r="B119" s="9">
        <v>76.489998</v>
      </c>
      <c r="D119" s="9">
        <v>70.475998000000004</v>
      </c>
      <c r="E119" s="5">
        <f t="shared" si="5"/>
        <v>-4.5548935218581166E-3</v>
      </c>
      <c r="F119" s="9">
        <f t="shared" si="4"/>
        <v>3.2788466334578563E-5</v>
      </c>
      <c r="G119" s="10">
        <f t="shared" si="6"/>
        <v>-4.5548935218580619E-3</v>
      </c>
      <c r="H119" s="9"/>
    </row>
    <row r="120" spans="1:8" ht="13.5" x14ac:dyDescent="0.25">
      <c r="A120" s="12">
        <v>41911</v>
      </c>
      <c r="B120" s="9">
        <v>77.319999999999993</v>
      </c>
      <c r="D120" s="9">
        <v>71.240737999999993</v>
      </c>
      <c r="E120" s="5">
        <f t="shared" si="5"/>
        <v>1.0851118076901978E-2</v>
      </c>
      <c r="F120" s="9">
        <f t="shared" si="4"/>
        <v>9.3700274180530575E-5</v>
      </c>
      <c r="G120" s="10">
        <f t="shared" si="6"/>
        <v>1.085111807690194E-2</v>
      </c>
      <c r="H120" s="9"/>
    </row>
    <row r="121" spans="1:8" ht="13.5" x14ac:dyDescent="0.25">
      <c r="A121" s="12">
        <v>41918</v>
      </c>
      <c r="B121" s="9">
        <v>78.290001000000004</v>
      </c>
      <c r="D121" s="9">
        <v>72.134467999999998</v>
      </c>
      <c r="E121" s="5">
        <f t="shared" si="5"/>
        <v>1.2545279358510131E-2</v>
      </c>
      <c r="F121" s="9">
        <f t="shared" si="4"/>
        <v>1.2936904698462827E-4</v>
      </c>
      <c r="G121" s="10">
        <f t="shared" si="6"/>
        <v>1.2545279358510226E-2</v>
      </c>
      <c r="H121" s="9"/>
    </row>
    <row r="122" spans="1:8" ht="13.5" x14ac:dyDescent="0.25">
      <c r="A122" s="12">
        <v>41925</v>
      </c>
      <c r="B122" s="9">
        <v>74.099997999999999</v>
      </c>
      <c r="D122" s="9">
        <v>68.273917999999995</v>
      </c>
      <c r="E122" s="5">
        <f t="shared" si="5"/>
        <v>-5.3519005575181966E-2</v>
      </c>
      <c r="F122" s="9">
        <f t="shared" si="4"/>
        <v>2.9910216356283485E-3</v>
      </c>
      <c r="G122" s="10">
        <f t="shared" si="6"/>
        <v>-5.3519005575182001E-2</v>
      </c>
      <c r="H122" s="9"/>
    </row>
    <row r="123" spans="1:8" ht="13.5" x14ac:dyDescent="0.25">
      <c r="A123" s="12">
        <v>41932</v>
      </c>
      <c r="B123" s="9">
        <v>76.379997000000003</v>
      </c>
      <c r="D123" s="9">
        <v>70.374640999999997</v>
      </c>
      <c r="E123" s="5">
        <f t="shared" si="5"/>
        <v>3.0769218104432339E-2</v>
      </c>
      <c r="F123" s="9">
        <f t="shared" si="4"/>
        <v>8.7604102519243531E-4</v>
      </c>
      <c r="G123" s="10">
        <f t="shared" si="6"/>
        <v>3.0769218104432387E-2</v>
      </c>
      <c r="H123" s="9"/>
    </row>
    <row r="124" spans="1:8" ht="13.5" x14ac:dyDescent="0.25">
      <c r="A124" s="12">
        <v>41939</v>
      </c>
      <c r="B124" s="9">
        <v>76.269997000000004</v>
      </c>
      <c r="D124" s="9">
        <v>70.273285000000001</v>
      </c>
      <c r="E124" s="5">
        <f t="shared" si="5"/>
        <v>-1.4401676397027829E-3</v>
      </c>
      <c r="F124" s="9">
        <f t="shared" si="4"/>
        <v>6.8193865720720625E-6</v>
      </c>
      <c r="G124" s="10">
        <f t="shared" si="6"/>
        <v>-1.4401676397028326E-3</v>
      </c>
      <c r="H124" s="9"/>
    </row>
    <row r="125" spans="1:8" ht="13.5" x14ac:dyDescent="0.25">
      <c r="A125" s="12">
        <v>41946</v>
      </c>
      <c r="B125" s="9">
        <v>78.769997000000004</v>
      </c>
      <c r="D125" s="9">
        <v>72.576729</v>
      </c>
      <c r="E125" s="5">
        <f t="shared" si="5"/>
        <v>3.2778288951551993E-2</v>
      </c>
      <c r="F125" s="9">
        <f t="shared" si="4"/>
        <v>9.9900630943862163E-4</v>
      </c>
      <c r="G125" s="10">
        <f t="shared" si="6"/>
        <v>3.2778288951551944E-2</v>
      </c>
      <c r="H125" s="9"/>
    </row>
    <row r="126" spans="1:8" ht="13.5" x14ac:dyDescent="0.25">
      <c r="A126" s="12">
        <v>41953</v>
      </c>
      <c r="B126" s="9">
        <v>82.959998999999996</v>
      </c>
      <c r="D126" s="9">
        <v>76.437279000000004</v>
      </c>
      <c r="E126" s="5">
        <f t="shared" si="5"/>
        <v>5.3192867329930005E-2</v>
      </c>
      <c r="F126" s="9">
        <f t="shared" si="4"/>
        <v>2.7062509708244758E-3</v>
      </c>
      <c r="G126" s="10">
        <f t="shared" si="6"/>
        <v>5.3192867329930109E-2</v>
      </c>
      <c r="H126" s="9"/>
    </row>
    <row r="127" spans="1:8" ht="13.5" x14ac:dyDescent="0.25">
      <c r="A127" s="12">
        <v>41960</v>
      </c>
      <c r="B127" s="9">
        <v>84.650002000000001</v>
      </c>
      <c r="D127" s="9">
        <v>77.994408000000007</v>
      </c>
      <c r="E127" s="5">
        <f t="shared" si="5"/>
        <v>2.0371299666963605E-2</v>
      </c>
      <c r="F127" s="9">
        <f t="shared" si="4"/>
        <v>3.6864275653817751E-4</v>
      </c>
      <c r="G127" s="10">
        <f t="shared" si="6"/>
        <v>2.0371299666963646E-2</v>
      </c>
      <c r="H127" s="9"/>
    </row>
    <row r="128" spans="1:8" ht="13.5" x14ac:dyDescent="0.25">
      <c r="A128" s="12">
        <v>41967</v>
      </c>
      <c r="B128" s="9">
        <v>87.540001000000004</v>
      </c>
      <c r="D128" s="9">
        <v>80.657180999999994</v>
      </c>
      <c r="E128" s="5">
        <f t="shared" si="5"/>
        <v>3.4140566234127201E-2</v>
      </c>
      <c r="F128" s="9">
        <f t="shared" si="4"/>
        <v>1.0869772713605985E-3</v>
      </c>
      <c r="G128" s="10">
        <f t="shared" si="6"/>
        <v>3.4140566234127236E-2</v>
      </c>
      <c r="H128" s="9"/>
    </row>
    <row r="129" spans="1:8" ht="13.5" x14ac:dyDescent="0.25">
      <c r="A129" s="12">
        <v>41974</v>
      </c>
      <c r="B129" s="9">
        <v>84.120002999999997</v>
      </c>
      <c r="C129" s="9">
        <v>0.48</v>
      </c>
      <c r="D129" s="9">
        <v>77.506088000000005</v>
      </c>
      <c r="E129" s="5">
        <f t="shared" si="5"/>
        <v>-3.3584623788158297E-2</v>
      </c>
      <c r="F129" s="9">
        <f t="shared" si="4"/>
        <v>1.2079692253353835E-3</v>
      </c>
      <c r="G129" s="10">
        <f t="shared" si="6"/>
        <v>-3.3584623788158359E-2</v>
      </c>
      <c r="H129" s="9"/>
    </row>
    <row r="130" spans="1:8" ht="13.5" x14ac:dyDescent="0.25">
      <c r="A130" s="12">
        <v>41981</v>
      </c>
      <c r="B130" s="9">
        <v>83.809997999999993</v>
      </c>
      <c r="D130" s="9">
        <v>77.651848000000001</v>
      </c>
      <c r="E130" s="5">
        <f t="shared" si="5"/>
        <v>-3.6852709099404191E-3</v>
      </c>
      <c r="F130" s="9">
        <f t="shared" si="4"/>
        <v>2.3585580518541446E-5</v>
      </c>
      <c r="G130" s="10">
        <f t="shared" si="6"/>
        <v>-3.6852709099404559E-3</v>
      </c>
      <c r="H130" s="9"/>
    </row>
    <row r="131" spans="1:8" ht="13.5" x14ac:dyDescent="0.25">
      <c r="A131" s="12">
        <v>41988</v>
      </c>
      <c r="B131" s="9">
        <v>85.160004000000001</v>
      </c>
      <c r="D131" s="9">
        <v>78.902664000000001</v>
      </c>
      <c r="E131" s="5">
        <f t="shared" si="5"/>
        <v>1.6107934998399687E-2</v>
      </c>
      <c r="F131" s="9">
        <f t="shared" si="4"/>
        <v>2.2310521947365377E-4</v>
      </c>
      <c r="G131" s="10">
        <f t="shared" si="6"/>
        <v>1.6107934998399687E-2</v>
      </c>
      <c r="H131" s="9"/>
    </row>
    <row r="132" spans="1:8" ht="13.5" x14ac:dyDescent="0.25">
      <c r="A132" s="12">
        <v>41995</v>
      </c>
      <c r="B132" s="9">
        <v>86.910004000000001</v>
      </c>
      <c r="D132" s="9">
        <v>80.524078000000003</v>
      </c>
      <c r="E132" s="5">
        <f t="shared" si="5"/>
        <v>2.0549552815896988E-2</v>
      </c>
      <c r="F132" s="9">
        <f t="shared" si="4"/>
        <v>3.7551947723402676E-4</v>
      </c>
      <c r="G132" s="10">
        <f t="shared" si="6"/>
        <v>2.0549552815897001E-2</v>
      </c>
      <c r="H132" s="9"/>
    </row>
    <row r="133" spans="1:8" ht="13.5" x14ac:dyDescent="0.25">
      <c r="A133" s="12">
        <v>42002</v>
      </c>
      <c r="B133" s="9">
        <v>85.900002000000001</v>
      </c>
      <c r="D133" s="9">
        <v>79.588286999999994</v>
      </c>
      <c r="E133" s="5">
        <f t="shared" si="5"/>
        <v>-1.1621239828731311E-2</v>
      </c>
      <c r="F133" s="9">
        <f t="shared" si="4"/>
        <v>1.6364723013648479E-4</v>
      </c>
      <c r="G133" s="10">
        <f t="shared" si="6"/>
        <v>-1.1621239828731339E-2</v>
      </c>
      <c r="H133" s="9"/>
    </row>
    <row r="134" spans="1:8" ht="13.5" x14ac:dyDescent="0.25">
      <c r="A134" s="12">
        <v>42009</v>
      </c>
      <c r="B134" s="9">
        <v>89.349997999999999</v>
      </c>
      <c r="D134" s="9">
        <v>82.784790000000001</v>
      </c>
      <c r="E134" s="5">
        <f t="shared" si="5"/>
        <v>4.016293270866278E-2</v>
      </c>
      <c r="F134" s="9">
        <f t="shared" si="4"/>
        <v>1.520353045270146E-3</v>
      </c>
      <c r="G134" s="10">
        <f t="shared" si="6"/>
        <v>4.0162932708662787E-2</v>
      </c>
      <c r="H134" s="9"/>
    </row>
    <row r="135" spans="1:8" ht="13.5" x14ac:dyDescent="0.25">
      <c r="A135" s="12">
        <v>42016</v>
      </c>
      <c r="B135" s="9">
        <v>86.769997000000004</v>
      </c>
      <c r="D135" s="9">
        <v>80.394362999999998</v>
      </c>
      <c r="E135" s="5">
        <f t="shared" si="5"/>
        <v>-2.8875221687190145E-2</v>
      </c>
      <c r="F135" s="9">
        <f t="shared" si="4"/>
        <v>9.027891317288754E-4</v>
      </c>
      <c r="G135" s="10">
        <f t="shared" si="6"/>
        <v>-2.8875221687190141E-2</v>
      </c>
      <c r="H135" s="9"/>
    </row>
    <row r="136" spans="1:8" ht="13.5" x14ac:dyDescent="0.25">
      <c r="A136" s="12">
        <v>42023</v>
      </c>
      <c r="B136" s="9">
        <v>88.510002</v>
      </c>
      <c r="D136" s="9">
        <v>82.006516000000005</v>
      </c>
      <c r="E136" s="5">
        <f t="shared" si="5"/>
        <v>2.0053072031338104E-2</v>
      </c>
      <c r="F136" s="9">
        <f t="shared" si="4"/>
        <v>3.565240384704743E-4</v>
      </c>
      <c r="G136" s="10">
        <f t="shared" si="6"/>
        <v>2.0053072031338163E-2</v>
      </c>
      <c r="H136" s="9"/>
    </row>
    <row r="137" spans="1:8" ht="13.5" x14ac:dyDescent="0.25">
      <c r="A137" s="12">
        <v>42030</v>
      </c>
      <c r="B137" s="9">
        <v>84.980002999999996</v>
      </c>
      <c r="D137" s="9">
        <v>78.735893000000004</v>
      </c>
      <c r="E137" s="5">
        <f t="shared" si="5"/>
        <v>-3.9882486953282448E-2</v>
      </c>
      <c r="F137" s="9">
        <f t="shared" si="4"/>
        <v>1.6854075017971701E-3</v>
      </c>
      <c r="G137" s="10">
        <f t="shared" si="6"/>
        <v>-3.9882486953282448E-2</v>
      </c>
      <c r="H137" s="9"/>
    </row>
    <row r="138" spans="1:8" ht="13.5" x14ac:dyDescent="0.25">
      <c r="A138" s="12">
        <v>42037</v>
      </c>
      <c r="B138" s="9">
        <v>87.330001999999993</v>
      </c>
      <c r="D138" s="9">
        <v>80.913223000000002</v>
      </c>
      <c r="E138" s="5">
        <f t="shared" si="5"/>
        <v>2.7653552801121917E-2</v>
      </c>
      <c r="F138" s="9">
        <f t="shared" si="4"/>
        <v>7.0131353310873485E-4</v>
      </c>
      <c r="G138" s="10">
        <f t="shared" si="6"/>
        <v>2.7653552801121892E-2</v>
      </c>
      <c r="H138" s="9"/>
    </row>
    <row r="139" spans="1:8" ht="13.5" x14ac:dyDescent="0.25">
      <c r="A139" s="12">
        <v>42044</v>
      </c>
      <c r="B139" s="9">
        <v>85.809997999999993</v>
      </c>
      <c r="D139" s="9">
        <v>79.504897999999997</v>
      </c>
      <c r="E139" s="5">
        <f t="shared" si="5"/>
        <v>-1.7405289879645292E-2</v>
      </c>
      <c r="F139" s="9">
        <f t="shared" si="4"/>
        <v>3.4508701215798994E-4</v>
      </c>
      <c r="G139" s="10">
        <f t="shared" si="6"/>
        <v>-1.740528987964526E-2</v>
      </c>
      <c r="H139" s="9"/>
    </row>
    <row r="140" spans="1:8" ht="13.5" x14ac:dyDescent="0.25">
      <c r="A140" s="12">
        <v>42051</v>
      </c>
      <c r="B140" s="9">
        <v>84.300003000000004</v>
      </c>
      <c r="D140" s="9">
        <v>78.105864999999994</v>
      </c>
      <c r="E140" s="5">
        <f t="shared" si="5"/>
        <v>-1.7596958806594842E-2</v>
      </c>
      <c r="F140" s="9">
        <f t="shared" si="4"/>
        <v>3.522448315873112E-4</v>
      </c>
      <c r="G140" s="10">
        <f t="shared" si="6"/>
        <v>-1.7596958806594884E-2</v>
      </c>
      <c r="H140" s="9"/>
    </row>
    <row r="141" spans="1:8" ht="13.5" x14ac:dyDescent="0.25">
      <c r="A141" s="12">
        <v>42058</v>
      </c>
      <c r="B141" s="9">
        <v>83.93</v>
      </c>
      <c r="D141" s="9">
        <v>77.763046000000003</v>
      </c>
      <c r="E141" s="5">
        <f t="shared" si="5"/>
        <v>-4.3891220264843378E-3</v>
      </c>
      <c r="F141" s="9">
        <f t="shared" si="4"/>
        <v>3.0917491107555605E-5</v>
      </c>
      <c r="G141" s="10">
        <f t="shared" si="6"/>
        <v>-4.3891220264843517E-3</v>
      </c>
      <c r="H141" s="9"/>
    </row>
    <row r="142" spans="1:8" ht="13.5" x14ac:dyDescent="0.25">
      <c r="A142" s="12">
        <v>42065</v>
      </c>
      <c r="B142" s="9">
        <v>82.589995999999999</v>
      </c>
      <c r="D142" s="9">
        <v>76.521500000000003</v>
      </c>
      <c r="E142" s="5">
        <f t="shared" si="5"/>
        <v>-1.5965733349219691E-2</v>
      </c>
      <c r="F142" s="9">
        <f t="shared" si="4"/>
        <v>2.9367544024887552E-4</v>
      </c>
      <c r="G142" s="10">
        <f t="shared" si="6"/>
        <v>-1.5965733349219677E-2</v>
      </c>
      <c r="H142" s="9"/>
    </row>
    <row r="143" spans="1:8" ht="13.5" x14ac:dyDescent="0.25">
      <c r="A143" s="12">
        <v>42072</v>
      </c>
      <c r="B143" s="9">
        <v>81.900002000000001</v>
      </c>
      <c r="C143" s="9">
        <v>0.49</v>
      </c>
      <c r="D143" s="9">
        <v>75.882187000000002</v>
      </c>
      <c r="E143" s="5">
        <f t="shared" si="5"/>
        <v>-2.4215281473073391E-3</v>
      </c>
      <c r="F143" s="9">
        <f t="shared" si="4"/>
        <v>1.2907895887916509E-5</v>
      </c>
      <c r="G143" s="10">
        <f t="shared" si="6"/>
        <v>-2.4215281473073166E-3</v>
      </c>
      <c r="H143" s="9"/>
    </row>
    <row r="144" spans="1:8" ht="13.5" x14ac:dyDescent="0.25">
      <c r="A144" s="12">
        <v>42079</v>
      </c>
      <c r="B144" s="9">
        <v>83.239998</v>
      </c>
      <c r="D144" s="9">
        <v>77.586974999999995</v>
      </c>
      <c r="E144" s="5">
        <f t="shared" si="5"/>
        <v>1.6361367121822568E-2</v>
      </c>
      <c r="F144" s="9">
        <f t="shared" si="4"/>
        <v>2.3074033011761963E-4</v>
      </c>
      <c r="G144" s="10">
        <f t="shared" si="6"/>
        <v>1.6361367121822529E-2</v>
      </c>
      <c r="H144" s="9"/>
    </row>
    <row r="145" spans="1:8" ht="13.5" x14ac:dyDescent="0.25">
      <c r="A145" s="12">
        <v>42086</v>
      </c>
      <c r="B145" s="9">
        <v>81.349997999999999</v>
      </c>
      <c r="D145" s="9">
        <v>75.825339999999997</v>
      </c>
      <c r="E145" s="5">
        <f t="shared" si="5"/>
        <v>-2.2705430627232848E-2</v>
      </c>
      <c r="F145" s="9">
        <f t="shared" si="4"/>
        <v>5.7009482157843229E-4</v>
      </c>
      <c r="G145" s="10">
        <f t="shared" si="6"/>
        <v>-2.2705430627232844E-2</v>
      </c>
      <c r="H145" s="9"/>
    </row>
    <row r="146" spans="1:8" ht="13.5" x14ac:dyDescent="0.25">
      <c r="A146" s="12">
        <v>42093</v>
      </c>
      <c r="B146" s="9">
        <v>80.730002999999996</v>
      </c>
      <c r="D146" s="9">
        <v>75.247437000000005</v>
      </c>
      <c r="E146" s="5">
        <f t="shared" si="5"/>
        <v>-7.6213277841752358E-3</v>
      </c>
      <c r="F146" s="9">
        <f t="shared" ref="F146:F209" si="7">(E146-$B$8)^2</f>
        <v>7.7309035147176471E-5</v>
      </c>
      <c r="G146" s="10">
        <f t="shared" si="6"/>
        <v>-7.621327784175274E-3</v>
      </c>
      <c r="H146" s="9"/>
    </row>
    <row r="147" spans="1:8" ht="13.5" x14ac:dyDescent="0.25">
      <c r="A147" s="12">
        <v>42100</v>
      </c>
      <c r="B147" s="9">
        <v>80.650002000000001</v>
      </c>
      <c r="D147" s="9">
        <v>75.172866999999997</v>
      </c>
      <c r="E147" s="5">
        <f t="shared" ref="E147:E210" si="8">(B147+C147)/B146-1</f>
        <v>-9.9096986284019639E-4</v>
      </c>
      <c r="F147" s="9">
        <f t="shared" si="7"/>
        <v>4.675099088870658E-6</v>
      </c>
      <c r="G147" s="10">
        <f t="shared" ref="G147:G210" si="9">((B147-B146)+C147)/B146</f>
        <v>-9.9096986284016083E-4</v>
      </c>
      <c r="H147" s="9"/>
    </row>
    <row r="148" spans="1:8" ht="13.5" x14ac:dyDescent="0.25">
      <c r="A148" s="12">
        <v>42107</v>
      </c>
      <c r="B148" s="9">
        <v>77.879997000000003</v>
      </c>
      <c r="D148" s="9">
        <v>72.590964999999997</v>
      </c>
      <c r="E148" s="5">
        <f t="shared" si="8"/>
        <v>-3.4346000388195908E-2</v>
      </c>
      <c r="F148" s="9">
        <f t="shared" si="7"/>
        <v>1.2614735040149215E-3</v>
      </c>
      <c r="G148" s="10">
        <f t="shared" si="9"/>
        <v>-3.4346000388195866E-2</v>
      </c>
      <c r="H148" s="9"/>
    </row>
    <row r="149" spans="1:8" ht="13.5" x14ac:dyDescent="0.25">
      <c r="A149" s="12">
        <v>42114</v>
      </c>
      <c r="B149" s="9">
        <v>79.839995999999999</v>
      </c>
      <c r="D149" s="9">
        <v>74.417877000000004</v>
      </c>
      <c r="E149" s="5">
        <f t="shared" si="8"/>
        <v>2.5166911601190778E-2</v>
      </c>
      <c r="F149" s="9">
        <f t="shared" si="7"/>
        <v>5.7579283713946701E-4</v>
      </c>
      <c r="G149" s="10">
        <f t="shared" si="9"/>
        <v>2.5166911601190691E-2</v>
      </c>
      <c r="H149" s="9"/>
    </row>
    <row r="150" spans="1:8" ht="13.5" x14ac:dyDescent="0.25">
      <c r="A150" s="12">
        <v>42121</v>
      </c>
      <c r="B150" s="9">
        <v>78.599997999999999</v>
      </c>
      <c r="D150" s="9">
        <v>73.262084999999999</v>
      </c>
      <c r="E150" s="5">
        <f t="shared" si="8"/>
        <v>-1.5531037852256402E-2</v>
      </c>
      <c r="F150" s="9">
        <f t="shared" si="7"/>
        <v>2.789656806660475E-4</v>
      </c>
      <c r="G150" s="10">
        <f t="shared" si="9"/>
        <v>-1.5531037852256405E-2</v>
      </c>
      <c r="H150" s="9"/>
    </row>
    <row r="151" spans="1:8" ht="13.5" x14ac:dyDescent="0.25">
      <c r="A151" s="12">
        <v>42128</v>
      </c>
      <c r="B151" s="9">
        <v>78.529999000000004</v>
      </c>
      <c r="C151" s="9">
        <v>0.49</v>
      </c>
      <c r="D151" s="9">
        <v>73.196854000000002</v>
      </c>
      <c r="E151" s="5">
        <f t="shared" si="8"/>
        <v>5.3435243089954287E-3</v>
      </c>
      <c r="F151" s="9">
        <f t="shared" si="7"/>
        <v>1.7408057472637442E-5</v>
      </c>
      <c r="G151" s="10">
        <f t="shared" si="9"/>
        <v>5.343524308995584E-3</v>
      </c>
      <c r="H151" s="9"/>
    </row>
    <row r="152" spans="1:8" ht="13.5" x14ac:dyDescent="0.25">
      <c r="A152" s="12">
        <v>42135</v>
      </c>
      <c r="B152" s="9">
        <v>79.239998</v>
      </c>
      <c r="D152" s="9">
        <v>74.324768000000006</v>
      </c>
      <c r="E152" s="5">
        <f t="shared" si="8"/>
        <v>9.0411181591889545E-3</v>
      </c>
      <c r="F152" s="9">
        <f t="shared" si="7"/>
        <v>6.1935172971067288E-5</v>
      </c>
      <c r="G152" s="10">
        <f t="shared" si="9"/>
        <v>9.041118159189029E-3</v>
      </c>
      <c r="H152" s="9"/>
    </row>
    <row r="153" spans="1:8" ht="13.5" x14ac:dyDescent="0.25">
      <c r="A153" s="12">
        <v>42142</v>
      </c>
      <c r="B153" s="9">
        <v>75.860000999999997</v>
      </c>
      <c r="D153" s="9">
        <v>71.154419000000004</v>
      </c>
      <c r="E153" s="5">
        <f t="shared" si="8"/>
        <v>-4.2655187850963894E-2</v>
      </c>
      <c r="F153" s="9">
        <f t="shared" si="7"/>
        <v>1.9207547160204484E-3</v>
      </c>
      <c r="G153" s="10">
        <f t="shared" si="9"/>
        <v>-4.2655187850963894E-2</v>
      </c>
      <c r="H153" s="9"/>
    </row>
    <row r="154" spans="1:8" ht="13.5" x14ac:dyDescent="0.25">
      <c r="A154" s="12">
        <v>42149</v>
      </c>
      <c r="B154" s="9">
        <v>74.269997000000004</v>
      </c>
      <c r="D154" s="9">
        <v>69.663048000000003</v>
      </c>
      <c r="E154" s="5">
        <f t="shared" si="8"/>
        <v>-2.0959714988667E-2</v>
      </c>
      <c r="F154" s="9">
        <f t="shared" si="7"/>
        <v>4.8977863235576656E-4</v>
      </c>
      <c r="G154" s="10">
        <f t="shared" si="9"/>
        <v>-2.0959714988666996E-2</v>
      </c>
      <c r="H154" s="9"/>
    </row>
    <row r="155" spans="1:8" ht="13.5" x14ac:dyDescent="0.25">
      <c r="A155" s="12">
        <v>42156</v>
      </c>
      <c r="B155" s="9">
        <v>73.059997999999993</v>
      </c>
      <c r="D155" s="9">
        <v>68.528091000000003</v>
      </c>
      <c r="E155" s="5">
        <f t="shared" si="8"/>
        <v>-1.6291895097289566E-2</v>
      </c>
      <c r="F155" s="9">
        <f t="shared" si="7"/>
        <v>3.0496066419850285E-4</v>
      </c>
      <c r="G155" s="10">
        <f t="shared" si="9"/>
        <v>-1.6291895097289563E-2</v>
      </c>
      <c r="H155" s="9"/>
    </row>
    <row r="156" spans="1:8" ht="13.5" x14ac:dyDescent="0.25">
      <c r="A156" s="12">
        <v>42163</v>
      </c>
      <c r="B156" s="9">
        <v>72.430000000000007</v>
      </c>
      <c r="D156" s="9">
        <v>67.937179999999998</v>
      </c>
      <c r="E156" s="5">
        <f t="shared" si="8"/>
        <v>-8.6230224096089936E-3</v>
      </c>
      <c r="F156" s="9">
        <f t="shared" si="7"/>
        <v>9.5927338779568788E-5</v>
      </c>
      <c r="G156" s="10">
        <f t="shared" si="9"/>
        <v>-8.6230224096089676E-3</v>
      </c>
      <c r="H156" s="9"/>
    </row>
    <row r="157" spans="1:8" ht="13.5" x14ac:dyDescent="0.25">
      <c r="A157" s="12">
        <v>42170</v>
      </c>
      <c r="B157" s="9">
        <v>72.739998</v>
      </c>
      <c r="D157" s="9">
        <v>68.227936</v>
      </c>
      <c r="E157" s="5">
        <f t="shared" si="8"/>
        <v>4.2799668645587818E-3</v>
      </c>
      <c r="F157" s="9">
        <f t="shared" si="7"/>
        <v>9.6642580601297949E-6</v>
      </c>
      <c r="G157" s="10">
        <f t="shared" si="9"/>
        <v>4.2799668645587888E-3</v>
      </c>
      <c r="H157" s="9"/>
    </row>
    <row r="158" spans="1:8" ht="13.5" x14ac:dyDescent="0.25">
      <c r="A158" s="12">
        <v>42177</v>
      </c>
      <c r="B158" s="9">
        <v>72.120002999999997</v>
      </c>
      <c r="D158" s="9">
        <v>67.646416000000002</v>
      </c>
      <c r="E158" s="5">
        <f t="shared" si="8"/>
        <v>-8.523439882415218E-3</v>
      </c>
      <c r="F158" s="9">
        <f t="shared" si="7"/>
        <v>9.3986583067227818E-5</v>
      </c>
      <c r="G158" s="10">
        <f t="shared" si="9"/>
        <v>-8.5234398824152145E-3</v>
      </c>
      <c r="H158" s="9"/>
    </row>
    <row r="159" spans="1:8" ht="13.5" x14ac:dyDescent="0.25">
      <c r="A159" s="12">
        <v>42184</v>
      </c>
      <c r="B159" s="9">
        <v>71.860000999999997</v>
      </c>
      <c r="D159" s="9">
        <v>67.402541999999997</v>
      </c>
      <c r="E159" s="5">
        <f t="shared" si="8"/>
        <v>-3.6051301883611719E-3</v>
      </c>
      <c r="F159" s="9">
        <f t="shared" si="7"/>
        <v>2.2813596418687017E-5</v>
      </c>
      <c r="G159" s="10">
        <f t="shared" si="9"/>
        <v>-3.6051301883611967E-3</v>
      </c>
      <c r="H159" s="9"/>
    </row>
    <row r="160" spans="1:8" ht="13.5" x14ac:dyDescent="0.25">
      <c r="A160" s="12">
        <v>42191</v>
      </c>
      <c r="B160" s="9">
        <v>73.120002999999997</v>
      </c>
      <c r="D160" s="9">
        <v>68.584389000000002</v>
      </c>
      <c r="E160" s="5">
        <f t="shared" si="8"/>
        <v>1.753412165969781E-2</v>
      </c>
      <c r="F160" s="9">
        <f t="shared" si="7"/>
        <v>2.6774429277205903E-4</v>
      </c>
      <c r="G160" s="10">
        <f t="shared" si="9"/>
        <v>1.7534121659697723E-2</v>
      </c>
      <c r="H160" s="9"/>
    </row>
    <row r="161" spans="1:8" ht="13.5" x14ac:dyDescent="0.25">
      <c r="A161" s="12">
        <v>42198</v>
      </c>
      <c r="B161" s="9">
        <v>73.389999000000003</v>
      </c>
      <c r="D161" s="9">
        <v>68.837638999999996</v>
      </c>
      <c r="E161" s="5">
        <f t="shared" si="8"/>
        <v>3.692505318961814E-3</v>
      </c>
      <c r="F161" s="9">
        <f t="shared" si="7"/>
        <v>6.3568399128749772E-6</v>
      </c>
      <c r="G161" s="10">
        <f t="shared" si="9"/>
        <v>3.6925053189618461E-3</v>
      </c>
      <c r="H161" s="9"/>
    </row>
    <row r="162" spans="1:8" ht="13.5" x14ac:dyDescent="0.25">
      <c r="A162" s="12">
        <v>42205</v>
      </c>
      <c r="B162" s="9">
        <v>71.580001999999993</v>
      </c>
      <c r="D162" s="9">
        <v>67.139899999999997</v>
      </c>
      <c r="E162" s="5">
        <f t="shared" si="8"/>
        <v>-2.4662720052632925E-2</v>
      </c>
      <c r="F162" s="9">
        <f t="shared" si="7"/>
        <v>6.6739286590221207E-4</v>
      </c>
      <c r="G162" s="10">
        <f t="shared" si="9"/>
        <v>-2.4662720052632918E-2</v>
      </c>
      <c r="H162" s="9"/>
    </row>
    <row r="163" spans="1:8" ht="13.5" x14ac:dyDescent="0.25">
      <c r="A163" s="12">
        <v>42212</v>
      </c>
      <c r="B163" s="9">
        <v>71.980002999999996</v>
      </c>
      <c r="D163" s="9">
        <v>67.515090999999998</v>
      </c>
      <c r="E163" s="5">
        <f t="shared" si="8"/>
        <v>5.5881669296404812E-3</v>
      </c>
      <c r="F163" s="9">
        <f t="shared" si="7"/>
        <v>1.9509350548367781E-5</v>
      </c>
      <c r="G163" s="10">
        <f t="shared" si="9"/>
        <v>5.5881669296405324E-3</v>
      </c>
      <c r="H163" s="9"/>
    </row>
    <row r="164" spans="1:8" ht="13.5" x14ac:dyDescent="0.25">
      <c r="A164" s="12">
        <v>42219</v>
      </c>
      <c r="B164" s="9">
        <v>71.25</v>
      </c>
      <c r="C164" s="9">
        <v>0.49</v>
      </c>
      <c r="D164" s="9">
        <v>66.830391000000006</v>
      </c>
      <c r="E164" s="5">
        <f t="shared" si="8"/>
        <v>-3.334301055808564E-3</v>
      </c>
      <c r="F164" s="9">
        <f t="shared" si="7"/>
        <v>2.0299791011677979E-5</v>
      </c>
      <c r="G164" s="10">
        <f t="shared" si="9"/>
        <v>-3.3343010558084642E-3</v>
      </c>
      <c r="H164" s="9"/>
    </row>
    <row r="165" spans="1:8" ht="13.5" x14ac:dyDescent="0.25">
      <c r="A165" s="12">
        <v>42226</v>
      </c>
      <c r="B165" s="9">
        <v>72.379997000000003</v>
      </c>
      <c r="D165" s="9">
        <v>68.353851000000006</v>
      </c>
      <c r="E165" s="5">
        <f t="shared" si="8"/>
        <v>1.5859607017543853E-2</v>
      </c>
      <c r="F165" s="9">
        <f t="shared" si="7"/>
        <v>2.157484816221526E-4</v>
      </c>
      <c r="G165" s="10">
        <f t="shared" si="9"/>
        <v>1.5859607017543902E-2</v>
      </c>
      <c r="H165" s="9"/>
    </row>
    <row r="166" spans="1:8" ht="13.5" x14ac:dyDescent="0.25">
      <c r="A166" s="12">
        <v>42233</v>
      </c>
      <c r="B166" s="9">
        <v>66.540001000000004</v>
      </c>
      <c r="D166" s="9">
        <v>62.838706999999999</v>
      </c>
      <c r="E166" s="5">
        <f t="shared" si="8"/>
        <v>-8.0685220254982815E-2</v>
      </c>
      <c r="F166" s="9">
        <f t="shared" si="7"/>
        <v>6.7004781016433909E-3</v>
      </c>
      <c r="G166" s="10">
        <f t="shared" si="9"/>
        <v>-8.068522025498287E-2</v>
      </c>
      <c r="H166" s="9"/>
    </row>
    <row r="167" spans="1:8" ht="13.5" x14ac:dyDescent="0.25">
      <c r="A167" s="12">
        <v>42240</v>
      </c>
      <c r="B167" s="9">
        <v>64.940002000000007</v>
      </c>
      <c r="D167" s="9">
        <v>61.327717</v>
      </c>
      <c r="E167" s="5">
        <f t="shared" si="8"/>
        <v>-2.4045671415003356E-2</v>
      </c>
      <c r="F167" s="9">
        <f t="shared" si="7"/>
        <v>6.3589201016778783E-4</v>
      </c>
      <c r="G167" s="10">
        <f t="shared" si="9"/>
        <v>-2.4045671415003387E-2</v>
      </c>
      <c r="H167" s="9"/>
    </row>
    <row r="168" spans="1:8" ht="13.5" x14ac:dyDescent="0.25">
      <c r="A168" s="12">
        <v>42247</v>
      </c>
      <c r="B168" s="9">
        <v>63.889999000000003</v>
      </c>
      <c r="D168" s="9">
        <v>60.336117000000002</v>
      </c>
      <c r="E168" s="5">
        <f t="shared" si="8"/>
        <v>-1.6168816871918179E-2</v>
      </c>
      <c r="F168" s="9">
        <f t="shared" si="7"/>
        <v>3.0067715207653551E-4</v>
      </c>
      <c r="G168" s="10">
        <f t="shared" si="9"/>
        <v>-1.6168816871918231E-2</v>
      </c>
      <c r="H168" s="9"/>
    </row>
    <row r="169" spans="1:8" ht="13.5" x14ac:dyDescent="0.25">
      <c r="A169" s="12">
        <v>42254</v>
      </c>
      <c r="B169" s="9">
        <v>64.650002000000001</v>
      </c>
      <c r="D169" s="9">
        <v>61.053837000000001</v>
      </c>
      <c r="E169" s="5">
        <f t="shared" si="8"/>
        <v>1.1895492438495747E-2</v>
      </c>
      <c r="F169" s="9">
        <f t="shared" si="7"/>
        <v>1.1500985027236105E-4</v>
      </c>
      <c r="G169" s="10">
        <f t="shared" si="9"/>
        <v>1.1895492438495695E-2</v>
      </c>
      <c r="H169" s="9"/>
    </row>
    <row r="170" spans="1:8" ht="13.5" x14ac:dyDescent="0.25">
      <c r="A170" s="12">
        <v>42261</v>
      </c>
      <c r="B170" s="9">
        <v>63.34</v>
      </c>
      <c r="D170" s="9">
        <v>59.816710999999998</v>
      </c>
      <c r="E170" s="5">
        <f t="shared" si="8"/>
        <v>-2.0262984678639295E-2</v>
      </c>
      <c r="F170" s="9">
        <f t="shared" si="7"/>
        <v>4.5942546810535988E-4</v>
      </c>
      <c r="G170" s="10">
        <f t="shared" si="9"/>
        <v>-2.0262984678639254E-2</v>
      </c>
      <c r="H170" s="9"/>
    </row>
    <row r="171" spans="1:8" ht="13.5" x14ac:dyDescent="0.25">
      <c r="A171" s="12">
        <v>42268</v>
      </c>
      <c r="B171" s="9">
        <v>63.779998999999997</v>
      </c>
      <c r="D171" s="9">
        <v>60.232230999999999</v>
      </c>
      <c r="E171" s="5">
        <f t="shared" si="8"/>
        <v>6.9466214082727351E-3</v>
      </c>
      <c r="F171" s="9">
        <f t="shared" si="7"/>
        <v>3.3355170380431926E-5</v>
      </c>
      <c r="G171" s="10">
        <f t="shared" si="9"/>
        <v>6.9466214082727048E-3</v>
      </c>
      <c r="H171" s="9"/>
    </row>
    <row r="172" spans="1:8" ht="13.5" x14ac:dyDescent="0.25">
      <c r="A172" s="12">
        <v>42275</v>
      </c>
      <c r="B172" s="9">
        <v>64.980002999999996</v>
      </c>
      <c r="D172" s="9">
        <v>61.365482</v>
      </c>
      <c r="E172" s="5">
        <f t="shared" si="8"/>
        <v>1.881473845742776E-2</v>
      </c>
      <c r="F172" s="9">
        <f t="shared" si="7"/>
        <v>3.1129346541642966E-4</v>
      </c>
      <c r="G172" s="10">
        <f t="shared" si="9"/>
        <v>1.8814738457427694E-2</v>
      </c>
      <c r="H172" s="9"/>
    </row>
    <row r="173" spans="1:8" ht="13.5" x14ac:dyDescent="0.25">
      <c r="A173" s="12">
        <v>42282</v>
      </c>
      <c r="B173" s="9">
        <v>66.690002000000007</v>
      </c>
      <c r="D173" s="9">
        <v>62.980365999999997</v>
      </c>
      <c r="E173" s="5">
        <f t="shared" si="8"/>
        <v>2.6315772869385912E-2</v>
      </c>
      <c r="F173" s="9">
        <f t="shared" si="7"/>
        <v>6.3224814261013049E-4</v>
      </c>
      <c r="G173" s="10">
        <f t="shared" si="9"/>
        <v>2.6315772869385842E-2</v>
      </c>
      <c r="H173" s="9"/>
    </row>
    <row r="174" spans="1:8" ht="13.5" x14ac:dyDescent="0.25">
      <c r="A174" s="12">
        <v>42289</v>
      </c>
      <c r="B174" s="9">
        <v>58.889999000000003</v>
      </c>
      <c r="D174" s="9">
        <v>55.614238999999998</v>
      </c>
      <c r="E174" s="5">
        <f t="shared" si="8"/>
        <v>-0.11695910580419544</v>
      </c>
      <c r="F174" s="9">
        <f t="shared" si="7"/>
        <v>1.395477573687081E-2</v>
      </c>
      <c r="G174" s="10">
        <f t="shared" si="9"/>
        <v>-0.1169591058041954</v>
      </c>
      <c r="H174" s="9"/>
    </row>
    <row r="175" spans="1:8" ht="13.5" x14ac:dyDescent="0.25">
      <c r="A175" s="12">
        <v>42296</v>
      </c>
      <c r="B175" s="9">
        <v>58.299999</v>
      </c>
      <c r="D175" s="9">
        <v>55.057056000000003</v>
      </c>
      <c r="E175" s="5">
        <f t="shared" si="8"/>
        <v>-1.0018679062976488E-2</v>
      </c>
      <c r="F175" s="9">
        <f t="shared" si="7"/>
        <v>1.2521401744281519E-4</v>
      </c>
      <c r="G175" s="10">
        <f t="shared" si="9"/>
        <v>-1.0018679062976437E-2</v>
      </c>
      <c r="H175" s="9"/>
    </row>
    <row r="176" spans="1:8" ht="13.5" x14ac:dyDescent="0.25">
      <c r="A176" s="12">
        <v>42303</v>
      </c>
      <c r="B176" s="9">
        <v>57.240001999999997</v>
      </c>
      <c r="D176" s="9">
        <v>54.056023000000003</v>
      </c>
      <c r="E176" s="5">
        <f t="shared" si="8"/>
        <v>-1.8181767035707841E-2</v>
      </c>
      <c r="F176" s="9">
        <f t="shared" si="7"/>
        <v>3.745384122944798E-4</v>
      </c>
      <c r="G176" s="10">
        <f t="shared" si="9"/>
        <v>-1.8181767035707886E-2</v>
      </c>
      <c r="H176" s="9"/>
    </row>
    <row r="177" spans="1:8" ht="13.5" x14ac:dyDescent="0.25">
      <c r="A177" s="12">
        <v>42310</v>
      </c>
      <c r="B177" s="9">
        <v>58.779998999999997</v>
      </c>
      <c r="D177" s="9">
        <v>55.510361000000003</v>
      </c>
      <c r="E177" s="5">
        <f t="shared" si="8"/>
        <v>2.6904209402368595E-2</v>
      </c>
      <c r="F177" s="9">
        <f t="shared" si="7"/>
        <v>6.6218633791479461E-4</v>
      </c>
      <c r="G177" s="10">
        <f t="shared" si="9"/>
        <v>2.690420940236864E-2</v>
      </c>
      <c r="H177" s="9"/>
    </row>
    <row r="178" spans="1:8" ht="13.5" x14ac:dyDescent="0.25">
      <c r="A178" s="12">
        <v>42317</v>
      </c>
      <c r="B178" s="9">
        <v>56.419998</v>
      </c>
      <c r="D178" s="9">
        <v>53.281635000000001</v>
      </c>
      <c r="E178" s="5">
        <f t="shared" si="8"/>
        <v>-4.0149728481621683E-2</v>
      </c>
      <c r="F178" s="9">
        <f t="shared" si="7"/>
        <v>1.7074214348249406E-3</v>
      </c>
      <c r="G178" s="10">
        <f t="shared" si="9"/>
        <v>-4.0149728481621731E-2</v>
      </c>
      <c r="H178" s="9"/>
    </row>
    <row r="179" spans="1:8" ht="13.5" x14ac:dyDescent="0.25">
      <c r="A179" s="12">
        <v>42324</v>
      </c>
      <c r="B179" s="9">
        <v>60.07</v>
      </c>
      <c r="D179" s="9">
        <v>56.728603</v>
      </c>
      <c r="E179" s="5">
        <f t="shared" si="8"/>
        <v>6.4693408886685955E-2</v>
      </c>
      <c r="F179" s="9">
        <f t="shared" si="7"/>
        <v>4.0350674795603973E-3</v>
      </c>
      <c r="G179" s="10">
        <f t="shared" si="9"/>
        <v>6.4693408886685899E-2</v>
      </c>
      <c r="H179" s="9"/>
    </row>
    <row r="180" spans="1:8" ht="13.5" x14ac:dyDescent="0.25">
      <c r="A180" s="12">
        <v>42331</v>
      </c>
      <c r="B180" s="9">
        <v>59.889999000000003</v>
      </c>
      <c r="D180" s="9">
        <v>56.558619999999998</v>
      </c>
      <c r="E180" s="5">
        <f t="shared" si="8"/>
        <v>-2.9965207258197957E-3</v>
      </c>
      <c r="F180" s="9">
        <f t="shared" si="7"/>
        <v>1.7370128460062955E-5</v>
      </c>
      <c r="G180" s="10">
        <f t="shared" si="9"/>
        <v>-2.9965207258198299E-3</v>
      </c>
      <c r="H180" s="9"/>
    </row>
    <row r="181" spans="1:8" ht="13.5" x14ac:dyDescent="0.25">
      <c r="A181" s="12">
        <v>42338</v>
      </c>
      <c r="B181" s="9">
        <v>59.66</v>
      </c>
      <c r="D181" s="9">
        <v>56.341408000000001</v>
      </c>
      <c r="E181" s="5">
        <f t="shared" si="8"/>
        <v>-3.8403573858801776E-3</v>
      </c>
      <c r="F181" s="9">
        <f t="shared" si="7"/>
        <v>2.5115986899733694E-5</v>
      </c>
      <c r="G181" s="10">
        <f t="shared" si="9"/>
        <v>-3.8403573858801785E-3</v>
      </c>
      <c r="H181" s="9"/>
    </row>
    <row r="182" spans="1:8" ht="13.5" x14ac:dyDescent="0.25">
      <c r="A182" s="12">
        <v>42345</v>
      </c>
      <c r="B182" s="9">
        <v>59.360000999999997</v>
      </c>
      <c r="C182" s="9">
        <v>0.49</v>
      </c>
      <c r="D182" s="9">
        <v>56.527645</v>
      </c>
      <c r="E182" s="5">
        <f t="shared" si="8"/>
        <v>3.1847301374454684E-3</v>
      </c>
      <c r="F182" s="9">
        <f t="shared" si="7"/>
        <v>4.054191331679539E-6</v>
      </c>
      <c r="G182" s="10">
        <f t="shared" si="9"/>
        <v>3.18473013744553E-3</v>
      </c>
      <c r="H182" s="9"/>
    </row>
    <row r="183" spans="1:8" ht="13.5" x14ac:dyDescent="0.25">
      <c r="A183" s="12">
        <v>42352</v>
      </c>
      <c r="B183" s="9">
        <v>58.849997999999999</v>
      </c>
      <c r="D183" s="9">
        <v>56.041981</v>
      </c>
      <c r="E183" s="5">
        <f t="shared" si="8"/>
        <v>-8.5916945991965088E-3</v>
      </c>
      <c r="F183" s="9">
        <f t="shared" si="7"/>
        <v>9.5314655378722499E-5</v>
      </c>
      <c r="G183" s="10">
        <f t="shared" si="9"/>
        <v>-8.5916945991964793E-3</v>
      </c>
      <c r="H183" s="9"/>
    </row>
    <row r="184" spans="1:8" ht="13.5" x14ac:dyDescent="0.25">
      <c r="A184" s="12">
        <v>42359</v>
      </c>
      <c r="B184" s="9">
        <v>60.830002</v>
      </c>
      <c r="D184" s="9">
        <v>57.927504999999996</v>
      </c>
      <c r="E184" s="5">
        <f t="shared" si="8"/>
        <v>3.3644928925910866E-2</v>
      </c>
      <c r="F184" s="9">
        <f t="shared" si="7"/>
        <v>1.0545412594730979E-3</v>
      </c>
      <c r="G184" s="10">
        <f t="shared" si="9"/>
        <v>3.3644928925910943E-2</v>
      </c>
      <c r="H184" s="9"/>
    </row>
    <row r="185" spans="1:8" ht="13.5" x14ac:dyDescent="0.25">
      <c r="A185" s="12">
        <v>42366</v>
      </c>
      <c r="B185" s="9">
        <v>61.299999</v>
      </c>
      <c r="D185" s="9">
        <v>58.375072000000003</v>
      </c>
      <c r="E185" s="5">
        <f t="shared" si="8"/>
        <v>7.7264011926219123E-3</v>
      </c>
      <c r="F185" s="9">
        <f t="shared" si="7"/>
        <v>4.297029712901975E-5</v>
      </c>
      <c r="G185" s="10">
        <f t="shared" si="9"/>
        <v>7.7264011926220112E-3</v>
      </c>
      <c r="H185" s="9"/>
    </row>
    <row r="186" spans="1:8" ht="13.5" x14ac:dyDescent="0.25">
      <c r="A186" s="12">
        <v>42373</v>
      </c>
      <c r="B186" s="9">
        <v>63.540000999999997</v>
      </c>
      <c r="D186" s="9">
        <v>60.508198</v>
      </c>
      <c r="E186" s="5">
        <f t="shared" si="8"/>
        <v>3.654163191748161E-2</v>
      </c>
      <c r="F186" s="9">
        <f t="shared" si="7"/>
        <v>1.2510654816155688E-3</v>
      </c>
      <c r="G186" s="10">
        <f t="shared" si="9"/>
        <v>3.6541631917481714E-2</v>
      </c>
      <c r="H186" s="9"/>
    </row>
    <row r="187" spans="1:8" ht="13.5" x14ac:dyDescent="0.25">
      <c r="A187" s="12">
        <v>42380</v>
      </c>
      <c r="B187" s="9">
        <v>61.93</v>
      </c>
      <c r="D187" s="9">
        <v>58.975017999999999</v>
      </c>
      <c r="E187" s="5">
        <f t="shared" si="8"/>
        <v>-2.5338384870343234E-2</v>
      </c>
      <c r="F187" s="9">
        <f t="shared" si="7"/>
        <v>7.0275956829242339E-4</v>
      </c>
      <c r="G187" s="10">
        <f t="shared" si="9"/>
        <v>-2.5338384870343282E-2</v>
      </c>
      <c r="H187" s="9"/>
    </row>
    <row r="188" spans="1:8" ht="13.5" x14ac:dyDescent="0.25">
      <c r="A188" s="12">
        <v>42387</v>
      </c>
      <c r="B188" s="9">
        <v>62.689999</v>
      </c>
      <c r="D188" s="9">
        <v>59.698757000000001</v>
      </c>
      <c r="E188" s="5">
        <f t="shared" si="8"/>
        <v>1.2271903762312242E-2</v>
      </c>
      <c r="F188" s="9">
        <f t="shared" si="7"/>
        <v>1.2322500499420831E-4</v>
      </c>
      <c r="G188" s="10">
        <f t="shared" si="9"/>
        <v>1.2271903762312297E-2</v>
      </c>
      <c r="H188" s="9"/>
    </row>
    <row r="189" spans="1:8" ht="13.5" x14ac:dyDescent="0.25">
      <c r="A189" s="12">
        <v>42394</v>
      </c>
      <c r="B189" s="9">
        <v>66.360000999999997</v>
      </c>
      <c r="D189" s="9">
        <v>63.193641999999997</v>
      </c>
      <c r="E189" s="5">
        <f t="shared" si="8"/>
        <v>5.8542065058893922E-2</v>
      </c>
      <c r="F189" s="9">
        <f t="shared" si="7"/>
        <v>3.2914129583490538E-3</v>
      </c>
      <c r="G189" s="10">
        <f t="shared" si="9"/>
        <v>5.854206505889395E-2</v>
      </c>
      <c r="H189" s="9"/>
    </row>
    <row r="190" spans="1:8" ht="13.5" x14ac:dyDescent="0.25">
      <c r="A190" s="12">
        <v>42401</v>
      </c>
      <c r="B190" s="9">
        <v>67</v>
      </c>
      <c r="D190" s="9">
        <v>63.803103999999998</v>
      </c>
      <c r="E190" s="5">
        <f t="shared" si="8"/>
        <v>9.6443488600912453E-3</v>
      </c>
      <c r="F190" s="9">
        <f t="shared" si="7"/>
        <v>7.1793779105143067E-5</v>
      </c>
      <c r="G190" s="10">
        <f t="shared" si="9"/>
        <v>9.6443488600912331E-3</v>
      </c>
      <c r="H190" s="9"/>
    </row>
    <row r="191" spans="1:8" ht="13.5" x14ac:dyDescent="0.25">
      <c r="A191" s="12">
        <v>42408</v>
      </c>
      <c r="B191" s="9">
        <v>66.180000000000007</v>
      </c>
      <c r="D191" s="9">
        <v>63.022235999999999</v>
      </c>
      <c r="E191" s="5">
        <f t="shared" si="8"/>
        <v>-1.2238805970149147E-2</v>
      </c>
      <c r="F191" s="9">
        <f t="shared" si="7"/>
        <v>1.7982900792247577E-4</v>
      </c>
      <c r="G191" s="10">
        <f t="shared" si="9"/>
        <v>-1.2238805970149152E-2</v>
      </c>
      <c r="H191" s="9"/>
    </row>
    <row r="192" spans="1:8" ht="13.5" x14ac:dyDescent="0.25">
      <c r="A192" s="12">
        <v>42415</v>
      </c>
      <c r="B192" s="9">
        <v>64.660004000000001</v>
      </c>
      <c r="D192" s="9">
        <v>61.574759999999998</v>
      </c>
      <c r="E192" s="5">
        <f t="shared" si="8"/>
        <v>-2.2967603505590906E-2</v>
      </c>
      <c r="F192" s="9">
        <f t="shared" si="7"/>
        <v>5.8268318077058564E-4</v>
      </c>
      <c r="G192" s="10">
        <f t="shared" si="9"/>
        <v>-2.2967603505590902E-2</v>
      </c>
      <c r="H192" s="9"/>
    </row>
    <row r="193" spans="1:8" ht="13.5" x14ac:dyDescent="0.25">
      <c r="A193" s="12">
        <v>42422</v>
      </c>
      <c r="B193" s="9">
        <v>66.510002</v>
      </c>
      <c r="D193" s="9">
        <v>63.336486999999998</v>
      </c>
      <c r="E193" s="5">
        <f t="shared" si="8"/>
        <v>2.8611164329652716E-2</v>
      </c>
      <c r="F193" s="9">
        <f t="shared" si="7"/>
        <v>7.529501122375315E-4</v>
      </c>
      <c r="G193" s="10">
        <f t="shared" si="9"/>
        <v>2.8611164329652675E-2</v>
      </c>
      <c r="H193" s="9"/>
    </row>
    <row r="194" spans="1:8" ht="13.5" x14ac:dyDescent="0.25">
      <c r="A194" s="12">
        <v>42429</v>
      </c>
      <c r="B194" s="9">
        <v>66.779999000000004</v>
      </c>
      <c r="D194" s="9">
        <v>63.593604999999997</v>
      </c>
      <c r="E194" s="5">
        <f t="shared" si="8"/>
        <v>4.0594946907384077E-3</v>
      </c>
      <c r="F194" s="9">
        <f t="shared" si="7"/>
        <v>8.3420851570191137E-6</v>
      </c>
      <c r="G194" s="10">
        <f t="shared" si="9"/>
        <v>4.0594946907384485E-3</v>
      </c>
      <c r="H194" s="9"/>
    </row>
    <row r="195" spans="1:8" ht="13.5" x14ac:dyDescent="0.25">
      <c r="A195" s="12">
        <v>42436</v>
      </c>
      <c r="B195" s="9">
        <v>67.169998000000007</v>
      </c>
      <c r="C195" s="9">
        <v>0.5</v>
      </c>
      <c r="D195" s="9">
        <v>63.964989000000003</v>
      </c>
      <c r="E195" s="5">
        <f t="shared" si="8"/>
        <v>1.3327328741050248E-2</v>
      </c>
      <c r="F195" s="9">
        <f t="shared" si="7"/>
        <v>1.4777078808933804E-4</v>
      </c>
      <c r="G195" s="10">
        <f t="shared" si="9"/>
        <v>1.3327328741050191E-2</v>
      </c>
      <c r="H195" s="9"/>
    </row>
    <row r="196" spans="1:8" ht="13.5" x14ac:dyDescent="0.25">
      <c r="A196" s="12">
        <v>42443</v>
      </c>
      <c r="B196" s="9">
        <v>66.949996999999996</v>
      </c>
      <c r="D196" s="9">
        <v>64.227463</v>
      </c>
      <c r="E196" s="5">
        <f t="shared" si="8"/>
        <v>-3.2752866837960637E-3</v>
      </c>
      <c r="F196" s="9">
        <f t="shared" si="7"/>
        <v>1.9771491786054731E-5</v>
      </c>
      <c r="G196" s="10">
        <f t="shared" si="9"/>
        <v>-3.275286683796098E-3</v>
      </c>
      <c r="H196" s="9"/>
    </row>
    <row r="197" spans="1:8" ht="13.5" x14ac:dyDescent="0.25">
      <c r="A197" s="12">
        <v>42450</v>
      </c>
      <c r="B197" s="9">
        <v>68</v>
      </c>
      <c r="D197" s="9">
        <v>65.234763999999998</v>
      </c>
      <c r="E197" s="5">
        <f t="shared" si="8"/>
        <v>1.5683391292758531E-2</v>
      </c>
      <c r="F197" s="9">
        <f t="shared" si="7"/>
        <v>2.1060288685331919E-4</v>
      </c>
      <c r="G197" s="10">
        <f t="shared" si="9"/>
        <v>1.5683391292758444E-2</v>
      </c>
      <c r="H197" s="9"/>
    </row>
    <row r="198" spans="1:8" ht="13.5" x14ac:dyDescent="0.25">
      <c r="A198" s="12">
        <v>42457</v>
      </c>
      <c r="B198" s="9">
        <v>69.059997999999993</v>
      </c>
      <c r="D198" s="9">
        <v>66.251677999999998</v>
      </c>
      <c r="E198" s="5">
        <f t="shared" si="8"/>
        <v>1.5588205882352879E-2</v>
      </c>
      <c r="F198" s="9">
        <f t="shared" si="7"/>
        <v>2.078492546554669E-4</v>
      </c>
      <c r="G198" s="10">
        <f t="shared" si="9"/>
        <v>1.5588205882352839E-2</v>
      </c>
      <c r="H198" s="9"/>
    </row>
    <row r="199" spans="1:8" ht="13.5" x14ac:dyDescent="0.25">
      <c r="A199" s="12">
        <v>42464</v>
      </c>
      <c r="B199" s="9">
        <v>68.059997999999993</v>
      </c>
      <c r="D199" s="9">
        <v>65.292336000000006</v>
      </c>
      <c r="E199" s="5">
        <f t="shared" si="8"/>
        <v>-1.4480162597166557E-2</v>
      </c>
      <c r="F199" s="9">
        <f t="shared" si="7"/>
        <v>2.4496602393915328E-4</v>
      </c>
      <c r="G199" s="10">
        <f t="shared" si="9"/>
        <v>-1.4480162597166599E-2</v>
      </c>
      <c r="H199" s="9"/>
    </row>
    <row r="200" spans="1:8" ht="13.5" x14ac:dyDescent="0.25">
      <c r="A200" s="12">
        <v>42471</v>
      </c>
      <c r="B200" s="9">
        <v>69.059997999999993</v>
      </c>
      <c r="D200" s="9">
        <v>66.251677999999998</v>
      </c>
      <c r="E200" s="5">
        <f t="shared" si="8"/>
        <v>1.4692918445281089E-2</v>
      </c>
      <c r="F200" s="9">
        <f t="shared" si="7"/>
        <v>1.8283611568237947E-4</v>
      </c>
      <c r="G200" s="10">
        <f t="shared" si="9"/>
        <v>1.4692918445281178E-2</v>
      </c>
      <c r="H200" s="9"/>
    </row>
    <row r="201" spans="1:8" ht="13.5" x14ac:dyDescent="0.25">
      <c r="A201" s="12">
        <v>42478</v>
      </c>
      <c r="B201" s="9">
        <v>68.720000999999996</v>
      </c>
      <c r="D201" s="9">
        <v>65.925499000000002</v>
      </c>
      <c r="E201" s="5">
        <f t="shared" si="8"/>
        <v>-4.9232118425488469E-3</v>
      </c>
      <c r="F201" s="9">
        <f t="shared" si="7"/>
        <v>3.7142195559199278E-5</v>
      </c>
      <c r="G201" s="10">
        <f t="shared" si="9"/>
        <v>-4.9232118425488053E-3</v>
      </c>
      <c r="H201" s="9"/>
    </row>
    <row r="202" spans="1:8" ht="13.5" x14ac:dyDescent="0.25">
      <c r="A202" s="12">
        <v>42485</v>
      </c>
      <c r="B202" s="9">
        <v>66.870002999999997</v>
      </c>
      <c r="D202" s="9">
        <v>64.150726000000006</v>
      </c>
      <c r="E202" s="5">
        <f t="shared" si="8"/>
        <v>-2.6920808688579601E-2</v>
      </c>
      <c r="F202" s="9">
        <f t="shared" si="7"/>
        <v>7.8916251869679552E-4</v>
      </c>
      <c r="G202" s="10">
        <f t="shared" si="9"/>
        <v>-2.6920808688579611E-2</v>
      </c>
      <c r="H202" s="9"/>
    </row>
    <row r="203" spans="1:8" ht="13.5" x14ac:dyDescent="0.25">
      <c r="A203" s="12">
        <v>42492</v>
      </c>
      <c r="B203" s="9">
        <v>68.25</v>
      </c>
      <c r="D203" s="9">
        <v>65.474609000000001</v>
      </c>
      <c r="E203" s="5">
        <f t="shared" si="8"/>
        <v>2.0637011187213616E-2</v>
      </c>
      <c r="F203" s="9">
        <f t="shared" si="7"/>
        <v>3.7891671967582255E-4</v>
      </c>
      <c r="G203" s="10">
        <f t="shared" si="9"/>
        <v>2.063701118721354E-2</v>
      </c>
      <c r="H203" s="9"/>
    </row>
    <row r="204" spans="1:8" ht="13.5" x14ac:dyDescent="0.25">
      <c r="A204" s="12">
        <v>42499</v>
      </c>
      <c r="B204" s="9">
        <v>64.940002000000007</v>
      </c>
      <c r="C204" s="9">
        <v>0.5</v>
      </c>
      <c r="D204" s="9">
        <v>62.299210000000002</v>
      </c>
      <c r="E204" s="5">
        <f t="shared" si="8"/>
        <v>-4.1172131868131734E-2</v>
      </c>
      <c r="F204" s="9">
        <f t="shared" si="7"/>
        <v>1.7929601149501997E-3</v>
      </c>
      <c r="G204" s="10">
        <f t="shared" si="9"/>
        <v>-4.1172131868131769E-2</v>
      </c>
      <c r="H204" s="9"/>
    </row>
    <row r="205" spans="1:8" ht="13.5" x14ac:dyDescent="0.25">
      <c r="A205" s="12">
        <v>42506</v>
      </c>
      <c r="B205" s="9">
        <v>69.860000999999997</v>
      </c>
      <c r="D205" s="9">
        <v>67.509827000000001</v>
      </c>
      <c r="E205" s="5">
        <f t="shared" si="8"/>
        <v>7.5762224337473594E-2</v>
      </c>
      <c r="F205" s="9">
        <f t="shared" si="7"/>
        <v>5.5638167521832645E-3</v>
      </c>
      <c r="G205" s="10">
        <f t="shared" si="9"/>
        <v>7.5762224337473677E-2</v>
      </c>
      <c r="H205" s="9"/>
    </row>
    <row r="206" spans="1:8" ht="13.5" x14ac:dyDescent="0.25">
      <c r="A206" s="12">
        <v>42513</v>
      </c>
      <c r="B206" s="9">
        <v>70.75</v>
      </c>
      <c r="D206" s="9">
        <v>68.369888000000003</v>
      </c>
      <c r="E206" s="5">
        <f t="shared" si="8"/>
        <v>1.2739750748071099E-2</v>
      </c>
      <c r="F206" s="9">
        <f t="shared" si="7"/>
        <v>1.3383072129703885E-4</v>
      </c>
      <c r="G206" s="10">
        <f t="shared" si="9"/>
        <v>1.2739750748071177E-2</v>
      </c>
      <c r="H206" s="9"/>
    </row>
    <row r="207" spans="1:8" ht="13.5" x14ac:dyDescent="0.25">
      <c r="A207" s="12">
        <v>42520</v>
      </c>
      <c r="B207" s="9">
        <v>70.870002999999997</v>
      </c>
      <c r="D207" s="9">
        <v>68.485855000000001</v>
      </c>
      <c r="E207" s="5">
        <f t="shared" si="8"/>
        <v>1.6961554770318354E-3</v>
      </c>
      <c r="F207" s="9">
        <f t="shared" si="7"/>
        <v>2.7554897976404315E-7</v>
      </c>
      <c r="G207" s="10">
        <f t="shared" si="9"/>
        <v>1.6961554770317593E-3</v>
      </c>
      <c r="H207" s="9"/>
    </row>
    <row r="208" spans="1:8" ht="13.5" x14ac:dyDescent="0.25">
      <c r="A208" s="12">
        <v>42527</v>
      </c>
      <c r="B208" s="9">
        <v>71.139999000000003</v>
      </c>
      <c r="D208" s="9">
        <v>68.746773000000005</v>
      </c>
      <c r="E208" s="5">
        <f t="shared" si="8"/>
        <v>3.8097359753181959E-3</v>
      </c>
      <c r="F208" s="9">
        <f t="shared" si="7"/>
        <v>6.9617249571893834E-6</v>
      </c>
      <c r="G208" s="10">
        <f t="shared" si="9"/>
        <v>3.8097359753181629E-3</v>
      </c>
      <c r="H208" s="9"/>
    </row>
    <row r="209" spans="1:8" ht="13.5" x14ac:dyDescent="0.25">
      <c r="A209" s="12">
        <v>42534</v>
      </c>
      <c r="B209" s="9">
        <v>70.949996999999996</v>
      </c>
      <c r="D209" s="9">
        <v>68.563164</v>
      </c>
      <c r="E209" s="5">
        <f t="shared" si="8"/>
        <v>-2.6708181426879918E-3</v>
      </c>
      <c r="F209" s="9">
        <f t="shared" si="7"/>
        <v>1.4761317657737432E-5</v>
      </c>
      <c r="G209" s="10">
        <f t="shared" si="9"/>
        <v>-2.67081814268801E-3</v>
      </c>
      <c r="H209" s="9"/>
    </row>
    <row r="210" spans="1:8" ht="13.5" x14ac:dyDescent="0.25">
      <c r="A210" s="12">
        <v>42541</v>
      </c>
      <c r="B210" s="9">
        <v>71.959998999999996</v>
      </c>
      <c r="D210" s="9">
        <v>69.539176999999995</v>
      </c>
      <c r="E210" s="5">
        <f t="shared" si="8"/>
        <v>1.4235405816860114E-2</v>
      </c>
      <c r="F210" s="9">
        <f t="shared" ref="F210:F273" si="10">(E210-$B$8)^2</f>
        <v>1.7067274510716872E-4</v>
      </c>
      <c r="G210" s="10">
        <f t="shared" si="9"/>
        <v>1.4235405816860008E-2</v>
      </c>
      <c r="H210" s="9"/>
    </row>
    <row r="211" spans="1:8" ht="13.5" x14ac:dyDescent="0.25">
      <c r="A211" s="12">
        <v>42548</v>
      </c>
      <c r="B211" s="9">
        <v>72.809997999999993</v>
      </c>
      <c r="D211" s="9">
        <v>70.360579999999999</v>
      </c>
      <c r="E211" s="5">
        <f t="shared" ref="E211:E274" si="11">(B211+C211)/B210-1</f>
        <v>1.181210411078526E-2</v>
      </c>
      <c r="F211" s="9">
        <f t="shared" si="10"/>
        <v>1.1322824691101894E-4</v>
      </c>
      <c r="G211" s="10">
        <f t="shared" ref="G211:G274" si="12">((B211-B210)+C211)/B210</f>
        <v>1.1812104110785173E-2</v>
      </c>
      <c r="H211" s="9"/>
    </row>
    <row r="212" spans="1:8" ht="13.5" x14ac:dyDescent="0.25">
      <c r="A212" s="12">
        <v>42555</v>
      </c>
      <c r="B212" s="9">
        <v>73.839995999999999</v>
      </c>
      <c r="D212" s="9">
        <v>71.355926999999994</v>
      </c>
      <c r="E212" s="5">
        <f t="shared" si="11"/>
        <v>1.414638138020563E-2</v>
      </c>
      <c r="F212" s="9">
        <f t="shared" si="10"/>
        <v>1.6835460829552507E-4</v>
      </c>
      <c r="G212" s="10">
        <f t="shared" si="12"/>
        <v>1.4146381380205591E-2</v>
      </c>
      <c r="H212" s="9"/>
    </row>
    <row r="213" spans="1:8" ht="13.5" x14ac:dyDescent="0.25">
      <c r="A213" s="12">
        <v>42562</v>
      </c>
      <c r="B213" s="9">
        <v>73.669998000000007</v>
      </c>
      <c r="D213" s="9">
        <v>71.191658000000004</v>
      </c>
      <c r="E213" s="5">
        <f t="shared" si="11"/>
        <v>-2.3022482287240464E-3</v>
      </c>
      <c r="F213" s="9">
        <f t="shared" si="10"/>
        <v>1.2065036293503415E-5</v>
      </c>
      <c r="G213" s="10">
        <f t="shared" si="12"/>
        <v>-2.3022482287240716E-3</v>
      </c>
      <c r="H213" s="9"/>
    </row>
    <row r="214" spans="1:8" ht="13.5" x14ac:dyDescent="0.25">
      <c r="A214" s="12">
        <v>42569</v>
      </c>
      <c r="B214" s="9">
        <v>73.550003000000004</v>
      </c>
      <c r="D214" s="9">
        <v>71.075705999999997</v>
      </c>
      <c r="E214" s="5">
        <f t="shared" si="11"/>
        <v>-1.6288177447758567E-3</v>
      </c>
      <c r="F214" s="9">
        <f t="shared" si="10"/>
        <v>7.8402555134234225E-6</v>
      </c>
      <c r="G214" s="10">
        <f t="shared" si="12"/>
        <v>-1.6288177447758713E-3</v>
      </c>
      <c r="H214" s="9"/>
    </row>
    <row r="215" spans="1:8" ht="13.5" x14ac:dyDescent="0.25">
      <c r="A215" s="12">
        <v>42576</v>
      </c>
      <c r="B215" s="9">
        <v>72.970000999999996</v>
      </c>
      <c r="D215" s="9">
        <v>70.515213000000003</v>
      </c>
      <c r="E215" s="5">
        <f t="shared" si="11"/>
        <v>-7.8858188489809855E-3</v>
      </c>
      <c r="F215" s="9">
        <f t="shared" si="10"/>
        <v>8.2030095491691525E-5</v>
      </c>
      <c r="G215" s="10">
        <f t="shared" si="12"/>
        <v>-7.8858188489809768E-3</v>
      </c>
      <c r="H215" s="9"/>
    </row>
    <row r="216" spans="1:8" ht="13.5" x14ac:dyDescent="0.25">
      <c r="A216" s="12">
        <v>42583</v>
      </c>
      <c r="B216" s="9">
        <v>73.760002</v>
      </c>
      <c r="D216" s="9">
        <v>71.278632999999999</v>
      </c>
      <c r="E216" s="5">
        <f t="shared" si="11"/>
        <v>1.0826380556031578E-2</v>
      </c>
      <c r="F216" s="9">
        <f t="shared" si="10"/>
        <v>9.32219731540426E-5</v>
      </c>
      <c r="G216" s="10">
        <f t="shared" si="12"/>
        <v>1.0826380556031565E-2</v>
      </c>
      <c r="H216" s="9"/>
    </row>
    <row r="217" spans="1:8" ht="13.5" x14ac:dyDescent="0.25">
      <c r="A217" s="12">
        <v>42590</v>
      </c>
      <c r="B217" s="9">
        <v>73.889999000000003</v>
      </c>
      <c r="C217" s="9">
        <v>0.5</v>
      </c>
      <c r="D217" s="9">
        <v>71.404258999999996</v>
      </c>
      <c r="E217" s="5">
        <f t="shared" si="11"/>
        <v>8.5411738464975517E-3</v>
      </c>
      <c r="F217" s="9">
        <f t="shared" si="10"/>
        <v>5.4316103515937202E-5</v>
      </c>
      <c r="G217" s="10">
        <f t="shared" si="12"/>
        <v>8.5411738464974962E-3</v>
      </c>
      <c r="H217" s="9"/>
    </row>
    <row r="218" spans="1:8" ht="13.5" x14ac:dyDescent="0.25">
      <c r="A218" s="12">
        <v>42597</v>
      </c>
      <c r="B218" s="9">
        <v>72.809997999999993</v>
      </c>
      <c r="D218" s="9">
        <v>70.842247</v>
      </c>
      <c r="E218" s="5">
        <f t="shared" si="11"/>
        <v>-1.4616335290517646E-2</v>
      </c>
      <c r="F218" s="9">
        <f t="shared" si="10"/>
        <v>2.492471509341111E-4</v>
      </c>
      <c r="G218" s="10">
        <f t="shared" si="12"/>
        <v>-1.4616335290517597E-2</v>
      </c>
      <c r="H218" s="9"/>
    </row>
    <row r="219" spans="1:8" ht="13.5" x14ac:dyDescent="0.25">
      <c r="A219" s="12">
        <v>42604</v>
      </c>
      <c r="B219" s="9">
        <v>71.139999000000003</v>
      </c>
      <c r="D219" s="9">
        <v>69.217383999999996</v>
      </c>
      <c r="E219" s="5">
        <f t="shared" si="11"/>
        <v>-2.2936396729471009E-2</v>
      </c>
      <c r="F219" s="9">
        <f t="shared" si="10"/>
        <v>5.8117756441962887E-4</v>
      </c>
      <c r="G219" s="10">
        <f t="shared" si="12"/>
        <v>-2.2936396729471002E-2</v>
      </c>
      <c r="H219" s="9"/>
    </row>
    <row r="220" spans="1:8" ht="13.5" x14ac:dyDescent="0.25">
      <c r="A220" s="12">
        <v>42611</v>
      </c>
      <c r="B220" s="9">
        <v>72.5</v>
      </c>
      <c r="D220" s="9">
        <v>70.540627000000001</v>
      </c>
      <c r="E220" s="5">
        <f t="shared" si="11"/>
        <v>1.9117247949356875E-2</v>
      </c>
      <c r="F220" s="9">
        <f t="shared" si="10"/>
        <v>3.2205963624902322E-4</v>
      </c>
      <c r="G220" s="10">
        <f t="shared" si="12"/>
        <v>1.911724794935683E-2</v>
      </c>
      <c r="H220" s="9"/>
    </row>
    <row r="221" spans="1:8" ht="13.5" x14ac:dyDescent="0.25">
      <c r="A221" s="12">
        <v>42618</v>
      </c>
      <c r="B221" s="9">
        <v>70.300003000000004</v>
      </c>
      <c r="D221" s="9">
        <v>68.400085000000004</v>
      </c>
      <c r="E221" s="5">
        <f t="shared" si="11"/>
        <v>-3.0344786206896512E-2</v>
      </c>
      <c r="F221" s="9">
        <f t="shared" si="10"/>
        <v>9.9325914406724557E-4</v>
      </c>
      <c r="G221" s="10">
        <f t="shared" si="12"/>
        <v>-3.0344786206896499E-2</v>
      </c>
      <c r="H221" s="9"/>
    </row>
    <row r="222" spans="1:8" ht="13.5" x14ac:dyDescent="0.25">
      <c r="A222" s="12">
        <v>42625</v>
      </c>
      <c r="B222" s="9">
        <v>72.870002999999997</v>
      </c>
      <c r="D222" s="9">
        <v>70.900627</v>
      </c>
      <c r="E222" s="5">
        <f t="shared" si="11"/>
        <v>3.6557608681752063E-2</v>
      </c>
      <c r="F222" s="9">
        <f t="shared" si="10"/>
        <v>1.2521959460874085E-3</v>
      </c>
      <c r="G222" s="10">
        <f t="shared" si="12"/>
        <v>3.6557608681752021E-2</v>
      </c>
      <c r="H222" s="9"/>
    </row>
    <row r="223" spans="1:8" ht="13.5" x14ac:dyDescent="0.25">
      <c r="A223" s="12">
        <v>42632</v>
      </c>
      <c r="B223" s="9">
        <v>72.349997999999999</v>
      </c>
      <c r="D223" s="9">
        <v>70.394676000000004</v>
      </c>
      <c r="E223" s="5">
        <f t="shared" si="11"/>
        <v>-7.1360639301744078E-3</v>
      </c>
      <c r="F223" s="9">
        <f t="shared" si="10"/>
        <v>6.9011097256764105E-5</v>
      </c>
      <c r="G223" s="10">
        <f t="shared" si="12"/>
        <v>-7.1360639301743635E-3</v>
      </c>
      <c r="H223" s="9"/>
    </row>
    <row r="224" spans="1:8" ht="13.5" x14ac:dyDescent="0.25">
      <c r="A224" s="12">
        <v>42639</v>
      </c>
      <c r="B224" s="9">
        <v>72.120002999999997</v>
      </c>
      <c r="D224" s="9">
        <v>70.170897999999994</v>
      </c>
      <c r="E224" s="5">
        <f t="shared" si="11"/>
        <v>-3.1789219952708114E-3</v>
      </c>
      <c r="F224" s="9">
        <f t="shared" si="10"/>
        <v>1.8923803956889358E-5</v>
      </c>
      <c r="G224" s="10">
        <f t="shared" si="12"/>
        <v>-3.1789219952708552E-3</v>
      </c>
      <c r="H224" s="9"/>
    </row>
    <row r="225" spans="1:8" ht="13.5" x14ac:dyDescent="0.25">
      <c r="A225" s="12">
        <v>42646</v>
      </c>
      <c r="B225" s="9">
        <v>68.699996999999996</v>
      </c>
      <c r="D225" s="9">
        <v>66.843322999999998</v>
      </c>
      <c r="E225" s="5">
        <f t="shared" si="11"/>
        <v>-4.742104628032251E-2</v>
      </c>
      <c r="F225" s="9">
        <f t="shared" si="10"/>
        <v>2.3612091082905566E-3</v>
      </c>
      <c r="G225" s="10">
        <f t="shared" si="12"/>
        <v>-4.7421046280322544E-2</v>
      </c>
      <c r="H225" s="9"/>
    </row>
    <row r="226" spans="1:8" ht="13.5" x14ac:dyDescent="0.25">
      <c r="A226" s="12">
        <v>42653</v>
      </c>
      <c r="B226" s="9">
        <v>68.449996999999996</v>
      </c>
      <c r="D226" s="9">
        <v>66.600075000000004</v>
      </c>
      <c r="E226" s="5">
        <f t="shared" si="11"/>
        <v>-3.6390103481372948E-3</v>
      </c>
      <c r="F226" s="9">
        <f t="shared" si="10"/>
        <v>2.3138391833073994E-5</v>
      </c>
      <c r="G226" s="10">
        <f t="shared" si="12"/>
        <v>-3.6390103481372788E-3</v>
      </c>
      <c r="H226" s="9"/>
    </row>
    <row r="227" spans="1:8" ht="13.5" x14ac:dyDescent="0.25">
      <c r="A227" s="12">
        <v>42660</v>
      </c>
      <c r="B227" s="9">
        <v>68.339995999999999</v>
      </c>
      <c r="D227" s="9">
        <v>66.493056999999993</v>
      </c>
      <c r="E227" s="5">
        <f t="shared" si="11"/>
        <v>-1.6070270974591905E-3</v>
      </c>
      <c r="F227" s="9">
        <f t="shared" si="10"/>
        <v>7.7187007322757389E-6</v>
      </c>
      <c r="G227" s="10">
        <f t="shared" si="12"/>
        <v>-1.607027097459141E-3</v>
      </c>
      <c r="H227" s="9"/>
    </row>
    <row r="228" spans="1:8" ht="13.5" x14ac:dyDescent="0.25">
      <c r="A228" s="12">
        <v>42667</v>
      </c>
      <c r="B228" s="9">
        <v>69.989998</v>
      </c>
      <c r="D228" s="9">
        <v>68.098465000000004</v>
      </c>
      <c r="E228" s="5">
        <f t="shared" si="11"/>
        <v>2.4144016631197918E-2</v>
      </c>
      <c r="F228" s="9">
        <f t="shared" si="10"/>
        <v>5.2774902290381436E-4</v>
      </c>
      <c r="G228" s="10">
        <f t="shared" si="12"/>
        <v>2.4144016631197938E-2</v>
      </c>
      <c r="H228" s="9"/>
    </row>
    <row r="229" spans="1:8" ht="13.5" x14ac:dyDescent="0.25">
      <c r="A229" s="12">
        <v>42674</v>
      </c>
      <c r="B229" s="9">
        <v>69.160004000000001</v>
      </c>
      <c r="D229" s="9">
        <v>67.290901000000005</v>
      </c>
      <c r="E229" s="5">
        <f t="shared" si="11"/>
        <v>-1.1858751589048477E-2</v>
      </c>
      <c r="F229" s="9">
        <f t="shared" si="10"/>
        <v>1.6978036502244485E-4</v>
      </c>
      <c r="G229" s="10">
        <f t="shared" si="12"/>
        <v>-1.185875158904847E-2</v>
      </c>
      <c r="H229" s="9"/>
    </row>
    <row r="230" spans="1:8" ht="13.5" x14ac:dyDescent="0.25">
      <c r="A230" s="12">
        <v>42681</v>
      </c>
      <c r="B230" s="9">
        <v>71.230002999999996</v>
      </c>
      <c r="D230" s="9">
        <v>69.304962000000003</v>
      </c>
      <c r="E230" s="5">
        <f t="shared" si="11"/>
        <v>2.9930579529752421E-2</v>
      </c>
      <c r="F230" s="9">
        <f t="shared" si="10"/>
        <v>8.2710030718473326E-4</v>
      </c>
      <c r="G230" s="10">
        <f t="shared" si="12"/>
        <v>2.9930579529752421E-2</v>
      </c>
      <c r="H230" s="9"/>
    </row>
    <row r="231" spans="1:8" ht="13.5" x14ac:dyDescent="0.25">
      <c r="A231" s="12">
        <v>42688</v>
      </c>
      <c r="B231" s="9">
        <v>68.540001000000004</v>
      </c>
      <c r="D231" s="9">
        <v>66.687645000000003</v>
      </c>
      <c r="E231" s="5">
        <f t="shared" si="11"/>
        <v>-3.7765013150427573E-2</v>
      </c>
      <c r="F231" s="9">
        <f t="shared" si="10"/>
        <v>1.5160308657547203E-3</v>
      </c>
      <c r="G231" s="10">
        <f t="shared" si="12"/>
        <v>-3.7765013150427539E-2</v>
      </c>
      <c r="H231" s="9"/>
    </row>
    <row r="232" spans="1:8" ht="13.5" x14ac:dyDescent="0.25">
      <c r="A232" s="12">
        <v>42695</v>
      </c>
      <c r="B232" s="9">
        <v>71.230002999999996</v>
      </c>
      <c r="D232" s="9">
        <v>69.304962000000003</v>
      </c>
      <c r="E232" s="5">
        <f t="shared" si="11"/>
        <v>3.9247183553440479E-2</v>
      </c>
      <c r="F232" s="9">
        <f t="shared" si="10"/>
        <v>1.4497784002745057E-3</v>
      </c>
      <c r="G232" s="10">
        <f t="shared" si="12"/>
        <v>3.9247183553440458E-2</v>
      </c>
      <c r="H232" s="9"/>
    </row>
    <row r="233" spans="1:8" ht="13.5" x14ac:dyDescent="0.25">
      <c r="A233" s="12">
        <v>42702</v>
      </c>
      <c r="B233" s="9">
        <v>70.879997000000003</v>
      </c>
      <c r="D233" s="9">
        <v>68.964400999999995</v>
      </c>
      <c r="E233" s="5">
        <f t="shared" si="11"/>
        <v>-4.913744001948106E-3</v>
      </c>
      <c r="F233" s="9">
        <f t="shared" si="10"/>
        <v>3.702688283147449E-5</v>
      </c>
      <c r="G233" s="10">
        <f t="shared" si="12"/>
        <v>-4.9137440019480748E-3</v>
      </c>
      <c r="H233" s="9"/>
    </row>
    <row r="234" spans="1:8" ht="13.5" x14ac:dyDescent="0.25">
      <c r="A234" s="12">
        <v>42709</v>
      </c>
      <c r="B234" s="9">
        <v>70.080001999999993</v>
      </c>
      <c r="C234" s="9">
        <v>0.5</v>
      </c>
      <c r="D234" s="9">
        <v>68.186027999999993</v>
      </c>
      <c r="E234" s="5">
        <f t="shared" si="11"/>
        <v>-4.2324352807183718E-3</v>
      </c>
      <c r="F234" s="9">
        <f t="shared" si="10"/>
        <v>2.9199575578815173E-5</v>
      </c>
      <c r="G234" s="10">
        <f t="shared" si="12"/>
        <v>-4.2324352807183354E-3</v>
      </c>
      <c r="H234" s="9"/>
    </row>
    <row r="235" spans="1:8" ht="13.5" x14ac:dyDescent="0.25">
      <c r="A235" s="12">
        <v>42716</v>
      </c>
      <c r="B235" s="9">
        <v>70.980002999999996</v>
      </c>
      <c r="D235" s="9">
        <v>69.555999999999997</v>
      </c>
      <c r="E235" s="5">
        <f t="shared" si="11"/>
        <v>1.2842479656322014E-2</v>
      </c>
      <c r="F235" s="9">
        <f t="shared" si="10"/>
        <v>1.3621811797379248E-4</v>
      </c>
      <c r="G235" s="10">
        <f t="shared" si="12"/>
        <v>1.2842479656321975E-2</v>
      </c>
      <c r="H235" s="9"/>
    </row>
    <row r="236" spans="1:8" ht="13.5" x14ac:dyDescent="0.25">
      <c r="A236" s="12">
        <v>42723</v>
      </c>
      <c r="B236" s="9">
        <v>69.540001000000004</v>
      </c>
      <c r="D236" s="9">
        <v>68.144881999999996</v>
      </c>
      <c r="E236" s="5">
        <f t="shared" si="11"/>
        <v>-2.0287432222283686E-2</v>
      </c>
      <c r="F236" s="9">
        <f t="shared" si="10"/>
        <v>4.6047409348188103E-4</v>
      </c>
      <c r="G236" s="10">
        <f t="shared" si="12"/>
        <v>-2.0287432222283686E-2</v>
      </c>
      <c r="H236" s="9"/>
    </row>
    <row r="237" spans="1:8" ht="13.5" x14ac:dyDescent="0.25">
      <c r="A237" s="12">
        <v>42730</v>
      </c>
      <c r="B237" s="9">
        <v>69.120002999999997</v>
      </c>
      <c r="D237" s="9">
        <v>67.733306999999996</v>
      </c>
      <c r="E237" s="5">
        <f t="shared" si="11"/>
        <v>-6.0396605401257242E-3</v>
      </c>
      <c r="F237" s="9">
        <f t="shared" si="10"/>
        <v>5.1996911839944014E-5</v>
      </c>
      <c r="G237" s="10">
        <f t="shared" si="12"/>
        <v>-6.0396605401257719E-3</v>
      </c>
      <c r="H237" s="9"/>
    </row>
    <row r="238" spans="1:8" ht="13.5" x14ac:dyDescent="0.25">
      <c r="A238" s="12">
        <v>42737</v>
      </c>
      <c r="B238" s="9">
        <v>68.260002</v>
      </c>
      <c r="D238" s="9">
        <v>66.890563999999998</v>
      </c>
      <c r="E238" s="5">
        <f t="shared" si="11"/>
        <v>-1.2442143557198637E-2</v>
      </c>
      <c r="F238" s="9">
        <f t="shared" si="10"/>
        <v>1.8532388194838031E-4</v>
      </c>
      <c r="G238" s="10">
        <f t="shared" si="12"/>
        <v>-1.2442143557198587E-2</v>
      </c>
      <c r="H238" s="9"/>
    </row>
    <row r="239" spans="1:8" ht="13.5" x14ac:dyDescent="0.25">
      <c r="A239" s="12">
        <v>42744</v>
      </c>
      <c r="B239" s="9">
        <v>67.129997000000003</v>
      </c>
      <c r="D239" s="9">
        <v>65.783225999999999</v>
      </c>
      <c r="E239" s="5">
        <f t="shared" si="11"/>
        <v>-1.655442377514138E-2</v>
      </c>
      <c r="F239" s="9">
        <f t="shared" si="10"/>
        <v>3.1419872667916147E-4</v>
      </c>
      <c r="G239" s="10">
        <f t="shared" si="12"/>
        <v>-1.6554423775141363E-2</v>
      </c>
      <c r="H239" s="9"/>
    </row>
    <row r="240" spans="1:8" ht="13.5" x14ac:dyDescent="0.25">
      <c r="A240" s="12">
        <v>42751</v>
      </c>
      <c r="B240" s="9">
        <v>67.180000000000007</v>
      </c>
      <c r="D240" s="9">
        <v>65.832229999999996</v>
      </c>
      <c r="E240" s="5">
        <f t="shared" si="11"/>
        <v>7.4486819953234473E-4</v>
      </c>
      <c r="F240" s="9">
        <f t="shared" si="10"/>
        <v>1.8178257904661208E-7</v>
      </c>
      <c r="G240" s="10">
        <f t="shared" si="12"/>
        <v>7.4486819953237585E-4</v>
      </c>
      <c r="H240" s="9"/>
    </row>
    <row r="241" spans="1:8" ht="13.5" x14ac:dyDescent="0.25">
      <c r="A241" s="12">
        <v>42758</v>
      </c>
      <c r="B241" s="9">
        <v>65.660004000000001</v>
      </c>
      <c r="D241" s="9">
        <v>64.342727999999994</v>
      </c>
      <c r="E241" s="5">
        <f t="shared" si="11"/>
        <v>-2.2625721941053945E-2</v>
      </c>
      <c r="F241" s="9">
        <f t="shared" si="10"/>
        <v>5.662948208928183E-4</v>
      </c>
      <c r="G241" s="10">
        <f t="shared" si="12"/>
        <v>-2.2625721941053972E-2</v>
      </c>
      <c r="H241" s="9"/>
    </row>
    <row r="242" spans="1:8" ht="13.5" x14ac:dyDescent="0.25">
      <c r="A242" s="12">
        <v>42765</v>
      </c>
      <c r="B242" s="9">
        <v>66.5</v>
      </c>
      <c r="D242" s="9">
        <v>65.165870999999996</v>
      </c>
      <c r="E242" s="5">
        <f t="shared" si="11"/>
        <v>1.2793115273035838E-2</v>
      </c>
      <c r="F242" s="9">
        <f t="shared" si="10"/>
        <v>1.3506826652412014E-4</v>
      </c>
      <c r="G242" s="10">
        <f t="shared" si="12"/>
        <v>1.2793115273035916E-2</v>
      </c>
      <c r="H242" s="9"/>
    </row>
    <row r="243" spans="1:8" ht="13.5" x14ac:dyDescent="0.25">
      <c r="A243" s="12">
        <v>42772</v>
      </c>
      <c r="B243" s="9">
        <v>68.019997000000004</v>
      </c>
      <c r="D243" s="9">
        <v>66.655365000000003</v>
      </c>
      <c r="E243" s="5">
        <f t="shared" si="11"/>
        <v>2.2857097744360955E-2</v>
      </c>
      <c r="F243" s="9">
        <f t="shared" si="10"/>
        <v>4.7027695167643709E-4</v>
      </c>
      <c r="G243" s="10">
        <f t="shared" si="12"/>
        <v>2.2857097744360955E-2</v>
      </c>
      <c r="H243" s="9"/>
    </row>
    <row r="244" spans="1:8" ht="13.5" x14ac:dyDescent="0.25">
      <c r="A244" s="12">
        <v>42779</v>
      </c>
      <c r="B244" s="9">
        <v>69.370002999999997</v>
      </c>
      <c r="D244" s="9">
        <v>67.978294000000005</v>
      </c>
      <c r="E244" s="5">
        <f t="shared" si="11"/>
        <v>1.9847192877706199E-2</v>
      </c>
      <c r="F244" s="9">
        <f t="shared" si="10"/>
        <v>3.4879166851152667E-4</v>
      </c>
      <c r="G244" s="10">
        <f t="shared" si="12"/>
        <v>1.9847192877706143E-2</v>
      </c>
      <c r="H244" s="9"/>
    </row>
    <row r="245" spans="1:8" ht="13.5" x14ac:dyDescent="0.25">
      <c r="A245" s="12">
        <v>42786</v>
      </c>
      <c r="B245" s="9">
        <v>72.389999000000003</v>
      </c>
      <c r="D245" s="9">
        <v>70.937706000000006</v>
      </c>
      <c r="E245" s="5">
        <f t="shared" si="11"/>
        <v>4.3534609620818454E-2</v>
      </c>
      <c r="F245" s="9">
        <f t="shared" si="10"/>
        <v>1.7946561123277235E-3</v>
      </c>
      <c r="G245" s="10">
        <f t="shared" si="12"/>
        <v>4.3534609620818475E-2</v>
      </c>
      <c r="H245" s="9"/>
    </row>
    <row r="246" spans="1:8" ht="13.5" x14ac:dyDescent="0.25">
      <c r="A246" s="12">
        <v>42793</v>
      </c>
      <c r="B246" s="9">
        <v>70.029999000000004</v>
      </c>
      <c r="D246" s="9">
        <v>68.625045999999998</v>
      </c>
      <c r="E246" s="5">
        <f t="shared" si="11"/>
        <v>-3.2601188459748465E-2</v>
      </c>
      <c r="F246" s="9">
        <f t="shared" si="10"/>
        <v>1.1405761055772465E-3</v>
      </c>
      <c r="G246" s="10">
        <f t="shared" si="12"/>
        <v>-3.2601188459748416E-2</v>
      </c>
      <c r="H246" s="9"/>
    </row>
    <row r="247" spans="1:8" ht="13.5" x14ac:dyDescent="0.25">
      <c r="A247" s="12">
        <v>42800</v>
      </c>
      <c r="B247" s="9">
        <v>70.099997999999999</v>
      </c>
      <c r="C247" s="9">
        <v>0.51</v>
      </c>
      <c r="D247" s="9">
        <v>68.693641999999997</v>
      </c>
      <c r="E247" s="5">
        <f t="shared" si="11"/>
        <v>8.2821506251913313E-3</v>
      </c>
      <c r="F247" s="9">
        <f t="shared" si="10"/>
        <v>5.0565222256088392E-5</v>
      </c>
      <c r="G247" s="10">
        <f t="shared" si="12"/>
        <v>8.2821506251912931E-3</v>
      </c>
      <c r="H247" s="9"/>
    </row>
    <row r="248" spans="1:8" ht="13.5" x14ac:dyDescent="0.25">
      <c r="A248" s="12">
        <v>42807</v>
      </c>
      <c r="B248" s="9">
        <v>69.889999000000003</v>
      </c>
      <c r="D248" s="9">
        <v>68.991446999999994</v>
      </c>
      <c r="E248" s="5">
        <f t="shared" si="11"/>
        <v>-2.9957062195635764E-3</v>
      </c>
      <c r="F248" s="9">
        <f t="shared" si="10"/>
        <v>1.7363339808852155E-5</v>
      </c>
      <c r="G248" s="10">
        <f t="shared" si="12"/>
        <v>-2.995706219563605E-3</v>
      </c>
      <c r="H248" s="9"/>
    </row>
    <row r="249" spans="1:8" ht="13.5" x14ac:dyDescent="0.25">
      <c r="A249" s="12">
        <v>42814</v>
      </c>
      <c r="B249" s="9">
        <v>69.610000999999997</v>
      </c>
      <c r="D249" s="9">
        <v>68.715041999999997</v>
      </c>
      <c r="E249" s="5">
        <f t="shared" si="11"/>
        <v>-4.0062670483084206E-3</v>
      </c>
      <c r="F249" s="9">
        <f t="shared" si="10"/>
        <v>2.6806453755952226E-5</v>
      </c>
      <c r="G249" s="10">
        <f t="shared" si="12"/>
        <v>-4.0062670483083877E-3</v>
      </c>
      <c r="H249" s="9"/>
    </row>
    <row r="250" spans="1:8" ht="13.5" x14ac:dyDescent="0.25">
      <c r="A250" s="12">
        <v>42821</v>
      </c>
      <c r="B250" s="9">
        <v>72.080001999999993</v>
      </c>
      <c r="D250" s="9">
        <v>71.153289999999998</v>
      </c>
      <c r="E250" s="5">
        <f t="shared" si="11"/>
        <v>3.548342141239158E-2</v>
      </c>
      <c r="F250" s="9">
        <f t="shared" si="10"/>
        <v>1.1773266248499288E-3</v>
      </c>
      <c r="G250" s="10">
        <f t="shared" si="12"/>
        <v>3.5483421412391539E-2</v>
      </c>
      <c r="H250" s="9"/>
    </row>
    <row r="251" spans="1:8" ht="13.5" x14ac:dyDescent="0.25">
      <c r="A251" s="12">
        <v>42828</v>
      </c>
      <c r="B251" s="9">
        <v>72.900002000000001</v>
      </c>
      <c r="D251" s="9">
        <v>71.962745999999996</v>
      </c>
      <c r="E251" s="5">
        <f t="shared" si="11"/>
        <v>1.1376248296996572E-2</v>
      </c>
      <c r="F251" s="9">
        <f t="shared" si="10"/>
        <v>1.0414244166540596E-4</v>
      </c>
      <c r="G251" s="10">
        <f t="shared" si="12"/>
        <v>1.1376248296996544E-2</v>
      </c>
      <c r="H251" s="9"/>
    </row>
    <row r="252" spans="1:8" ht="13.5" x14ac:dyDescent="0.25">
      <c r="A252" s="12">
        <v>42835</v>
      </c>
      <c r="B252" s="9">
        <v>73.150002000000001</v>
      </c>
      <c r="D252" s="9">
        <v>72.209534000000005</v>
      </c>
      <c r="E252" s="5">
        <f t="shared" si="11"/>
        <v>3.4293551871233952E-3</v>
      </c>
      <c r="F252" s="9">
        <f t="shared" si="10"/>
        <v>5.0991389250173647E-6</v>
      </c>
      <c r="G252" s="10">
        <f t="shared" si="12"/>
        <v>3.4293551871233145E-3</v>
      </c>
      <c r="H252" s="9"/>
    </row>
    <row r="253" spans="1:8" ht="13.5" x14ac:dyDescent="0.25">
      <c r="A253" s="12">
        <v>42842</v>
      </c>
      <c r="B253" s="9">
        <v>74.940002000000007</v>
      </c>
      <c r="D253" s="9">
        <v>73.976517000000001</v>
      </c>
      <c r="E253" s="5">
        <f t="shared" si="11"/>
        <v>2.4470265906486377E-2</v>
      </c>
      <c r="F253" s="9">
        <f t="shared" si="10"/>
        <v>5.428451728548393E-4</v>
      </c>
      <c r="G253" s="10">
        <f t="shared" si="12"/>
        <v>2.4470265906486321E-2</v>
      </c>
      <c r="H253" s="9"/>
    </row>
    <row r="254" spans="1:8" ht="13.5" x14ac:dyDescent="0.25">
      <c r="A254" s="12">
        <v>42849</v>
      </c>
      <c r="B254" s="9">
        <v>75.180000000000007</v>
      </c>
      <c r="D254" s="9">
        <v>74.213431999999997</v>
      </c>
      <c r="E254" s="5">
        <f t="shared" si="11"/>
        <v>3.2025352761533288E-3</v>
      </c>
      <c r="F254" s="9">
        <f t="shared" si="10"/>
        <v>4.1262097285286554E-6</v>
      </c>
      <c r="G254" s="10">
        <f t="shared" si="12"/>
        <v>3.202535276153314E-3</v>
      </c>
      <c r="H254" s="9"/>
    </row>
    <row r="255" spans="1:8" ht="13.5" x14ac:dyDescent="0.25">
      <c r="A255" s="12">
        <v>42856</v>
      </c>
      <c r="B255" s="9">
        <v>76.5</v>
      </c>
      <c r="D255" s="9">
        <v>75.516457000000003</v>
      </c>
      <c r="E255" s="5">
        <f t="shared" si="11"/>
        <v>1.7557861133280062E-2</v>
      </c>
      <c r="F255" s="9">
        <f t="shared" si="10"/>
        <v>2.6852174930378284E-4</v>
      </c>
      <c r="G255" s="10">
        <f t="shared" si="12"/>
        <v>1.7557861133280034E-2</v>
      </c>
      <c r="H255" s="9"/>
    </row>
    <row r="256" spans="1:8" ht="13.5" x14ac:dyDescent="0.25">
      <c r="A256" s="12">
        <v>42863</v>
      </c>
      <c r="B256" s="9">
        <v>75.709998999999996</v>
      </c>
      <c r="C256" s="9">
        <v>0.51</v>
      </c>
      <c r="D256" s="9">
        <v>74.736618000000007</v>
      </c>
      <c r="E256" s="5">
        <f t="shared" si="11"/>
        <v>-3.6601437908496681E-3</v>
      </c>
      <c r="F256" s="9">
        <f t="shared" si="10"/>
        <v>2.3342152243624362E-5</v>
      </c>
      <c r="G256" s="10">
        <f t="shared" si="12"/>
        <v>-3.6601437908497219E-3</v>
      </c>
      <c r="H256" s="9"/>
    </row>
    <row r="257" spans="1:8" ht="13.5" x14ac:dyDescent="0.25">
      <c r="A257" s="12">
        <v>42870</v>
      </c>
      <c r="B257" s="9">
        <v>78.769997000000004</v>
      </c>
      <c r="D257" s="9">
        <v>78.277625999999998</v>
      </c>
      <c r="E257" s="5">
        <f t="shared" si="11"/>
        <v>4.0417356233223733E-2</v>
      </c>
      <c r="F257" s="9">
        <f t="shared" si="10"/>
        <v>1.540258590541149E-3</v>
      </c>
      <c r="G257" s="10">
        <f t="shared" si="12"/>
        <v>4.0417356233223664E-2</v>
      </c>
      <c r="H257" s="9"/>
    </row>
    <row r="258" spans="1:8" ht="13.5" x14ac:dyDescent="0.25">
      <c r="A258" s="12">
        <v>42877</v>
      </c>
      <c r="B258" s="9">
        <v>78.129997000000003</v>
      </c>
      <c r="D258" s="9">
        <v>77.641623999999993</v>
      </c>
      <c r="E258" s="5">
        <f t="shared" si="11"/>
        <v>-8.1249209645138931E-3</v>
      </c>
      <c r="F258" s="9">
        <f t="shared" si="10"/>
        <v>8.6418383381179029E-5</v>
      </c>
      <c r="G258" s="10">
        <f t="shared" si="12"/>
        <v>-8.1249209645139452E-3</v>
      </c>
      <c r="H258" s="9"/>
    </row>
    <row r="259" spans="1:8" ht="13.5" x14ac:dyDescent="0.25">
      <c r="A259" s="12">
        <v>42884</v>
      </c>
      <c r="B259" s="9">
        <v>79.620002999999997</v>
      </c>
      <c r="D259" s="9">
        <v>79.122321999999997</v>
      </c>
      <c r="E259" s="5">
        <f t="shared" si="11"/>
        <v>1.9070856997472907E-2</v>
      </c>
      <c r="F259" s="9">
        <f t="shared" si="10"/>
        <v>3.2039672246255612E-4</v>
      </c>
      <c r="G259" s="10">
        <f t="shared" si="12"/>
        <v>1.9070856997472994E-2</v>
      </c>
      <c r="H259" s="9"/>
    </row>
    <row r="260" spans="1:8" ht="13.5" x14ac:dyDescent="0.25">
      <c r="A260" s="12">
        <v>42891</v>
      </c>
      <c r="B260" s="9">
        <v>79.419998000000007</v>
      </c>
      <c r="D260" s="9">
        <v>78.923561000000007</v>
      </c>
      <c r="E260" s="5">
        <f t="shared" si="11"/>
        <v>-2.5119943791007682E-3</v>
      </c>
      <c r="F260" s="9">
        <f t="shared" si="10"/>
        <v>1.3566126226505656E-5</v>
      </c>
      <c r="G260" s="10">
        <f t="shared" si="12"/>
        <v>-2.5119943791008176E-3</v>
      </c>
      <c r="H260" s="9"/>
    </row>
    <row r="261" spans="1:8" ht="13.5" x14ac:dyDescent="0.25">
      <c r="A261" s="12">
        <v>42898</v>
      </c>
      <c r="B261" s="9">
        <v>75.239998</v>
      </c>
      <c r="D261" s="9">
        <v>74.769690999999995</v>
      </c>
      <c r="E261" s="5">
        <f t="shared" si="11"/>
        <v>-5.2631580272767153E-2</v>
      </c>
      <c r="F261" s="9">
        <f t="shared" si="10"/>
        <v>2.8947421653655191E-3</v>
      </c>
      <c r="G261" s="10">
        <f t="shared" si="12"/>
        <v>-5.2631580272767146E-2</v>
      </c>
      <c r="H261" s="9"/>
    </row>
    <row r="262" spans="1:8" ht="13.5" x14ac:dyDescent="0.25">
      <c r="A262" s="12">
        <v>42905</v>
      </c>
      <c r="B262" s="9">
        <v>74.839995999999999</v>
      </c>
      <c r="D262" s="9">
        <v>74.372191999999998</v>
      </c>
      <c r="E262" s="5">
        <f t="shared" si="11"/>
        <v>-5.3163478287173715E-3</v>
      </c>
      <c r="F262" s="9">
        <f t="shared" si="10"/>
        <v>4.2088638605526377E-5</v>
      </c>
      <c r="G262" s="10">
        <f t="shared" si="12"/>
        <v>-5.316347828717388E-3</v>
      </c>
      <c r="H262" s="9"/>
    </row>
    <row r="263" spans="1:8" ht="13.5" x14ac:dyDescent="0.25">
      <c r="A263" s="12">
        <v>42912</v>
      </c>
      <c r="B263" s="9">
        <v>75.680000000000007</v>
      </c>
      <c r="D263" s="9">
        <v>75.206947</v>
      </c>
      <c r="E263" s="5">
        <f t="shared" si="11"/>
        <v>1.1223998461998841E-2</v>
      </c>
      <c r="F263" s="9">
        <f t="shared" si="10"/>
        <v>1.0105819632907533E-4</v>
      </c>
      <c r="G263" s="10">
        <f t="shared" si="12"/>
        <v>1.122399846199895E-2</v>
      </c>
      <c r="H263" s="9"/>
    </row>
    <row r="264" spans="1:8" ht="13.5" x14ac:dyDescent="0.25">
      <c r="A264" s="12">
        <v>42919</v>
      </c>
      <c r="B264" s="9">
        <v>75.330001999999993</v>
      </c>
      <c r="D264" s="9">
        <v>74.859131000000005</v>
      </c>
      <c r="E264" s="5">
        <f t="shared" si="11"/>
        <v>-4.6247093023257246E-3</v>
      </c>
      <c r="F264" s="9">
        <f t="shared" si="10"/>
        <v>3.3592887847540949E-5</v>
      </c>
      <c r="G264" s="10">
        <f t="shared" si="12"/>
        <v>-4.6247093023257602E-3</v>
      </c>
      <c r="H264" s="9"/>
    </row>
    <row r="265" spans="1:8" ht="13.5" x14ac:dyDescent="0.25">
      <c r="A265" s="12">
        <v>42926</v>
      </c>
      <c r="B265" s="9">
        <v>76.339995999999999</v>
      </c>
      <c r="D265" s="9">
        <v>75.862815999999995</v>
      </c>
      <c r="E265" s="5">
        <f t="shared" si="11"/>
        <v>1.3407592900369414E-2</v>
      </c>
      <c r="F265" s="9">
        <f t="shared" si="10"/>
        <v>1.497286288566705E-4</v>
      </c>
      <c r="G265" s="10">
        <f t="shared" si="12"/>
        <v>1.3407592900369313E-2</v>
      </c>
      <c r="H265" s="9"/>
    </row>
    <row r="266" spans="1:8" ht="13.5" x14ac:dyDescent="0.25">
      <c r="A266" s="12">
        <v>42933</v>
      </c>
      <c r="B266" s="9">
        <v>76.150002000000001</v>
      </c>
      <c r="D266" s="9">
        <v>75.674010999999993</v>
      </c>
      <c r="E266" s="5">
        <f t="shared" si="11"/>
        <v>-2.4887871359070557E-3</v>
      </c>
      <c r="F266" s="9">
        <f t="shared" si="10"/>
        <v>1.3395709933131008E-5</v>
      </c>
      <c r="G266" s="10">
        <f t="shared" si="12"/>
        <v>-2.4887871359070895E-3</v>
      </c>
      <c r="H266" s="9"/>
    </row>
    <row r="267" spans="1:8" ht="13.5" x14ac:dyDescent="0.25">
      <c r="A267" s="12">
        <v>42940</v>
      </c>
      <c r="B267" s="9">
        <v>79.809997999999993</v>
      </c>
      <c r="D267" s="9">
        <v>79.311126999999999</v>
      </c>
      <c r="E267" s="5">
        <f t="shared" si="11"/>
        <v>4.8062979696310348E-2</v>
      </c>
      <c r="F267" s="9">
        <f t="shared" si="10"/>
        <v>2.1988363881914855E-3</v>
      </c>
      <c r="G267" s="10">
        <f t="shared" si="12"/>
        <v>4.8062979696310348E-2</v>
      </c>
      <c r="H267" s="9"/>
    </row>
    <row r="268" spans="1:8" ht="13.5" x14ac:dyDescent="0.25">
      <c r="A268" s="12">
        <v>42947</v>
      </c>
      <c r="B268" s="9">
        <v>80.480002999999996</v>
      </c>
      <c r="D268" s="9">
        <v>79.976944000000003</v>
      </c>
      <c r="E268" s="5">
        <f t="shared" si="11"/>
        <v>8.3950008368625095E-3</v>
      </c>
      <c r="F268" s="9">
        <f t="shared" si="10"/>
        <v>5.2182895699799401E-5</v>
      </c>
      <c r="G268" s="10">
        <f t="shared" si="12"/>
        <v>8.3950008368626119E-3</v>
      </c>
      <c r="H268" s="9"/>
    </row>
    <row r="269" spans="1:8" ht="13.5" x14ac:dyDescent="0.25">
      <c r="A269" s="12">
        <v>42954</v>
      </c>
      <c r="B269" s="9">
        <v>80.400002000000001</v>
      </c>
      <c r="C269" s="9">
        <v>0.51</v>
      </c>
      <c r="D269" s="9">
        <v>79.897446000000002</v>
      </c>
      <c r="E269" s="5">
        <f t="shared" si="11"/>
        <v>5.3429297213123395E-3</v>
      </c>
      <c r="F269" s="9">
        <f t="shared" si="10"/>
        <v>1.7403096234040874E-5</v>
      </c>
      <c r="G269" s="10">
        <f t="shared" si="12"/>
        <v>5.3429297213123152E-3</v>
      </c>
      <c r="H269" s="9"/>
    </row>
    <row r="270" spans="1:8" ht="13.5" x14ac:dyDescent="0.25">
      <c r="A270" s="12">
        <v>42961</v>
      </c>
      <c r="B270" s="9">
        <v>79.309997999999993</v>
      </c>
      <c r="D270" s="9">
        <v>79.309997999999993</v>
      </c>
      <c r="E270" s="5">
        <f t="shared" si="11"/>
        <v>-1.3557263344346815E-2</v>
      </c>
      <c r="F270" s="9">
        <f t="shared" si="10"/>
        <v>2.1692845381192252E-4</v>
      </c>
      <c r="G270" s="10">
        <f t="shared" si="12"/>
        <v>-1.3557263344346777E-2</v>
      </c>
      <c r="H270" s="9"/>
    </row>
    <row r="271" spans="1:8" ht="13.5" x14ac:dyDescent="0.25">
      <c r="A271" s="12">
        <v>42968</v>
      </c>
      <c r="B271" s="9">
        <v>78.629997000000003</v>
      </c>
      <c r="D271" s="9">
        <v>78.629997000000003</v>
      </c>
      <c r="E271" s="5">
        <f t="shared" si="11"/>
        <v>-8.5739631464873955E-3</v>
      </c>
      <c r="F271" s="9">
        <f t="shared" si="10"/>
        <v>9.4968748186572677E-5</v>
      </c>
      <c r="G271" s="10">
        <f t="shared" si="12"/>
        <v>-8.5739631464874094E-3</v>
      </c>
      <c r="H271" s="9"/>
    </row>
    <row r="272" spans="1:8" ht="13.5" x14ac:dyDescent="0.25">
      <c r="A272" s="12">
        <v>42975</v>
      </c>
      <c r="B272" s="9">
        <v>78.370002999999997</v>
      </c>
      <c r="D272" s="9">
        <v>78.370002999999997</v>
      </c>
      <c r="E272" s="5">
        <f t="shared" si="11"/>
        <v>-3.306549789134583E-3</v>
      </c>
      <c r="F272" s="9">
        <f t="shared" si="10"/>
        <v>2.0050492874345218E-5</v>
      </c>
      <c r="G272" s="10">
        <f t="shared" si="12"/>
        <v>-3.3065497891346229E-3</v>
      </c>
      <c r="H272" s="9"/>
    </row>
    <row r="273" spans="1:8" ht="13.5" x14ac:dyDescent="0.25">
      <c r="A273" s="12">
        <v>42982</v>
      </c>
      <c r="B273" s="9">
        <v>78.879997000000003</v>
      </c>
      <c r="D273" s="9">
        <v>78.879997000000003</v>
      </c>
      <c r="E273" s="5">
        <f t="shared" si="11"/>
        <v>6.5075153818738851E-3</v>
      </c>
      <c r="F273" s="9">
        <f t="shared" si="10"/>
        <v>2.8475964278648237E-5</v>
      </c>
      <c r="G273" s="10">
        <f t="shared" si="12"/>
        <v>6.5075153818739302E-3</v>
      </c>
      <c r="H273" s="9"/>
    </row>
    <row r="274" spans="1:8" ht="13.5" x14ac:dyDescent="0.25">
      <c r="A274" s="12">
        <v>42989</v>
      </c>
      <c r="B274" s="9">
        <v>80.379997000000003</v>
      </c>
      <c r="D274" s="9">
        <v>80.379997000000003</v>
      </c>
      <c r="E274" s="5">
        <f t="shared" si="11"/>
        <v>1.9016227903761118E-2</v>
      </c>
      <c r="F274" s="9">
        <f t="shared" ref="F274:F337" si="13">(E274-$B$8)^2</f>
        <v>3.1844402576775227E-4</v>
      </c>
      <c r="G274" s="10">
        <f t="shared" si="12"/>
        <v>1.9016227903761201E-2</v>
      </c>
      <c r="H274" s="9"/>
    </row>
    <row r="275" spans="1:8" ht="13.5" x14ac:dyDescent="0.25">
      <c r="A275" s="12">
        <v>42996</v>
      </c>
      <c r="B275" s="9">
        <v>79.529999000000004</v>
      </c>
      <c r="D275" s="9">
        <v>79.529999000000004</v>
      </c>
      <c r="E275" s="5">
        <f t="shared" ref="E275:E278" si="14">(B275+C275)/B274-1</f>
        <v>-1.0574745356111359E-2</v>
      </c>
      <c r="F275" s="9">
        <f t="shared" si="13"/>
        <v>1.3796788731628782E-4</v>
      </c>
      <c r="G275" s="10">
        <f t="shared" ref="G275:G278" si="15">((B275-B274)+C275)/B274</f>
        <v>-1.0574745356111413E-2</v>
      </c>
      <c r="H275" s="9"/>
    </row>
    <row r="276" spans="1:8" ht="13.5" x14ac:dyDescent="0.25">
      <c r="A276" s="12">
        <v>43003</v>
      </c>
      <c r="B276" s="9">
        <v>78.139999000000003</v>
      </c>
      <c r="D276" s="9">
        <v>78.139999000000003</v>
      </c>
      <c r="E276" s="5">
        <f t="shared" si="14"/>
        <v>-1.7477681597858452E-2</v>
      </c>
      <c r="F276" s="9">
        <f t="shared" si="13"/>
        <v>3.4778182479725753E-4</v>
      </c>
      <c r="G276" s="10">
        <f t="shared" si="15"/>
        <v>-1.7477681597858445E-2</v>
      </c>
      <c r="H276" s="9"/>
    </row>
    <row r="277" spans="1:8" ht="13.5" x14ac:dyDescent="0.25">
      <c r="A277" s="12">
        <v>43010</v>
      </c>
      <c r="B277" s="9">
        <v>79</v>
      </c>
      <c r="D277" s="9">
        <v>79</v>
      </c>
      <c r="E277" s="5">
        <f t="shared" si="14"/>
        <v>1.1005899808112396E-2</v>
      </c>
      <c r="F277" s="9">
        <f t="shared" si="13"/>
        <v>9.672077188935721E-5</v>
      </c>
      <c r="G277" s="10">
        <f t="shared" si="15"/>
        <v>1.100589980811232E-2</v>
      </c>
      <c r="H277" s="9"/>
    </row>
    <row r="278" spans="1:8" ht="13.5" x14ac:dyDescent="0.25">
      <c r="A278" s="12">
        <v>43017</v>
      </c>
      <c r="B278" s="9">
        <v>84.129997000000003</v>
      </c>
      <c r="D278" s="9">
        <v>84.129997000000003</v>
      </c>
      <c r="E278" s="5">
        <f t="shared" si="14"/>
        <v>6.4936670886075909E-2</v>
      </c>
      <c r="F278" s="9">
        <f t="shared" si="13"/>
        <v>4.0660317214742444E-3</v>
      </c>
      <c r="G278" s="10">
        <f t="shared" si="15"/>
        <v>6.4936670886075992E-2</v>
      </c>
      <c r="H278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Histograma</vt:lpstr>
      <vt:lpstr>Pregunta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Sequeira</dc:creator>
  <cp:lastModifiedBy>Gabriela Sequeira</cp:lastModifiedBy>
  <dcterms:created xsi:type="dcterms:W3CDTF">2017-10-06T17:10:22Z</dcterms:created>
  <dcterms:modified xsi:type="dcterms:W3CDTF">2017-10-19T02:40:12Z</dcterms:modified>
</cp:coreProperties>
</file>