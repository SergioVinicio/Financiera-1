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431"/>
  <workbookPr/>
  <mc:AlternateContent xmlns:mc="http://schemas.openxmlformats.org/markup-compatibility/2006">
    <mc:Choice Requires="x15">
      <x15ac:absPath xmlns:x15ac="http://schemas.microsoft.com/office/spreadsheetml/2010/11/ac" url="C:\Users\Vinix\Documents\Tareas universidad\4 Semestre\Financiera I\Ejercicios\"/>
    </mc:Choice>
  </mc:AlternateContent>
  <bookViews>
    <workbookView xWindow="0" yWindow="495" windowWidth="28740" windowHeight="16245" tabRatio="500" xr2:uid="{00000000-000D-0000-FFFF-FFFF00000000}"/>
  </bookViews>
  <sheets>
    <sheet name="Hoja1" sheetId="1" r:id="rId1"/>
  </sheets>
  <calcPr calcId="171027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39" i="1" l="1"/>
  <c r="F33" i="1"/>
  <c r="G33" i="1"/>
  <c r="H33" i="1"/>
  <c r="I33" i="1"/>
  <c r="J33" i="1"/>
  <c r="K33" i="1"/>
  <c r="L33" i="1"/>
  <c r="M33" i="1"/>
  <c r="N33" i="1"/>
  <c r="O33" i="1"/>
  <c r="N35" i="1"/>
  <c r="O40" i="1"/>
  <c r="E35" i="1"/>
  <c r="E39" i="1"/>
  <c r="E40" i="1"/>
  <c r="F35" i="1"/>
  <c r="F39" i="1"/>
  <c r="F37" i="1"/>
  <c r="F40" i="1"/>
  <c r="G35" i="1"/>
  <c r="G39" i="1"/>
  <c r="G37" i="1"/>
  <c r="G40" i="1"/>
  <c r="H35" i="1"/>
  <c r="H39" i="1"/>
  <c r="H37" i="1"/>
  <c r="H40" i="1"/>
  <c r="I35" i="1"/>
  <c r="I39" i="1"/>
  <c r="I37" i="1"/>
  <c r="I40" i="1"/>
  <c r="J35" i="1"/>
  <c r="J39" i="1"/>
  <c r="J37" i="1"/>
  <c r="J40" i="1"/>
  <c r="K35" i="1"/>
  <c r="K39" i="1"/>
  <c r="K37" i="1"/>
  <c r="K40" i="1"/>
  <c r="L35" i="1"/>
  <c r="L39" i="1"/>
  <c r="L37" i="1"/>
  <c r="L40" i="1"/>
  <c r="M35" i="1"/>
  <c r="M39" i="1"/>
  <c r="M37" i="1"/>
  <c r="M40" i="1"/>
  <c r="N39" i="1"/>
  <c r="N37" i="1"/>
  <c r="N40" i="1"/>
  <c r="E43" i="1"/>
  <c r="E30" i="1"/>
  <c r="H24" i="1"/>
  <c r="H30" i="1"/>
  <c r="E21" i="1"/>
  <c r="H20" i="1"/>
  <c r="F13" i="1"/>
  <c r="F15" i="1"/>
  <c r="F17" i="1"/>
  <c r="D13" i="1"/>
  <c r="D15" i="1"/>
  <c r="D17" i="1"/>
  <c r="H16" i="1"/>
  <c r="H3" i="1"/>
  <c r="H8" i="1"/>
  <c r="J8" i="1"/>
  <c r="H7" i="1"/>
  <c r="H4" i="1"/>
</calcChain>
</file>

<file path=xl/sharedStrings.xml><?xml version="1.0" encoding="utf-8"?>
<sst xmlns="http://schemas.openxmlformats.org/spreadsheetml/2006/main" count="26" uniqueCount="22">
  <si>
    <t>Juan</t>
  </si>
  <si>
    <t>Lorena</t>
  </si>
  <si>
    <t>Pamela</t>
  </si>
  <si>
    <t>GV</t>
  </si>
  <si>
    <t>A</t>
  </si>
  <si>
    <t>B</t>
  </si>
  <si>
    <t>Siempre se quedaria con 10,000 ya que se gasta sus intereses</t>
  </si>
  <si>
    <t>VA</t>
  </si>
  <si>
    <t>Opcion A sale mas barata</t>
  </si>
  <si>
    <t>TAE</t>
  </si>
  <si>
    <t>rper</t>
  </si>
  <si>
    <t>tasa</t>
  </si>
  <si>
    <t xml:space="preserve">mensual </t>
  </si>
  <si>
    <t>nper</t>
  </si>
  <si>
    <t>I</t>
  </si>
  <si>
    <t>r mensual</t>
  </si>
  <si>
    <t>n</t>
  </si>
  <si>
    <t>VP</t>
  </si>
  <si>
    <t>r anual</t>
  </si>
  <si>
    <t>Valor Propiedad</t>
  </si>
  <si>
    <t>›</t>
  </si>
  <si>
    <t>Perpetuidad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</si>
</sst>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Q&quot;#,##0.00;[Red]\-&quot;Q&quot;#,##0.00"/>
    <numFmt numFmtId="43" formatCode="_-* #,##0.00_-;\-* #,##0.00_-;_-* &quot;-&quot;??_-;_-@_-"/>
    <numFmt numFmtId="164" formatCode="_-* #,##0_-;\-* #,##0_-;_-* &quot;-&quot;??_-;_-@_-"/>
    <numFmt numFmtId="165" formatCode="_-* #,##0.00000_-;\-* #,##0.00000_-;_-* &quot;-&quot;??_-;_-@_-"/>
    <numFmt numFmtId="166" formatCode="0.0000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64" fontId="2" fillId="0" borderId="0" xfId="1" applyNumberFormat="1" applyFont="1"/>
    <xf numFmtId="43" fontId="2" fillId="0" borderId="0" xfId="1" applyFont="1"/>
    <xf numFmtId="10" fontId="2" fillId="0" borderId="0" xfId="1" applyNumberFormat="1" applyFont="1"/>
    <xf numFmtId="43" fontId="2" fillId="2" borderId="0" xfId="1" applyFont="1" applyFill="1"/>
    <xf numFmtId="10" fontId="2" fillId="2" borderId="0" xfId="1" applyNumberFormat="1" applyFont="1" applyFill="1"/>
    <xf numFmtId="164" fontId="2" fillId="2" borderId="0" xfId="1" applyNumberFormat="1" applyFont="1" applyFill="1"/>
    <xf numFmtId="164" fontId="2" fillId="0" borderId="0" xfId="1" applyNumberFormat="1" applyFont="1" applyAlignment="1">
      <alignment horizontal="left" indent="1"/>
    </xf>
    <xf numFmtId="9" fontId="2" fillId="0" borderId="0" xfId="1" applyNumberFormat="1" applyFont="1"/>
    <xf numFmtId="8" fontId="2" fillId="2" borderId="0" xfId="1" applyNumberFormat="1" applyFont="1" applyFill="1"/>
    <xf numFmtId="8" fontId="2" fillId="0" borderId="0" xfId="1" applyNumberFormat="1" applyFont="1"/>
    <xf numFmtId="10" fontId="2" fillId="2" borderId="0" xfId="2" applyNumberFormat="1" applyFont="1" applyFill="1"/>
    <xf numFmtId="165" fontId="2" fillId="0" borderId="0" xfId="1" applyNumberFormat="1" applyFont="1"/>
    <xf numFmtId="165" fontId="2" fillId="0" borderId="0" xfId="1" applyNumberFormat="1" applyFont="1" applyAlignment="1">
      <alignment horizontal="left" indent="4"/>
    </xf>
    <xf numFmtId="166" fontId="2" fillId="0" borderId="0" xfId="2" applyNumberFormat="1" applyFo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P43"/>
  <sheetViews>
    <sheetView tabSelected="1" topLeftCell="A13" zoomScale="99" workbookViewId="0">
      <selection activeCell="D13" sqref="D13"/>
    </sheetView>
  </sheetViews>
  <sheetFormatPr baseColWidth="10" defaultColWidth="10.875" defaultRowHeight="15.75" x14ac:dyDescent="0.25"/>
  <cols>
    <col min="1" max="2" width="10.875" style="2"/>
    <col min="3" max="3" width="11.5" style="2" bestFit="1" customWidth="1"/>
    <col min="4" max="4" width="14.375" style="2" customWidth="1"/>
    <col min="5" max="5" width="13" style="2" bestFit="1" customWidth="1"/>
    <col min="6" max="6" width="10.875" style="2"/>
    <col min="7" max="7" width="11.375" style="2" bestFit="1" customWidth="1"/>
    <col min="8" max="8" width="13.375" style="2" customWidth="1"/>
    <col min="9" max="9" width="12.125" style="2" bestFit="1" customWidth="1"/>
    <col min="10" max="14" width="10.875" style="2"/>
    <col min="15" max="15" width="11.5" style="2" bestFit="1" customWidth="1"/>
    <col min="16" max="16384" width="10.875" style="2"/>
  </cols>
  <sheetData>
    <row r="3" spans="2:11" x14ac:dyDescent="0.25">
      <c r="B3" s="1">
        <v>1</v>
      </c>
      <c r="C3" s="2" t="s">
        <v>0</v>
      </c>
      <c r="D3" s="2">
        <v>15000</v>
      </c>
      <c r="E3" s="3">
        <v>2.5000000000000001E-2</v>
      </c>
      <c r="F3" s="1">
        <v>15</v>
      </c>
      <c r="H3" s="2">
        <f>D3*((1+E3)^15)</f>
        <v>21724.472497471659</v>
      </c>
    </row>
    <row r="4" spans="2:11" x14ac:dyDescent="0.25">
      <c r="C4" s="4" t="s">
        <v>1</v>
      </c>
      <c r="D4" s="4">
        <v>7500</v>
      </c>
      <c r="E4" s="5">
        <v>7.4999999999999997E-2</v>
      </c>
      <c r="F4" s="6">
        <v>15</v>
      </c>
      <c r="G4" s="4"/>
      <c r="H4" s="4">
        <f>D4*((1+E4)^15)</f>
        <v>22191.580146071185</v>
      </c>
    </row>
    <row r="7" spans="2:11" x14ac:dyDescent="0.25">
      <c r="B7" s="1">
        <v>2</v>
      </c>
      <c r="C7" s="2" t="s">
        <v>2</v>
      </c>
      <c r="D7" s="2">
        <v>10000</v>
      </c>
      <c r="E7" s="3">
        <v>5.5E-2</v>
      </c>
      <c r="H7" s="2">
        <f>D7*((1+E7))^8</f>
        <v>15346.865149961528</v>
      </c>
    </row>
    <row r="8" spans="2:11" x14ac:dyDescent="0.25">
      <c r="H8" s="2">
        <f>D7*((1+(E7/2)))^16</f>
        <v>15435.094358332508</v>
      </c>
      <c r="I8" s="2" t="s">
        <v>3</v>
      </c>
      <c r="J8" s="2">
        <f>H8-10000</f>
        <v>5435.0943583325079</v>
      </c>
      <c r="K8" s="2" t="s">
        <v>6</v>
      </c>
    </row>
    <row r="11" spans="2:11" x14ac:dyDescent="0.25">
      <c r="B11" s="7">
        <v>3</v>
      </c>
    </row>
    <row r="12" spans="2:11" x14ac:dyDescent="0.25">
      <c r="C12" s="2" t="s">
        <v>4</v>
      </c>
      <c r="D12" s="4">
        <v>18000</v>
      </c>
      <c r="E12" s="2" t="s">
        <v>5</v>
      </c>
      <c r="F12" s="2">
        <v>25000</v>
      </c>
    </row>
    <row r="13" spans="2:11" x14ac:dyDescent="0.25">
      <c r="C13" s="8">
        <v>0.35</v>
      </c>
      <c r="D13" s="4">
        <f>D12*0.35</f>
        <v>6300</v>
      </c>
      <c r="E13" s="8">
        <v>0.55000000000000004</v>
      </c>
      <c r="F13" s="2">
        <f>F12*0.55</f>
        <v>13750.000000000002</v>
      </c>
    </row>
    <row r="14" spans="2:11" x14ac:dyDescent="0.25">
      <c r="D14" s="4"/>
    </row>
    <row r="15" spans="2:11" x14ac:dyDescent="0.25">
      <c r="C15" s="2" t="s">
        <v>7</v>
      </c>
      <c r="D15" s="9">
        <f>PV(7%,3,0,-D13)</f>
        <v>5142.6766244123673</v>
      </c>
      <c r="E15" s="2" t="s">
        <v>7</v>
      </c>
      <c r="F15" s="10">
        <f>PV(7%,3,0,-F13)</f>
        <v>11224.095807249216</v>
      </c>
      <c r="H15" s="2" t="s">
        <v>8</v>
      </c>
    </row>
    <row r="16" spans="2:11" x14ac:dyDescent="0.25">
      <c r="D16" s="4"/>
      <c r="H16" s="2">
        <f>F17-D17</f>
        <v>918.58081716315246</v>
      </c>
    </row>
    <row r="17" spans="2:8" x14ac:dyDescent="0.25">
      <c r="D17" s="4">
        <f>D12-D15</f>
        <v>12857.323375587632</v>
      </c>
      <c r="F17" s="2">
        <f>F12-F15</f>
        <v>13775.904192750784</v>
      </c>
    </row>
    <row r="19" spans="2:8" x14ac:dyDescent="0.25">
      <c r="B19" s="1">
        <v>4</v>
      </c>
      <c r="C19" s="2" t="s">
        <v>9</v>
      </c>
    </row>
    <row r="20" spans="2:8" x14ac:dyDescent="0.25">
      <c r="D20" s="2" t="s">
        <v>10</v>
      </c>
      <c r="H20" s="11">
        <f>EFFECT(E21,12)</f>
        <v>7.2290080856235894E-2</v>
      </c>
    </row>
    <row r="21" spans="2:8" x14ac:dyDescent="0.25">
      <c r="D21" s="2" t="s">
        <v>11</v>
      </c>
      <c r="E21" s="12">
        <f>7%</f>
        <v>7.0000000000000007E-2</v>
      </c>
    </row>
    <row r="22" spans="2:8" x14ac:dyDescent="0.25">
      <c r="E22" s="2" t="s">
        <v>20</v>
      </c>
    </row>
    <row r="23" spans="2:8" x14ac:dyDescent="0.25">
      <c r="B23" s="1">
        <v>5</v>
      </c>
    </row>
    <row r="24" spans="2:8" x14ac:dyDescent="0.25">
      <c r="D24" s="2" t="s">
        <v>13</v>
      </c>
      <c r="E24" s="2">
        <v>240</v>
      </c>
      <c r="H24" s="9">
        <f>PV(E30,240,-5000)</f>
        <v>862128.84187686827</v>
      </c>
    </row>
    <row r="25" spans="2:8" x14ac:dyDescent="0.25">
      <c r="D25" s="2" t="s">
        <v>12</v>
      </c>
      <c r="E25" s="2">
        <v>5000</v>
      </c>
    </row>
    <row r="30" spans="2:8" x14ac:dyDescent="0.25">
      <c r="D30" s="2" t="s">
        <v>11</v>
      </c>
      <c r="E30" s="13">
        <f>3.5%/12</f>
        <v>2.9166666666666668E-3</v>
      </c>
      <c r="H30" s="9">
        <f>PMT(3.5%/12,120,-500000)</f>
        <v>4944.2933730951663</v>
      </c>
    </row>
    <row r="31" spans="2:8" x14ac:dyDescent="0.25">
      <c r="D31" s="2" t="s">
        <v>13</v>
      </c>
      <c r="E31" s="2">
        <v>120</v>
      </c>
    </row>
    <row r="33" spans="2:16" x14ac:dyDescent="0.25">
      <c r="B33" s="1">
        <v>6</v>
      </c>
      <c r="D33" s="2" t="s">
        <v>14</v>
      </c>
      <c r="E33" s="2">
        <v>1200</v>
      </c>
      <c r="F33" s="2">
        <f>E33*2%+E33</f>
        <v>1224</v>
      </c>
      <c r="G33" s="2">
        <f t="shared" ref="G33:N33" si="0">F33*2%+F33</f>
        <v>1248.48</v>
      </c>
      <c r="H33" s="2">
        <f t="shared" si="0"/>
        <v>1273.4495999999999</v>
      </c>
      <c r="I33" s="2">
        <f t="shared" si="0"/>
        <v>1298.918592</v>
      </c>
      <c r="J33" s="2">
        <f t="shared" si="0"/>
        <v>1324.8969638399999</v>
      </c>
      <c r="K33" s="2">
        <f t="shared" si="0"/>
        <v>1351.3949031167999</v>
      </c>
      <c r="L33" s="2">
        <f t="shared" si="0"/>
        <v>1378.4228011791358</v>
      </c>
      <c r="M33" s="2">
        <f t="shared" si="0"/>
        <v>1405.9912572027185</v>
      </c>
      <c r="N33" s="2">
        <f t="shared" si="0"/>
        <v>1434.1110823467729</v>
      </c>
      <c r="O33" s="2">
        <f>N33*1.25</f>
        <v>1792.6388529334663</v>
      </c>
    </row>
    <row r="34" spans="2:16" x14ac:dyDescent="0.25">
      <c r="D34" s="2" t="s">
        <v>18</v>
      </c>
      <c r="E34" s="8">
        <v>0.09</v>
      </c>
      <c r="F34" s="8">
        <v>0.09</v>
      </c>
      <c r="G34" s="8">
        <v>0.09</v>
      </c>
      <c r="H34" s="8">
        <v>0.09</v>
      </c>
      <c r="I34" s="8">
        <v>0.09</v>
      </c>
      <c r="J34" s="8">
        <v>0.09</v>
      </c>
      <c r="K34" s="8">
        <v>0.09</v>
      </c>
      <c r="L34" s="8">
        <v>0.09</v>
      </c>
      <c r="M34" s="8">
        <v>0.09</v>
      </c>
      <c r="N34" s="8">
        <v>0.09</v>
      </c>
      <c r="O34" s="8"/>
      <c r="P34" s="8"/>
    </row>
    <row r="35" spans="2:16" x14ac:dyDescent="0.25">
      <c r="D35" s="2" t="s">
        <v>15</v>
      </c>
      <c r="E35" s="14">
        <f>E34/12</f>
        <v>7.4999999999999997E-3</v>
      </c>
      <c r="F35" s="14">
        <f t="shared" ref="F35:N35" si="1">F34/12</f>
        <v>7.4999999999999997E-3</v>
      </c>
      <c r="G35" s="14">
        <f t="shared" si="1"/>
        <v>7.4999999999999997E-3</v>
      </c>
      <c r="H35" s="14">
        <f t="shared" si="1"/>
        <v>7.4999999999999997E-3</v>
      </c>
      <c r="I35" s="14">
        <f t="shared" si="1"/>
        <v>7.4999999999999997E-3</v>
      </c>
      <c r="J35" s="14">
        <f t="shared" si="1"/>
        <v>7.4999999999999997E-3</v>
      </c>
      <c r="K35" s="14">
        <f t="shared" si="1"/>
        <v>7.4999999999999997E-3</v>
      </c>
      <c r="L35" s="14">
        <f t="shared" si="1"/>
        <v>7.4999999999999997E-3</v>
      </c>
      <c r="M35" s="14">
        <f t="shared" si="1"/>
        <v>7.4999999999999997E-3</v>
      </c>
      <c r="N35" s="14">
        <f t="shared" si="1"/>
        <v>7.4999999999999997E-3</v>
      </c>
      <c r="O35" s="14"/>
      <c r="P35" s="14"/>
    </row>
    <row r="36" spans="2:16" x14ac:dyDescent="0.25">
      <c r="D36" s="2" t="s">
        <v>16</v>
      </c>
      <c r="E36" s="2">
        <v>12</v>
      </c>
      <c r="F36" s="2">
        <v>12</v>
      </c>
      <c r="G36" s="2">
        <v>12</v>
      </c>
      <c r="H36" s="2">
        <v>12</v>
      </c>
      <c r="I36" s="2">
        <v>12</v>
      </c>
      <c r="J36" s="2">
        <v>12</v>
      </c>
      <c r="K36" s="2">
        <v>12</v>
      </c>
      <c r="L36" s="2">
        <v>12</v>
      </c>
      <c r="M36" s="2">
        <v>12</v>
      </c>
      <c r="N36" s="2">
        <v>12</v>
      </c>
    </row>
    <row r="37" spans="2:16" x14ac:dyDescent="0.25">
      <c r="D37" s="2" t="s">
        <v>17</v>
      </c>
      <c r="E37" s="2">
        <v>12</v>
      </c>
      <c r="F37" s="2">
        <f>E37+12</f>
        <v>24</v>
      </c>
      <c r="G37" s="2">
        <f t="shared" ref="G37:N37" si="2">F37+12</f>
        <v>36</v>
      </c>
      <c r="H37" s="2">
        <f t="shared" si="2"/>
        <v>48</v>
      </c>
      <c r="I37" s="2">
        <f t="shared" si="2"/>
        <v>60</v>
      </c>
      <c r="J37" s="2">
        <f t="shared" si="2"/>
        <v>72</v>
      </c>
      <c r="K37" s="2">
        <f t="shared" si="2"/>
        <v>84</v>
      </c>
      <c r="L37" s="2">
        <f t="shared" si="2"/>
        <v>96</v>
      </c>
      <c r="M37" s="2">
        <f t="shared" si="2"/>
        <v>108</v>
      </c>
      <c r="N37" s="2">
        <f t="shared" si="2"/>
        <v>120</v>
      </c>
    </row>
    <row r="39" spans="2:16" x14ac:dyDescent="0.25">
      <c r="D39" s="2" t="s">
        <v>7</v>
      </c>
      <c r="E39" s="10">
        <f>PV(E35,E36,-E33,,)</f>
        <v>13721.895207751928</v>
      </c>
      <c r="F39" s="10">
        <f t="shared" ref="F39:N39" si="3">PV(F35,F36,-F33,,)</f>
        <v>13996.333111906966</v>
      </c>
      <c r="G39" s="10">
        <f t="shared" si="3"/>
        <v>14276.259774145106</v>
      </c>
      <c r="H39" s="10">
        <f t="shared" si="3"/>
        <v>14561.784969628008</v>
      </c>
      <c r="I39" s="10">
        <f t="shared" si="3"/>
        <v>14853.020669020569</v>
      </c>
      <c r="J39" s="10">
        <f t="shared" si="3"/>
        <v>15150.08108240098</v>
      </c>
      <c r="K39" s="10">
        <f t="shared" si="3"/>
        <v>15453.082704049</v>
      </c>
      <c r="L39" s="10">
        <f t="shared" si="3"/>
        <v>15762.144358129979</v>
      </c>
      <c r="M39" s="10">
        <f t="shared" si="3"/>
        <v>16077.387245292577</v>
      </c>
      <c r="N39" s="10">
        <f t="shared" si="3"/>
        <v>16398.934990198431</v>
      </c>
      <c r="O39" s="2">
        <f>O33/N35</f>
        <v>239018.51372446219</v>
      </c>
      <c r="P39" s="2" t="s">
        <v>21</v>
      </c>
    </row>
    <row r="40" spans="2:16" x14ac:dyDescent="0.25">
      <c r="E40" s="10">
        <f>E39</f>
        <v>13721.895207751928</v>
      </c>
      <c r="F40" s="2">
        <f>F39*(1+F35)^-(F37-F36)</f>
        <v>12795.981760317118</v>
      </c>
      <c r="G40" s="2">
        <f t="shared" ref="G40:N40" si="4">G39*(1+G35)^-(G37-G36)</f>
        <v>11932.546250452937</v>
      </c>
      <c r="H40" s="2">
        <f t="shared" si="4"/>
        <v>11127.372849245898</v>
      </c>
      <c r="I40" s="2">
        <f t="shared" si="4"/>
        <v>10376.530199615599</v>
      </c>
      <c r="J40" s="2">
        <f t="shared" si="4"/>
        <v>9676.35222098552</v>
      </c>
      <c r="K40" s="2">
        <f t="shared" si="4"/>
        <v>9023.4202091986444</v>
      </c>
      <c r="L40" s="2">
        <f t="shared" si="4"/>
        <v>8414.5461442785072</v>
      </c>
      <c r="M40" s="2">
        <f t="shared" si="4"/>
        <v>7846.757124533865</v>
      </c>
      <c r="N40" s="2">
        <f t="shared" si="4"/>
        <v>7317.2808510045097</v>
      </c>
      <c r="O40" s="2">
        <f>O39*(1+N35)^-120</f>
        <v>97504.568329678426</v>
      </c>
    </row>
    <row r="43" spans="2:16" x14ac:dyDescent="0.25">
      <c r="D43" s="2" t="s">
        <v>19</v>
      </c>
      <c r="E43" s="10">
        <f>SUM(E40:O40)</f>
        <v>199737.25114706295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Sergio Garcia</cp:lastModifiedBy>
  <dcterms:created xsi:type="dcterms:W3CDTF">2017-09-25T16:04:49Z</dcterms:created>
  <dcterms:modified xsi:type="dcterms:W3CDTF">2017-10-02T03:17:03Z</dcterms:modified>
</cp:coreProperties>
</file>