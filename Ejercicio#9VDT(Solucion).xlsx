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\Documents\Gaby\UFM\Financiera I\Financiera I 2017\03 Ejercicios\"/>
    </mc:Choice>
  </mc:AlternateContent>
  <bookViews>
    <workbookView xWindow="0" yWindow="0" windowWidth="20490" windowHeight="6465"/>
  </bookViews>
  <sheets>
    <sheet name="Ejercicio #9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5" i="1" l="1"/>
  <c r="D97" i="1" s="1"/>
  <c r="D93" i="1"/>
  <c r="E89" i="1"/>
  <c r="D89" i="1"/>
  <c r="D81" i="1"/>
  <c r="D83" i="1" s="1"/>
  <c r="E72" i="1"/>
  <c r="D71" i="1"/>
  <c r="D72" i="1" s="1"/>
  <c r="D74" i="1" s="1"/>
  <c r="D66" i="1"/>
  <c r="D65" i="1"/>
  <c r="D63" i="1"/>
  <c r="D58" i="1"/>
  <c r="D43" i="1"/>
  <c r="J40" i="1"/>
  <c r="I40" i="1"/>
  <c r="W39" i="1"/>
  <c r="S39" i="1"/>
  <c r="K39" i="1"/>
  <c r="J39" i="1"/>
  <c r="I39" i="1"/>
  <c r="U38" i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T38" i="1"/>
  <c r="F35" i="1"/>
  <c r="D34" i="1"/>
  <c r="D32" i="1"/>
  <c r="D30" i="1"/>
  <c r="L28" i="1"/>
  <c r="I28" i="1"/>
  <c r="J28" i="1" s="1"/>
  <c r="F25" i="1"/>
  <c r="E25" i="1"/>
  <c r="G25" i="1" s="1"/>
  <c r="D24" i="1"/>
  <c r="D22" i="1"/>
  <c r="D20" i="1"/>
  <c r="H19" i="1"/>
  <c r="L18" i="1"/>
  <c r="I18" i="1"/>
  <c r="J18" i="1" s="1"/>
  <c r="G14" i="1"/>
  <c r="E13" i="1"/>
  <c r="G13" i="1" s="1"/>
  <c r="D12" i="1"/>
  <c r="F13" i="1" s="1"/>
  <c r="D10" i="1"/>
  <c r="L9" i="1"/>
  <c r="J9" i="1"/>
  <c r="I9" i="1"/>
  <c r="I8" i="1"/>
  <c r="J8" i="1" s="1"/>
  <c r="E6" i="1"/>
  <c r="E5" i="1"/>
  <c r="H3" i="1"/>
  <c r="I2" i="1"/>
  <c r="J2" i="1" s="1"/>
  <c r="K2" i="1" s="1"/>
  <c r="L2" i="1" s="1"/>
  <c r="M2" i="1" s="1"/>
  <c r="G26" i="1" l="1"/>
  <c r="AD39" i="1"/>
  <c r="Z39" i="1"/>
  <c r="V39" i="1"/>
  <c r="AC39" i="1"/>
  <c r="Y39" i="1"/>
  <c r="U39" i="1"/>
  <c r="AB39" i="1"/>
  <c r="X39" i="1"/>
  <c r="T39" i="1"/>
  <c r="G36" i="1"/>
  <c r="J49" i="1"/>
  <c r="AA39" i="1"/>
  <c r="J43" i="1"/>
  <c r="N43" i="1" s="1"/>
  <c r="N49" i="1"/>
  <c r="E35" i="1"/>
  <c r="G35" i="1" s="1"/>
  <c r="H29" i="1"/>
  <c r="K40" i="1"/>
  <c r="L39" i="1"/>
  <c r="L40" i="1" l="1"/>
  <c r="M39" i="1"/>
  <c r="AP39" i="1"/>
  <c r="AL39" i="1"/>
  <c r="AH39" i="1"/>
  <c r="AO39" i="1"/>
  <c r="AK39" i="1"/>
  <c r="AG39" i="1"/>
  <c r="AN39" i="1"/>
  <c r="AJ39" i="1"/>
  <c r="AF39" i="1"/>
  <c r="AE39" i="1"/>
  <c r="AI39" i="1"/>
  <c r="AM39" i="1"/>
  <c r="N39" i="1" l="1"/>
  <c r="N40" i="1" s="1"/>
  <c r="M40" i="1"/>
  <c r="L44" i="1"/>
  <c r="N44" i="1" s="1"/>
  <c r="L50" i="1"/>
  <c r="N50" i="1" s="1"/>
  <c r="BB39" i="1" l="1"/>
  <c r="AX39" i="1"/>
  <c r="AT39" i="1"/>
  <c r="BA39" i="1"/>
  <c r="AW39" i="1"/>
  <c r="AS39" i="1"/>
  <c r="AZ39" i="1"/>
  <c r="AV39" i="1"/>
  <c r="AR39" i="1"/>
  <c r="AU39" i="1"/>
  <c r="AQ39" i="1"/>
  <c r="AY39" i="1"/>
  <c r="N45" i="1"/>
  <c r="N46" i="1" s="1"/>
  <c r="N51" i="1"/>
  <c r="N52" i="1" s="1"/>
  <c r="R40" i="1" l="1"/>
  <c r="R41" i="1" s="1"/>
</calcChain>
</file>

<file path=xl/sharedStrings.xml><?xml version="1.0" encoding="utf-8"?>
<sst xmlns="http://schemas.openxmlformats.org/spreadsheetml/2006/main" count="99" uniqueCount="47">
  <si>
    <t>VP</t>
  </si>
  <si>
    <t>r</t>
  </si>
  <si>
    <t>VF?</t>
  </si>
  <si>
    <t>n</t>
  </si>
  <si>
    <t>VF</t>
  </si>
  <si>
    <t>?</t>
  </si>
  <si>
    <t>Con fórmula de Excel</t>
  </si>
  <si>
    <t>Pago mensual</t>
  </si>
  <si>
    <t>…</t>
  </si>
  <si>
    <t>n años</t>
  </si>
  <si>
    <t>VP?</t>
  </si>
  <si>
    <t>n meses</t>
  </si>
  <si>
    <t>tasa anual</t>
  </si>
  <si>
    <t>tasa mensual</t>
  </si>
  <si>
    <t>NO</t>
  </si>
  <si>
    <t>Precio apto</t>
  </si>
  <si>
    <t>Enganche</t>
  </si>
  <si>
    <t>Monto préstamo</t>
  </si>
  <si>
    <t>Tasa anual</t>
  </si>
  <si>
    <t>Tasa mensual</t>
  </si>
  <si>
    <t>Pago meses</t>
  </si>
  <si>
    <t>Sueldo inicial mensual</t>
  </si>
  <si>
    <t>Incremento anual</t>
  </si>
  <si>
    <t>Sueldo</t>
  </si>
  <si>
    <t>Tasa de ahorro</t>
  </si>
  <si>
    <t>Ahorro</t>
  </si>
  <si>
    <t>Fórmula NPV</t>
  </si>
  <si>
    <t>VF en mes 36</t>
  </si>
  <si>
    <t>VF12</t>
  </si>
  <si>
    <t>VF36</t>
  </si>
  <si>
    <t>VF24</t>
  </si>
  <si>
    <t>Valor presente</t>
  </si>
  <si>
    <t>años</t>
  </si>
  <si>
    <t>tasa trimestral</t>
  </si>
  <si>
    <t>periodos trimestres</t>
  </si>
  <si>
    <t>TAE</t>
  </si>
  <si>
    <t>Pago</t>
  </si>
  <si>
    <t>tasa</t>
  </si>
  <si>
    <t>g</t>
  </si>
  <si>
    <t>a</t>
  </si>
  <si>
    <t>Perpetuidad</t>
  </si>
  <si>
    <t># acciones</t>
  </si>
  <si>
    <t>Valor de la inversión</t>
  </si>
  <si>
    <t>b</t>
  </si>
  <si>
    <t>Dividendo min. X acción</t>
  </si>
  <si>
    <t>semestres</t>
  </si>
  <si>
    <t>tasa 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</si>
</sst>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Q&quot;#,##0.00;[Red]\-&quot;Q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4" fontId="2" fillId="2" borderId="0" xfId="0" applyNumberFormat="1" applyFont="1" applyFill="1"/>
    <xf numFmtId="8" fontId="1" fillId="0" borderId="0" xfId="0" applyNumberFormat="1" applyFont="1"/>
    <xf numFmtId="10" fontId="1" fillId="0" borderId="0" xfId="0" applyNumberFormat="1" applyFont="1"/>
    <xf numFmtId="8" fontId="2" fillId="3" borderId="0" xfId="0" applyNumberFormat="1" applyFont="1" applyFill="1"/>
    <xf numFmtId="0" fontId="1" fillId="2" borderId="0" xfId="0" applyFont="1" applyFill="1"/>
    <xf numFmtId="0" fontId="3" fillId="0" borderId="0" xfId="0" applyFont="1"/>
    <xf numFmtId="4" fontId="2" fillId="0" borderId="0" xfId="0" applyNumberFormat="1" applyFont="1"/>
    <xf numFmtId="4" fontId="2" fillId="3" borderId="0" xfId="0" applyNumberFormat="1" applyFont="1" applyFill="1"/>
    <xf numFmtId="0" fontId="2" fillId="3" borderId="0" xfId="0" applyFont="1" applyFill="1"/>
    <xf numFmtId="2" fontId="2" fillId="3" borderId="0" xfId="0" applyNumberFormat="1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97"/>
  <sheetViews>
    <sheetView tabSelected="1" topLeftCell="A87" zoomScale="120" zoomScaleNormal="120" workbookViewId="0">
      <selection activeCell="C100" sqref="C100"/>
    </sheetView>
  </sheetViews>
  <sheetFormatPr defaultRowHeight="16.5" x14ac:dyDescent="0.3"/>
  <cols>
    <col min="1" max="2" width="9.140625" style="1"/>
    <col min="3" max="3" width="26.28515625" style="1" customWidth="1"/>
    <col min="4" max="4" width="14.140625" style="1" customWidth="1"/>
    <col min="5" max="5" width="12.85546875" style="1" customWidth="1"/>
    <col min="6" max="6" width="14.5703125" style="1" bestFit="1" customWidth="1"/>
    <col min="7" max="7" width="15.85546875" style="1" customWidth="1"/>
    <col min="8" max="8" width="14.5703125" style="1" bestFit="1" customWidth="1"/>
    <col min="9" max="9" width="10.28515625" style="1" bestFit="1" customWidth="1"/>
    <col min="10" max="10" width="12.7109375" style="1" bestFit="1" customWidth="1"/>
    <col min="11" max="11" width="10.140625" style="1" bestFit="1" customWidth="1"/>
    <col min="12" max="12" width="11.28515625" style="1" bestFit="1" customWidth="1"/>
    <col min="13" max="13" width="10.140625" style="1" bestFit="1" customWidth="1"/>
    <col min="14" max="14" width="13.85546875" style="1" customWidth="1"/>
    <col min="15" max="15" width="11.85546875" style="1" bestFit="1" customWidth="1"/>
    <col min="16" max="17" width="9.140625" style="1"/>
    <col min="18" max="18" width="13.7109375" style="1" bestFit="1" customWidth="1"/>
    <col min="19" max="16384" width="9.140625" style="1"/>
  </cols>
  <sheetData>
    <row r="2" spans="1:13" x14ac:dyDescent="0.3">
      <c r="A2" s="1">
        <v>1</v>
      </c>
      <c r="C2" s="1" t="s">
        <v>0</v>
      </c>
      <c r="D2" s="2">
        <v>250000</v>
      </c>
      <c r="H2" s="1">
        <v>0</v>
      </c>
      <c r="I2" s="1">
        <f>H2+1</f>
        <v>1</v>
      </c>
      <c r="J2" s="1">
        <f t="shared" ref="J2:M2" si="0">I2+1</f>
        <v>2</v>
      </c>
      <c r="K2" s="1">
        <f t="shared" si="0"/>
        <v>3</v>
      </c>
      <c r="L2" s="1">
        <f t="shared" si="0"/>
        <v>4</v>
      </c>
      <c r="M2" s="1">
        <f t="shared" si="0"/>
        <v>5</v>
      </c>
    </row>
    <row r="3" spans="1:13" x14ac:dyDescent="0.3">
      <c r="C3" s="1" t="s">
        <v>1</v>
      </c>
      <c r="D3" s="3">
        <v>0.05</v>
      </c>
      <c r="H3" s="2">
        <f>D2</f>
        <v>250000</v>
      </c>
      <c r="M3" s="1" t="s">
        <v>2</v>
      </c>
    </row>
    <row r="4" spans="1:13" x14ac:dyDescent="0.3">
      <c r="C4" s="1" t="s">
        <v>3</v>
      </c>
      <c r="D4" s="1">
        <v>5</v>
      </c>
    </row>
    <row r="5" spans="1:13" x14ac:dyDescent="0.3">
      <c r="C5" s="4" t="s">
        <v>4</v>
      </c>
      <c r="D5" s="4" t="s">
        <v>5</v>
      </c>
      <c r="E5" s="5">
        <f>D2*(1+D3)^D4</f>
        <v>319070.39062500006</v>
      </c>
      <c r="F5" s="6"/>
      <c r="G5" s="3"/>
    </row>
    <row r="6" spans="1:13" x14ac:dyDescent="0.3">
      <c r="C6" s="4" t="s">
        <v>6</v>
      </c>
      <c r="D6" s="4"/>
      <c r="E6" s="5">
        <f>FV(D3,D4,0,-D2)</f>
        <v>319070.39062500006</v>
      </c>
      <c r="F6" s="6"/>
      <c r="G6" s="3"/>
    </row>
    <row r="8" spans="1:13" x14ac:dyDescent="0.3">
      <c r="A8" s="1">
        <v>2</v>
      </c>
      <c r="C8" s="1" t="s">
        <v>7</v>
      </c>
      <c r="D8" s="2">
        <v>1300</v>
      </c>
      <c r="H8" s="1">
        <v>0</v>
      </c>
      <c r="I8" s="1">
        <f>H8+1</f>
        <v>1</v>
      </c>
      <c r="J8" s="1">
        <f t="shared" ref="J8" si="1">I8+1</f>
        <v>2</v>
      </c>
      <c r="K8" s="1" t="s">
        <v>8</v>
      </c>
      <c r="L8" s="1">
        <v>600</v>
      </c>
    </row>
    <row r="9" spans="1:13" x14ac:dyDescent="0.3">
      <c r="C9" s="1" t="s">
        <v>9</v>
      </c>
      <c r="D9" s="1">
        <v>50</v>
      </c>
      <c r="H9" s="1" t="s">
        <v>10</v>
      </c>
      <c r="I9" s="2">
        <f>$D$8</f>
        <v>1300</v>
      </c>
      <c r="J9" s="2">
        <f>$D$8</f>
        <v>1300</v>
      </c>
      <c r="L9" s="2">
        <f>$D$8</f>
        <v>1300</v>
      </c>
    </row>
    <row r="10" spans="1:13" x14ac:dyDescent="0.3">
      <c r="C10" s="1" t="s">
        <v>11</v>
      </c>
      <c r="D10" s="1">
        <f>D9*12</f>
        <v>600</v>
      </c>
    </row>
    <row r="11" spans="1:13" x14ac:dyDescent="0.3">
      <c r="C11" s="1" t="s">
        <v>12</v>
      </c>
      <c r="D11" s="3">
        <v>0.1</v>
      </c>
    </row>
    <row r="12" spans="1:13" x14ac:dyDescent="0.3">
      <c r="C12" s="1" t="s">
        <v>13</v>
      </c>
      <c r="D12" s="7">
        <f>D11/12</f>
        <v>8.3333333333333332E-3</v>
      </c>
    </row>
    <row r="13" spans="1:13" x14ac:dyDescent="0.3">
      <c r="C13" s="4" t="s">
        <v>0</v>
      </c>
      <c r="D13" s="4" t="s">
        <v>5</v>
      </c>
      <c r="E13" s="2">
        <f>D8</f>
        <v>1300</v>
      </c>
      <c r="F13" s="1">
        <f>(1-(1+D12)^-D10)/D12</f>
        <v>119.17451975431959</v>
      </c>
      <c r="G13" s="5">
        <f>E13*F13</f>
        <v>154926.87568061546</v>
      </c>
    </row>
    <row r="14" spans="1:13" x14ac:dyDescent="0.3">
      <c r="C14" s="4" t="s">
        <v>6</v>
      </c>
      <c r="D14" s="4"/>
      <c r="E14" s="2"/>
      <c r="G14" s="8">
        <f>PV(D12,D10,D8)</f>
        <v>-154926.87568061549</v>
      </c>
      <c r="H14" s="6"/>
    </row>
    <row r="15" spans="1:13" x14ac:dyDescent="0.3">
      <c r="G15" s="9" t="s">
        <v>14</v>
      </c>
    </row>
    <row r="18" spans="1:12" x14ac:dyDescent="0.3">
      <c r="A18" s="1">
        <v>3</v>
      </c>
      <c r="C18" s="1" t="s">
        <v>15</v>
      </c>
      <c r="D18" s="2">
        <v>150000</v>
      </c>
      <c r="H18" s="1">
        <v>0</v>
      </c>
      <c r="I18" s="1">
        <f>H18+1</f>
        <v>1</v>
      </c>
      <c r="J18" s="1">
        <f t="shared" ref="J18" si="2">I18+1</f>
        <v>2</v>
      </c>
      <c r="K18" s="1" t="s">
        <v>8</v>
      </c>
      <c r="L18" s="2">
        <f>D24</f>
        <v>120</v>
      </c>
    </row>
    <row r="19" spans="1:12" x14ac:dyDescent="0.3">
      <c r="C19" s="1" t="s">
        <v>16</v>
      </c>
      <c r="D19" s="3">
        <v>0.25</v>
      </c>
      <c r="H19" s="2">
        <f>D20</f>
        <v>112500</v>
      </c>
      <c r="I19" s="2" t="s">
        <v>5</v>
      </c>
      <c r="J19" s="2" t="s">
        <v>5</v>
      </c>
      <c r="L19" s="2" t="s">
        <v>5</v>
      </c>
    </row>
    <row r="20" spans="1:12" x14ac:dyDescent="0.3">
      <c r="C20" s="1" t="s">
        <v>17</v>
      </c>
      <c r="D20" s="2">
        <f>D18*(1-D19)</f>
        <v>112500</v>
      </c>
    </row>
    <row r="21" spans="1:12" x14ac:dyDescent="0.3">
      <c r="C21" s="1" t="s">
        <v>18</v>
      </c>
      <c r="D21" s="3">
        <v>0.08</v>
      </c>
    </row>
    <row r="22" spans="1:12" x14ac:dyDescent="0.3">
      <c r="C22" s="1" t="s">
        <v>19</v>
      </c>
      <c r="D22" s="7">
        <f>D21/12</f>
        <v>6.6666666666666671E-3</v>
      </c>
    </row>
    <row r="23" spans="1:12" x14ac:dyDescent="0.3">
      <c r="C23" s="1" t="s">
        <v>9</v>
      </c>
      <c r="D23" s="2">
        <v>10</v>
      </c>
    </row>
    <row r="24" spans="1:12" x14ac:dyDescent="0.3">
      <c r="C24" s="1" t="s">
        <v>11</v>
      </c>
      <c r="D24" s="2">
        <f>D23*12</f>
        <v>120</v>
      </c>
    </row>
    <row r="25" spans="1:12" x14ac:dyDescent="0.3">
      <c r="C25" s="4" t="s">
        <v>20</v>
      </c>
      <c r="D25" s="4" t="s">
        <v>5</v>
      </c>
      <c r="E25" s="2">
        <f>D20</f>
        <v>112500</v>
      </c>
      <c r="F25" s="1">
        <f>(1-(1+D22)^-D24)/D22</f>
        <v>82.421480893381101</v>
      </c>
      <c r="G25" s="5">
        <f>E25/F25</f>
        <v>1364.935436497773</v>
      </c>
    </row>
    <row r="26" spans="1:12" x14ac:dyDescent="0.3">
      <c r="C26" s="4" t="s">
        <v>6</v>
      </c>
      <c r="G26" s="8">
        <f>PMT(D22,D24,D20)</f>
        <v>-1364.9354364977653</v>
      </c>
    </row>
    <row r="28" spans="1:12" x14ac:dyDescent="0.3">
      <c r="C28" s="1" t="s">
        <v>15</v>
      </c>
      <c r="D28" s="2">
        <v>150000</v>
      </c>
      <c r="H28" s="1">
        <v>0</v>
      </c>
      <c r="I28" s="1">
        <f>H28+1</f>
        <v>1</v>
      </c>
      <c r="J28" s="1">
        <f t="shared" ref="J28" si="3">I28+1</f>
        <v>2</v>
      </c>
      <c r="K28" s="1" t="s">
        <v>8</v>
      </c>
      <c r="L28" s="2">
        <f>D34</f>
        <v>240</v>
      </c>
    </row>
    <row r="29" spans="1:12" x14ac:dyDescent="0.3">
      <c r="C29" s="1" t="s">
        <v>16</v>
      </c>
      <c r="D29" s="3">
        <v>0.25</v>
      </c>
      <c r="H29" s="2">
        <f>D30</f>
        <v>112500</v>
      </c>
      <c r="I29" s="2" t="s">
        <v>5</v>
      </c>
      <c r="J29" s="2" t="s">
        <v>5</v>
      </c>
      <c r="L29" s="2" t="s">
        <v>5</v>
      </c>
    </row>
    <row r="30" spans="1:12" x14ac:dyDescent="0.3">
      <c r="C30" s="1" t="s">
        <v>17</v>
      </c>
      <c r="D30" s="2">
        <f>D28*(1-D29)</f>
        <v>112500</v>
      </c>
    </row>
    <row r="31" spans="1:12" x14ac:dyDescent="0.3">
      <c r="C31" s="1" t="s">
        <v>18</v>
      </c>
      <c r="D31" s="3">
        <v>0.08</v>
      </c>
    </row>
    <row r="32" spans="1:12" x14ac:dyDescent="0.3">
      <c r="C32" s="1" t="s">
        <v>19</v>
      </c>
      <c r="D32" s="7">
        <f>D31/12</f>
        <v>6.6666666666666671E-3</v>
      </c>
    </row>
    <row r="33" spans="1:54" x14ac:dyDescent="0.3">
      <c r="C33" s="1" t="s">
        <v>9</v>
      </c>
      <c r="D33" s="2">
        <v>20</v>
      </c>
    </row>
    <row r="34" spans="1:54" x14ac:dyDescent="0.3">
      <c r="C34" s="1" t="s">
        <v>11</v>
      </c>
      <c r="D34" s="2">
        <f>D33*12</f>
        <v>240</v>
      </c>
    </row>
    <row r="35" spans="1:54" x14ac:dyDescent="0.3">
      <c r="C35" s="4" t="s">
        <v>20</v>
      </c>
      <c r="D35" s="4" t="s">
        <v>5</v>
      </c>
      <c r="E35" s="2">
        <f>D30</f>
        <v>112500</v>
      </c>
      <c r="F35" s="1">
        <f>(1-(1+D32)^-D34)/D32</f>
        <v>119.55429170237564</v>
      </c>
      <c r="G35" s="5">
        <f>E35/F35</f>
        <v>940.99507761764892</v>
      </c>
      <c r="H35" s="6"/>
    </row>
    <row r="36" spans="1:54" x14ac:dyDescent="0.3">
      <c r="C36" s="4" t="s">
        <v>6</v>
      </c>
      <c r="G36" s="8">
        <f>PMT(D32,D34,D30)</f>
        <v>-940.99507761764562</v>
      </c>
    </row>
    <row r="38" spans="1:54" x14ac:dyDescent="0.3">
      <c r="A38" s="1">
        <v>4</v>
      </c>
      <c r="C38" s="1" t="s">
        <v>21</v>
      </c>
      <c r="D38" s="2">
        <v>15000</v>
      </c>
      <c r="H38" s="1">
        <v>0</v>
      </c>
      <c r="I38" s="1">
        <v>1</v>
      </c>
      <c r="J38" s="1">
        <v>12</v>
      </c>
      <c r="K38" s="1">
        <v>13</v>
      </c>
      <c r="L38" s="1">
        <v>24</v>
      </c>
      <c r="M38" s="1">
        <v>25</v>
      </c>
      <c r="N38" s="1">
        <v>36</v>
      </c>
      <c r="R38" s="1">
        <v>0</v>
      </c>
      <c r="S38" s="1">
        <v>1</v>
      </c>
      <c r="T38" s="1">
        <f>S38+1</f>
        <v>2</v>
      </c>
      <c r="U38" s="1">
        <f t="shared" ref="U38:BB38" si="4">T38+1</f>
        <v>3</v>
      </c>
      <c r="V38" s="1">
        <f t="shared" si="4"/>
        <v>4</v>
      </c>
      <c r="W38" s="1">
        <f t="shared" si="4"/>
        <v>5</v>
      </c>
      <c r="X38" s="1">
        <f t="shared" si="4"/>
        <v>6</v>
      </c>
      <c r="Y38" s="1">
        <f t="shared" si="4"/>
        <v>7</v>
      </c>
      <c r="Z38" s="1">
        <f t="shared" si="4"/>
        <v>8</v>
      </c>
      <c r="AA38" s="1">
        <f t="shared" si="4"/>
        <v>9</v>
      </c>
      <c r="AB38" s="1">
        <f t="shared" si="4"/>
        <v>10</v>
      </c>
      <c r="AC38" s="1">
        <f t="shared" si="4"/>
        <v>11</v>
      </c>
      <c r="AD38" s="1">
        <f t="shared" si="4"/>
        <v>12</v>
      </c>
      <c r="AE38" s="1">
        <f t="shared" si="4"/>
        <v>13</v>
      </c>
      <c r="AF38" s="1">
        <f t="shared" si="4"/>
        <v>14</v>
      </c>
      <c r="AG38" s="1">
        <f t="shared" si="4"/>
        <v>15</v>
      </c>
      <c r="AH38" s="1">
        <f t="shared" si="4"/>
        <v>16</v>
      </c>
      <c r="AI38" s="1">
        <f t="shared" si="4"/>
        <v>17</v>
      </c>
      <c r="AJ38" s="1">
        <f t="shared" si="4"/>
        <v>18</v>
      </c>
      <c r="AK38" s="1">
        <f t="shared" si="4"/>
        <v>19</v>
      </c>
      <c r="AL38" s="1">
        <f t="shared" si="4"/>
        <v>20</v>
      </c>
      <c r="AM38" s="1">
        <f t="shared" si="4"/>
        <v>21</v>
      </c>
      <c r="AN38" s="1">
        <f t="shared" si="4"/>
        <v>22</v>
      </c>
      <c r="AO38" s="1">
        <f t="shared" si="4"/>
        <v>23</v>
      </c>
      <c r="AP38" s="1">
        <f t="shared" si="4"/>
        <v>24</v>
      </c>
      <c r="AQ38" s="1">
        <f t="shared" si="4"/>
        <v>25</v>
      </c>
      <c r="AR38" s="1">
        <f t="shared" si="4"/>
        <v>26</v>
      </c>
      <c r="AS38" s="1">
        <f t="shared" si="4"/>
        <v>27</v>
      </c>
      <c r="AT38" s="1">
        <f t="shared" si="4"/>
        <v>28</v>
      </c>
      <c r="AU38" s="1">
        <f t="shared" si="4"/>
        <v>29</v>
      </c>
      <c r="AV38" s="1">
        <f t="shared" si="4"/>
        <v>30</v>
      </c>
      <c r="AW38" s="1">
        <f t="shared" si="4"/>
        <v>31</v>
      </c>
      <c r="AX38" s="1">
        <f t="shared" si="4"/>
        <v>32</v>
      </c>
      <c r="AY38" s="1">
        <f t="shared" si="4"/>
        <v>33</v>
      </c>
      <c r="AZ38" s="1">
        <f t="shared" si="4"/>
        <v>34</v>
      </c>
      <c r="BA38" s="1">
        <f t="shared" si="4"/>
        <v>35</v>
      </c>
      <c r="BB38" s="1">
        <f t="shared" si="4"/>
        <v>36</v>
      </c>
    </row>
    <row r="39" spans="1:54" x14ac:dyDescent="0.3">
      <c r="C39" s="1" t="s">
        <v>22</v>
      </c>
      <c r="D39" s="3">
        <v>0.05</v>
      </c>
      <c r="G39" s="1" t="s">
        <v>23</v>
      </c>
      <c r="I39" s="2">
        <f>$D$38</f>
        <v>15000</v>
      </c>
      <c r="J39" s="2">
        <f>$D$38</f>
        <v>15000</v>
      </c>
      <c r="K39" s="2">
        <f>J39*(1+$D$39)</f>
        <v>15750</v>
      </c>
      <c r="L39" s="2">
        <f>K39</f>
        <v>15750</v>
      </c>
      <c r="M39" s="2">
        <f>L39*(1+D39)</f>
        <v>16537.5</v>
      </c>
      <c r="N39" s="2">
        <f>M39</f>
        <v>16537.5</v>
      </c>
      <c r="S39" s="2">
        <f>$I$40</f>
        <v>7500</v>
      </c>
      <c r="T39" s="2">
        <f t="shared" ref="T39:AD39" si="5">$I$40</f>
        <v>7500</v>
      </c>
      <c r="U39" s="2">
        <f t="shared" si="5"/>
        <v>7500</v>
      </c>
      <c r="V39" s="2">
        <f t="shared" si="5"/>
        <v>7500</v>
      </c>
      <c r="W39" s="2">
        <f t="shared" si="5"/>
        <v>7500</v>
      </c>
      <c r="X39" s="2">
        <f t="shared" si="5"/>
        <v>7500</v>
      </c>
      <c r="Y39" s="2">
        <f t="shared" si="5"/>
        <v>7500</v>
      </c>
      <c r="Z39" s="2">
        <f t="shared" si="5"/>
        <v>7500</v>
      </c>
      <c r="AA39" s="2">
        <f t="shared" si="5"/>
        <v>7500</v>
      </c>
      <c r="AB39" s="2">
        <f t="shared" si="5"/>
        <v>7500</v>
      </c>
      <c r="AC39" s="2">
        <f t="shared" si="5"/>
        <v>7500</v>
      </c>
      <c r="AD39" s="2">
        <f t="shared" si="5"/>
        <v>7500</v>
      </c>
      <c r="AE39" s="2">
        <f>$K$40</f>
        <v>7875</v>
      </c>
      <c r="AF39" s="2">
        <f t="shared" ref="AF39:AP39" si="6">$K$40</f>
        <v>7875</v>
      </c>
      <c r="AG39" s="2">
        <f t="shared" si="6"/>
        <v>7875</v>
      </c>
      <c r="AH39" s="2">
        <f t="shared" si="6"/>
        <v>7875</v>
      </c>
      <c r="AI39" s="2">
        <f t="shared" si="6"/>
        <v>7875</v>
      </c>
      <c r="AJ39" s="2">
        <f t="shared" si="6"/>
        <v>7875</v>
      </c>
      <c r="AK39" s="2">
        <f t="shared" si="6"/>
        <v>7875</v>
      </c>
      <c r="AL39" s="2">
        <f t="shared" si="6"/>
        <v>7875</v>
      </c>
      <c r="AM39" s="2">
        <f t="shared" si="6"/>
        <v>7875</v>
      </c>
      <c r="AN39" s="2">
        <f t="shared" si="6"/>
        <v>7875</v>
      </c>
      <c r="AO39" s="2">
        <f t="shared" si="6"/>
        <v>7875</v>
      </c>
      <c r="AP39" s="2">
        <f t="shared" si="6"/>
        <v>7875</v>
      </c>
      <c r="AQ39" s="2">
        <f>$M$40</f>
        <v>8268.75</v>
      </c>
      <c r="AR39" s="2">
        <f t="shared" ref="AR39:BB39" si="7">$M$40</f>
        <v>8268.75</v>
      </c>
      <c r="AS39" s="2">
        <f t="shared" si="7"/>
        <v>8268.75</v>
      </c>
      <c r="AT39" s="2">
        <f t="shared" si="7"/>
        <v>8268.75</v>
      </c>
      <c r="AU39" s="2">
        <f t="shared" si="7"/>
        <v>8268.75</v>
      </c>
      <c r="AV39" s="2">
        <f t="shared" si="7"/>
        <v>8268.75</v>
      </c>
      <c r="AW39" s="2">
        <f t="shared" si="7"/>
        <v>8268.75</v>
      </c>
      <c r="AX39" s="2">
        <f t="shared" si="7"/>
        <v>8268.75</v>
      </c>
      <c r="AY39" s="2">
        <f t="shared" si="7"/>
        <v>8268.75</v>
      </c>
      <c r="AZ39" s="2">
        <f t="shared" si="7"/>
        <v>8268.75</v>
      </c>
      <c r="BA39" s="2">
        <f t="shared" si="7"/>
        <v>8268.75</v>
      </c>
      <c r="BB39" s="2">
        <f t="shared" si="7"/>
        <v>8268.75</v>
      </c>
    </row>
    <row r="40" spans="1:54" x14ac:dyDescent="0.3">
      <c r="A40" s="10"/>
      <c r="C40" s="1" t="s">
        <v>24</v>
      </c>
      <c r="D40" s="3">
        <v>0.5</v>
      </c>
      <c r="G40" s="1" t="s">
        <v>25</v>
      </c>
      <c r="I40" s="2">
        <f>I39*$D$40</f>
        <v>7500</v>
      </c>
      <c r="J40" s="2">
        <f t="shared" ref="J40:N40" si="8">J39*$D$40</f>
        <v>7500</v>
      </c>
      <c r="K40" s="2">
        <f t="shared" si="8"/>
        <v>7875</v>
      </c>
      <c r="L40" s="2">
        <f t="shared" si="8"/>
        <v>7875</v>
      </c>
      <c r="M40" s="2">
        <f t="shared" si="8"/>
        <v>8268.75</v>
      </c>
      <c r="N40" s="2">
        <f t="shared" si="8"/>
        <v>8268.75</v>
      </c>
      <c r="P40" s="4" t="s">
        <v>26</v>
      </c>
      <c r="R40" s="11">
        <f>NPV(D43,S39:BB39)</f>
        <v>270744.38363912195</v>
      </c>
    </row>
    <row r="41" spans="1:54" x14ac:dyDescent="0.3">
      <c r="C41" s="1" t="s">
        <v>9</v>
      </c>
      <c r="D41" s="1">
        <v>3</v>
      </c>
      <c r="P41" s="4" t="s">
        <v>27</v>
      </c>
      <c r="R41" s="11">
        <f>R40*(1+D43)^S41</f>
        <v>296208.27217176667</v>
      </c>
      <c r="S41" s="1">
        <v>36</v>
      </c>
    </row>
    <row r="42" spans="1:54" x14ac:dyDescent="0.3">
      <c r="C42" s="1" t="s">
        <v>12</v>
      </c>
      <c r="D42" s="3">
        <v>0.03</v>
      </c>
    </row>
    <row r="43" spans="1:54" x14ac:dyDescent="0.3">
      <c r="C43" s="1" t="s">
        <v>13</v>
      </c>
      <c r="D43" s="7">
        <f>D42/12</f>
        <v>2.5000000000000001E-3</v>
      </c>
      <c r="I43" s="1" t="s">
        <v>28</v>
      </c>
      <c r="J43" s="2">
        <f>J40*((1+D43)^J48-1)/D43</f>
        <v>91247.8707405202</v>
      </c>
      <c r="M43" s="1" t="s">
        <v>29</v>
      </c>
      <c r="N43" s="2">
        <f>J43*(1+D43)^O43</f>
        <v>96883.069532653724</v>
      </c>
      <c r="O43" s="1">
        <v>24</v>
      </c>
    </row>
    <row r="44" spans="1:54" x14ac:dyDescent="0.3">
      <c r="K44" s="1" t="s">
        <v>30</v>
      </c>
      <c r="L44" s="2">
        <f>L40*((1+D43)^L48-1)/D43</f>
        <v>95810.264277546215</v>
      </c>
      <c r="M44" s="1" t="s">
        <v>29</v>
      </c>
      <c r="N44" s="2">
        <f>L44*(1+D43)^O44</f>
        <v>98724.425147683753</v>
      </c>
      <c r="O44" s="1">
        <v>12</v>
      </c>
      <c r="P44" s="4"/>
      <c r="R44" s="11"/>
    </row>
    <row r="45" spans="1:54" x14ac:dyDescent="0.3">
      <c r="M45" s="1" t="s">
        <v>29</v>
      </c>
      <c r="N45" s="2">
        <f>N40*((1+D43)^N48-1)/D43</f>
        <v>100600.77749142352</v>
      </c>
    </row>
    <row r="46" spans="1:54" x14ac:dyDescent="0.3">
      <c r="N46" s="12">
        <f>SUM(N43:N45)</f>
        <v>296208.27217176103</v>
      </c>
    </row>
    <row r="48" spans="1:54" x14ac:dyDescent="0.3">
      <c r="J48" s="1">
        <v>12</v>
      </c>
      <c r="L48" s="1">
        <v>12</v>
      </c>
      <c r="N48" s="1">
        <v>12</v>
      </c>
    </row>
    <row r="49" spans="1:15" x14ac:dyDescent="0.3">
      <c r="G49" s="4" t="s">
        <v>6</v>
      </c>
      <c r="I49" s="1" t="s">
        <v>28</v>
      </c>
      <c r="J49" s="2">
        <f>FV(D43,J48,-J40)</f>
        <v>91247.870740520215</v>
      </c>
      <c r="N49" s="2">
        <f>FV(D43,O49,0,-J49)</f>
        <v>96883.069532653739</v>
      </c>
      <c r="O49" s="1">
        <v>24</v>
      </c>
    </row>
    <row r="50" spans="1:15" x14ac:dyDescent="0.3">
      <c r="G50" s="4"/>
      <c r="J50" s="2"/>
      <c r="K50" s="1" t="s">
        <v>30</v>
      </c>
      <c r="L50" s="2">
        <f>FV(D43,L48,-L40)</f>
        <v>95810.264277546215</v>
      </c>
      <c r="N50" s="2">
        <f>FV(D43,O50,0,-L50)</f>
        <v>98724.425147683753</v>
      </c>
      <c r="O50" s="1">
        <v>12</v>
      </c>
    </row>
    <row r="51" spans="1:15" x14ac:dyDescent="0.3">
      <c r="G51" s="4"/>
      <c r="J51" s="2"/>
      <c r="L51" s="2"/>
      <c r="M51" s="1" t="s">
        <v>29</v>
      </c>
      <c r="N51" s="2">
        <f>FV(D43,N48,-N40)</f>
        <v>100600.77749142353</v>
      </c>
    </row>
    <row r="52" spans="1:15" x14ac:dyDescent="0.3">
      <c r="N52" s="12">
        <f>SUM(N49:N51)</f>
        <v>296208.27217176103</v>
      </c>
    </row>
    <row r="53" spans="1:15" x14ac:dyDescent="0.3">
      <c r="C53" s="4"/>
      <c r="N53" s="2"/>
    </row>
    <row r="54" spans="1:15" x14ac:dyDescent="0.3">
      <c r="C54" s="4"/>
      <c r="J54" s="2"/>
      <c r="L54" s="2"/>
      <c r="N54" s="2"/>
      <c r="O54" s="2"/>
    </row>
    <row r="55" spans="1:15" x14ac:dyDescent="0.3">
      <c r="A55" s="1">
        <v>5</v>
      </c>
      <c r="C55" s="1" t="s">
        <v>31</v>
      </c>
      <c r="D55" s="1">
        <v>500</v>
      </c>
    </row>
    <row r="56" spans="1:15" x14ac:dyDescent="0.3">
      <c r="C56" s="1" t="s">
        <v>12</v>
      </c>
      <c r="D56" s="3">
        <v>0.12</v>
      </c>
    </row>
    <row r="57" spans="1:15" x14ac:dyDescent="0.3">
      <c r="C57" s="1" t="s">
        <v>32</v>
      </c>
      <c r="D57" s="1">
        <v>40</v>
      </c>
    </row>
    <row r="58" spans="1:15" x14ac:dyDescent="0.3">
      <c r="C58" s="4" t="s">
        <v>4</v>
      </c>
      <c r="D58" s="12">
        <f>D55*(1+D56)^D57</f>
        <v>46525.485220681978</v>
      </c>
    </row>
    <row r="61" spans="1:15" x14ac:dyDescent="0.3">
      <c r="A61" s="1">
        <v>6</v>
      </c>
      <c r="C61" s="1" t="s">
        <v>31</v>
      </c>
      <c r="D61" s="1">
        <v>500</v>
      </c>
    </row>
    <row r="62" spans="1:15" x14ac:dyDescent="0.3">
      <c r="C62" s="1" t="s">
        <v>12</v>
      </c>
      <c r="D62" s="3">
        <v>0.12</v>
      </c>
    </row>
    <row r="63" spans="1:15" x14ac:dyDescent="0.3">
      <c r="C63" s="1" t="s">
        <v>33</v>
      </c>
      <c r="D63" s="3">
        <f>D62/4</f>
        <v>0.03</v>
      </c>
    </row>
    <row r="64" spans="1:15" x14ac:dyDescent="0.3">
      <c r="C64" s="1" t="s">
        <v>32</v>
      </c>
      <c r="D64" s="1">
        <v>40</v>
      </c>
    </row>
    <row r="65" spans="2:5" x14ac:dyDescent="0.3">
      <c r="C65" s="1" t="s">
        <v>34</v>
      </c>
      <c r="D65" s="1">
        <f>D64*4</f>
        <v>160</v>
      </c>
    </row>
    <row r="66" spans="2:5" x14ac:dyDescent="0.3">
      <c r="C66" s="4" t="s">
        <v>4</v>
      </c>
      <c r="D66" s="12">
        <f>D61*(1+D63)^D65</f>
        <v>56614.275916962506</v>
      </c>
    </row>
    <row r="69" spans="2:5" x14ac:dyDescent="0.3">
      <c r="C69" s="1" t="s">
        <v>31</v>
      </c>
      <c r="D69" s="1">
        <v>500</v>
      </c>
    </row>
    <row r="70" spans="2:5" x14ac:dyDescent="0.3">
      <c r="C70" s="1" t="s">
        <v>12</v>
      </c>
      <c r="D70" s="3">
        <v>0.12</v>
      </c>
    </row>
    <row r="71" spans="2:5" x14ac:dyDescent="0.3">
      <c r="C71" s="1" t="s">
        <v>33</v>
      </c>
      <c r="D71" s="3">
        <f>D70/4</f>
        <v>0.03</v>
      </c>
    </row>
    <row r="72" spans="2:5" x14ac:dyDescent="0.3">
      <c r="C72" s="1" t="s">
        <v>35</v>
      </c>
      <c r="D72" s="7">
        <f>(1+D71)^4-1</f>
        <v>0.12550880999999992</v>
      </c>
      <c r="E72" s="1">
        <f>EFFECT(D70,4)</f>
        <v>0.12550880999999992</v>
      </c>
    </row>
    <row r="73" spans="2:5" x14ac:dyDescent="0.3">
      <c r="C73" s="1" t="s">
        <v>32</v>
      </c>
      <c r="D73" s="1">
        <v>40</v>
      </c>
    </row>
    <row r="74" spans="2:5" x14ac:dyDescent="0.3">
      <c r="C74" s="4" t="s">
        <v>4</v>
      </c>
      <c r="D74" s="12">
        <f>D69*(1+D72)^D73</f>
        <v>56614.275916962506</v>
      </c>
    </row>
    <row r="77" spans="2:5" x14ac:dyDescent="0.3">
      <c r="B77" s="1">
        <v>7</v>
      </c>
      <c r="C77" s="1" t="s">
        <v>36</v>
      </c>
      <c r="D77" s="1">
        <v>2.0499999999999998</v>
      </c>
    </row>
    <row r="78" spans="2:5" x14ac:dyDescent="0.3">
      <c r="C78" s="1" t="s">
        <v>37</v>
      </c>
      <c r="D78" s="3">
        <v>0.12</v>
      </c>
    </row>
    <row r="79" spans="2:5" x14ac:dyDescent="0.3">
      <c r="C79" s="1" t="s">
        <v>38</v>
      </c>
      <c r="D79" s="3">
        <v>0.02</v>
      </c>
    </row>
    <row r="81" spans="2:5" x14ac:dyDescent="0.3">
      <c r="B81" s="1" t="s">
        <v>39</v>
      </c>
      <c r="C81" s="1" t="s">
        <v>40</v>
      </c>
      <c r="D81" s="1">
        <f>D77/(D78-D79)</f>
        <v>20.5</v>
      </c>
    </row>
    <row r="82" spans="2:5" x14ac:dyDescent="0.3">
      <c r="C82" s="1" t="s">
        <v>41</v>
      </c>
      <c r="D82" s="1">
        <v>200</v>
      </c>
    </row>
    <row r="83" spans="2:5" x14ac:dyDescent="0.3">
      <c r="C83" s="13" t="s">
        <v>42</v>
      </c>
      <c r="D83" s="12">
        <f>D81*D82</f>
        <v>4100</v>
      </c>
    </row>
    <row r="86" spans="2:5" x14ac:dyDescent="0.3">
      <c r="B86" s="1" t="s">
        <v>43</v>
      </c>
      <c r="C86" s="1" t="s">
        <v>0</v>
      </c>
      <c r="D86" s="1">
        <v>30</v>
      </c>
    </row>
    <row r="87" spans="2:5" x14ac:dyDescent="0.3">
      <c r="C87" s="1" t="s">
        <v>1</v>
      </c>
      <c r="D87" s="3">
        <v>0.12</v>
      </c>
    </row>
    <row r="88" spans="2:5" x14ac:dyDescent="0.3">
      <c r="C88" s="1" t="s">
        <v>38</v>
      </c>
      <c r="D88" s="3">
        <v>0.02</v>
      </c>
    </row>
    <row r="89" spans="2:5" x14ac:dyDescent="0.3">
      <c r="C89" s="13" t="s">
        <v>44</v>
      </c>
      <c r="D89" s="14">
        <f>D86*(D87-D88)</f>
        <v>2.9999999999999996</v>
      </c>
      <c r="E89" s="1">
        <f>D89*200</f>
        <v>599.99999999999989</v>
      </c>
    </row>
    <row r="92" spans="2:5" x14ac:dyDescent="0.3">
      <c r="B92" s="1">
        <v>8</v>
      </c>
      <c r="C92" s="1" t="s">
        <v>32</v>
      </c>
      <c r="D92" s="1">
        <v>5</v>
      </c>
    </row>
    <row r="93" spans="2:5" x14ac:dyDescent="0.3">
      <c r="C93" s="1" t="s">
        <v>45</v>
      </c>
      <c r="D93" s="1">
        <f>D92*2</f>
        <v>10</v>
      </c>
    </row>
    <row r="94" spans="2:5" x14ac:dyDescent="0.3">
      <c r="C94" s="1" t="s">
        <v>12</v>
      </c>
      <c r="D94" s="3">
        <v>0.03</v>
      </c>
    </row>
    <row r="95" spans="2:5" x14ac:dyDescent="0.3">
      <c r="C95" s="1" t="s">
        <v>46</v>
      </c>
      <c r="D95" s="7">
        <f>D94/2</f>
        <v>1.4999999999999999E-2</v>
      </c>
    </row>
    <row r="96" spans="2:5" x14ac:dyDescent="0.3">
      <c r="C96" s="1" t="s">
        <v>4</v>
      </c>
      <c r="D96" s="2">
        <v>75000</v>
      </c>
    </row>
    <row r="97" spans="3:4" x14ac:dyDescent="0.3">
      <c r="C97" s="15" t="s">
        <v>36</v>
      </c>
      <c r="D97" s="12">
        <f>PMT(D95,D93,0,D96)</f>
        <v>-7007.5633398779364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Ejercicio #9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Gabriela Sequeira</cp:lastModifiedBy>
  <dcterms:created xsi:type="dcterms:W3CDTF">2017-09-21T16:24:02Z</dcterms:created>
  <dcterms:modified xsi:type="dcterms:W3CDTF">2017-09-21T16:24:30Z</dcterms:modified>
</cp:coreProperties>
</file>