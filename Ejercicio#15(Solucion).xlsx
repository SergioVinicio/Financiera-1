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ri\Documents\Gaby\UFM\Financiera I\Financiera I 2017\03 Ejercicios\"/>
    </mc:Choice>
  </mc:AlternateContent>
  <bookViews>
    <workbookView xWindow="0" yWindow="0" windowWidth="20490" windowHeight="6465"/>
  </bookViews>
  <sheets>
    <sheet name="Ejercicio #1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0" i="1" l="1"/>
  <c r="N89" i="1"/>
  <c r="O89" i="1" s="1"/>
  <c r="P89" i="1" s="1"/>
  <c r="M89" i="1"/>
  <c r="L72" i="1"/>
  <c r="D48" i="1"/>
  <c r="D49" i="1"/>
  <c r="G48" i="1"/>
  <c r="I48" i="1"/>
  <c r="J48" i="1"/>
  <c r="K48" i="1"/>
  <c r="L48" i="1"/>
  <c r="M48" i="1"/>
  <c r="N48" i="1"/>
  <c r="O48" i="1"/>
  <c r="P48" i="1"/>
  <c r="Q48" i="1"/>
  <c r="H48" i="1"/>
  <c r="I47" i="1"/>
  <c r="J47" i="1"/>
  <c r="K47" i="1"/>
  <c r="L47" i="1"/>
  <c r="M47" i="1"/>
  <c r="N47" i="1"/>
  <c r="O47" i="1"/>
  <c r="P47" i="1"/>
  <c r="Q47" i="1"/>
  <c r="H47" i="1"/>
  <c r="D40" i="1"/>
  <c r="D30" i="1"/>
  <c r="D22" i="1"/>
  <c r="F92" i="1"/>
  <c r="C104" i="1"/>
  <c r="B96" i="1"/>
  <c r="F91" i="1"/>
  <c r="L89" i="1"/>
  <c r="H88" i="1"/>
  <c r="I88" i="1"/>
  <c r="J88" i="1"/>
  <c r="K88" i="1"/>
  <c r="L88" i="1" s="1"/>
  <c r="M88" i="1" s="1"/>
  <c r="G88" i="1"/>
  <c r="D62" i="1"/>
  <c r="E77" i="1"/>
  <c r="G77" i="1"/>
  <c r="E78" i="1"/>
  <c r="E79" i="1" s="1"/>
  <c r="E80" i="1" s="1"/>
  <c r="E81" i="1" s="1"/>
  <c r="E82" i="1" s="1"/>
  <c r="E83" i="1" s="1"/>
  <c r="E84" i="1" s="1"/>
  <c r="G78" i="1"/>
  <c r="G79" i="1"/>
  <c r="G80" i="1"/>
  <c r="G81" i="1"/>
  <c r="G82" i="1"/>
  <c r="G83" i="1"/>
  <c r="G84" i="1"/>
  <c r="E67" i="1"/>
  <c r="E68" i="1"/>
  <c r="E69" i="1" s="1"/>
  <c r="E70" i="1" s="1"/>
  <c r="E71" i="1" s="1"/>
  <c r="E72" i="1" s="1"/>
  <c r="E73" i="1" s="1"/>
  <c r="E74" i="1" s="1"/>
  <c r="E75" i="1" s="1"/>
  <c r="E76" i="1" s="1"/>
  <c r="E66" i="1"/>
  <c r="G66" i="1"/>
  <c r="H66" i="1"/>
  <c r="I66" i="1"/>
  <c r="J66" i="1" s="1"/>
  <c r="F67" i="1" s="1"/>
  <c r="H67" i="1" s="1"/>
  <c r="I67" i="1" s="1"/>
  <c r="J67" i="1" s="1"/>
  <c r="F68" i="1" s="1"/>
  <c r="G67" i="1"/>
  <c r="G68" i="1"/>
  <c r="G69" i="1"/>
  <c r="G70" i="1"/>
  <c r="G71" i="1"/>
  <c r="G72" i="1"/>
  <c r="G73" i="1"/>
  <c r="G74" i="1"/>
  <c r="G75" i="1"/>
  <c r="G76" i="1"/>
  <c r="F66" i="1"/>
  <c r="J65" i="1"/>
  <c r="I65" i="1"/>
  <c r="H65" i="1"/>
  <c r="G65" i="1"/>
  <c r="F65" i="1"/>
  <c r="C60" i="1"/>
  <c r="C58" i="1"/>
  <c r="C55" i="1"/>
  <c r="G45" i="1"/>
  <c r="D50" i="1" s="1"/>
  <c r="H44" i="1"/>
  <c r="I44" i="1" s="1"/>
  <c r="J44" i="1" s="1"/>
  <c r="K44" i="1" s="1"/>
  <c r="L44" i="1" s="1"/>
  <c r="M44" i="1" s="1"/>
  <c r="N44" i="1" s="1"/>
  <c r="O44" i="1" s="1"/>
  <c r="P44" i="1" s="1"/>
  <c r="Q44" i="1" s="1"/>
  <c r="C39" i="1"/>
  <c r="C37" i="1"/>
  <c r="C36" i="1"/>
  <c r="C28" i="1"/>
  <c r="C21" i="1"/>
  <c r="C19" i="1"/>
  <c r="H11" i="1"/>
  <c r="I11" i="1" s="1"/>
  <c r="G11" i="1"/>
  <c r="G13" i="1" s="1"/>
  <c r="C7" i="1"/>
  <c r="D8" i="1" s="1"/>
  <c r="C6" i="1"/>
  <c r="H68" i="1" l="1"/>
  <c r="I68" i="1" s="1"/>
  <c r="J68" i="1" s="1"/>
  <c r="F69" i="1" s="1"/>
  <c r="C29" i="1"/>
  <c r="C38" i="1" s="1"/>
  <c r="P15" i="1"/>
  <c r="D31" i="1"/>
  <c r="J11" i="1"/>
  <c r="I13" i="1"/>
  <c r="H13" i="1"/>
  <c r="H69" i="1" l="1"/>
  <c r="I69" i="1" s="1"/>
  <c r="J69" i="1" s="1"/>
  <c r="F70" i="1" s="1"/>
  <c r="K11" i="1"/>
  <c r="J13" i="1"/>
  <c r="H70" i="1" l="1"/>
  <c r="I70" i="1" s="1"/>
  <c r="J70" i="1" s="1"/>
  <c r="F71" i="1" s="1"/>
  <c r="L11" i="1"/>
  <c r="K13" i="1"/>
  <c r="H71" i="1" l="1"/>
  <c r="I71" i="1" s="1"/>
  <c r="J71" i="1" s="1"/>
  <c r="F72" i="1" s="1"/>
  <c r="M11" i="1"/>
  <c r="L13" i="1"/>
  <c r="H72" i="1" l="1"/>
  <c r="I72" i="1" s="1"/>
  <c r="J72" i="1" s="1"/>
  <c r="F73" i="1" s="1"/>
  <c r="N11" i="1"/>
  <c r="M13" i="1"/>
  <c r="H73" i="1" l="1"/>
  <c r="I73" i="1" s="1"/>
  <c r="J73" i="1" s="1"/>
  <c r="F74" i="1" s="1"/>
  <c r="O11" i="1"/>
  <c r="N13" i="1"/>
  <c r="H74" i="1" l="1"/>
  <c r="I74" i="1" s="1"/>
  <c r="J74" i="1" s="1"/>
  <c r="F75" i="1" s="1"/>
  <c r="O13" i="1"/>
  <c r="P11" i="1"/>
  <c r="H75" i="1" l="1"/>
  <c r="I75" i="1" s="1"/>
  <c r="J75" i="1" s="1"/>
  <c r="F76" i="1" s="1"/>
  <c r="Q11" i="1"/>
  <c r="P13" i="1"/>
  <c r="H76" i="1" l="1"/>
  <c r="I76" i="1" s="1"/>
  <c r="J76" i="1" s="1"/>
  <c r="F77" i="1" s="1"/>
  <c r="H77" i="1" s="1"/>
  <c r="I77" i="1" s="1"/>
  <c r="J77" i="1" s="1"/>
  <c r="F78" i="1" s="1"/>
  <c r="H78" i="1" s="1"/>
  <c r="I78" i="1" s="1"/>
  <c r="J78" i="1" s="1"/>
  <c r="F79" i="1" s="1"/>
  <c r="H79" i="1" s="1"/>
  <c r="I79" i="1" s="1"/>
  <c r="J79" i="1" s="1"/>
  <c r="F80" i="1" s="1"/>
  <c r="H80" i="1" s="1"/>
  <c r="I80" i="1" s="1"/>
  <c r="J80" i="1" s="1"/>
  <c r="F81" i="1" s="1"/>
  <c r="H81" i="1" s="1"/>
  <c r="I81" i="1" s="1"/>
  <c r="J81" i="1" s="1"/>
  <c r="F82" i="1" s="1"/>
  <c r="H82" i="1" s="1"/>
  <c r="I82" i="1" s="1"/>
  <c r="J82" i="1" s="1"/>
  <c r="F83" i="1" s="1"/>
  <c r="H83" i="1" s="1"/>
  <c r="I83" i="1" s="1"/>
  <c r="J83" i="1" s="1"/>
  <c r="F84" i="1" s="1"/>
  <c r="H84" i="1" s="1"/>
  <c r="I84" i="1" s="1"/>
  <c r="J84" i="1" s="1"/>
  <c r="R11" i="1"/>
  <c r="Q13" i="1"/>
</calcChain>
</file>

<file path=xl/sharedStrings.xml><?xml version="1.0" encoding="utf-8"?>
<sst xmlns="http://schemas.openxmlformats.org/spreadsheetml/2006/main" count="66" uniqueCount="36">
  <si>
    <t>VF</t>
  </si>
  <si>
    <t>TPA</t>
  </si>
  <si>
    <t>m</t>
  </si>
  <si>
    <t>n años</t>
  </si>
  <si>
    <t>r</t>
  </si>
  <si>
    <t>n trimestres</t>
  </si>
  <si>
    <t>PAGO</t>
  </si>
  <si>
    <t>?</t>
  </si>
  <si>
    <t>pmt</t>
  </si>
  <si>
    <t>n meses</t>
  </si>
  <si>
    <t>PV</t>
  </si>
  <si>
    <t>n semestres</t>
  </si>
  <si>
    <t>FV</t>
  </si>
  <si>
    <t>rate</t>
  </si>
  <si>
    <t>PMT</t>
  </si>
  <si>
    <t>Inversión</t>
  </si>
  <si>
    <t>VP flujos futuros</t>
  </si>
  <si>
    <t>VPN</t>
  </si>
  <si>
    <t>SI</t>
  </si>
  <si>
    <t>IRR</t>
  </si>
  <si>
    <t>Costo de equipo</t>
  </si>
  <si>
    <t>Préstamo</t>
  </si>
  <si>
    <t>Periodo</t>
  </si>
  <si>
    <t>Cuota</t>
  </si>
  <si>
    <t>Intereses</t>
  </si>
  <si>
    <t>Amort Capital</t>
  </si>
  <si>
    <t>Saldo final</t>
  </si>
  <si>
    <t>Saldo incial</t>
  </si>
  <si>
    <t>NO</t>
  </si>
  <si>
    <t>g</t>
  </si>
  <si>
    <t>CAPM</t>
  </si>
  <si>
    <t>+</t>
  </si>
  <si>
    <t>P0</t>
  </si>
  <si>
    <t>P1</t>
  </si>
  <si>
    <t>Div</t>
  </si>
  <si>
    <t>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</si>
</sst>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Q&quot;#,##0.00;[Red]\-&quot;Q&quot;#,##0.00"/>
    <numFmt numFmtId="43" formatCode="_-* #,##0.00_-;\-* #,##0.00_-;_-* &quot;-&quot;??_-;_-@_-"/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43" fontId="2" fillId="0" borderId="0" xfId="1" applyFont="1"/>
    <xf numFmtId="9" fontId="2" fillId="0" borderId="0" xfId="0" applyNumberFormat="1" applyFont="1"/>
    <xf numFmtId="164" fontId="2" fillId="0" borderId="0" xfId="0" applyNumberFormat="1" applyFont="1"/>
    <xf numFmtId="10" fontId="2" fillId="0" borderId="0" xfId="0" applyNumberFormat="1" applyFont="1"/>
    <xf numFmtId="0" fontId="3" fillId="0" borderId="0" xfId="0" applyFont="1"/>
    <xf numFmtId="43" fontId="3" fillId="2" borderId="0" xfId="1" applyFont="1" applyFill="1"/>
    <xf numFmtId="9" fontId="2" fillId="0" borderId="0" xfId="2" applyFont="1"/>
    <xf numFmtId="10" fontId="2" fillId="0" borderId="0" xfId="2" applyNumberFormat="1" applyFont="1"/>
    <xf numFmtId="0" fontId="3" fillId="2" borderId="0" xfId="0" applyFont="1" applyFill="1"/>
    <xf numFmtId="43" fontId="2" fillId="0" borderId="0" xfId="0" applyNumberFormat="1" applyFont="1"/>
    <xf numFmtId="0" fontId="2" fillId="2" borderId="0" xfId="0" applyFont="1" applyFill="1"/>
    <xf numFmtId="10" fontId="3" fillId="2" borderId="0" xfId="0" applyNumberFormat="1" applyFont="1" applyFill="1"/>
    <xf numFmtId="8" fontId="3" fillId="2" borderId="0" xfId="1" applyNumberFormat="1" applyFont="1" applyFill="1"/>
    <xf numFmtId="43" fontId="3" fillId="0" borderId="0" xfId="0" applyNumberFormat="1" applyFont="1"/>
    <xf numFmtId="8" fontId="2" fillId="0" borderId="0" xfId="1" applyNumberFormat="1" applyFont="1"/>
    <xf numFmtId="43" fontId="2" fillId="2" borderId="0" xfId="0" applyNumberFormat="1" applyFont="1" applyFill="1"/>
    <xf numFmtId="8" fontId="3" fillId="2" borderId="0" xfId="0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04"/>
  <sheetViews>
    <sheetView tabSelected="1" topLeftCell="A77" workbookViewId="0">
      <selection activeCell="F92" sqref="F92"/>
    </sheetView>
  </sheetViews>
  <sheetFormatPr defaultRowHeight="13.5" x14ac:dyDescent="0.25"/>
  <cols>
    <col min="1" max="1" width="9.140625" style="1"/>
    <col min="2" max="2" width="13.7109375" style="1" customWidth="1"/>
    <col min="3" max="3" width="12.85546875" style="1" bestFit="1" customWidth="1"/>
    <col min="4" max="4" width="11.7109375" style="1" bestFit="1" customWidth="1"/>
    <col min="5" max="5" width="9.140625" style="1"/>
    <col min="6" max="6" width="12.85546875" style="1" bestFit="1" customWidth="1"/>
    <col min="7" max="7" width="11.28515625" style="1" bestFit="1" customWidth="1"/>
    <col min="8" max="11" width="10.28515625" style="1" bestFit="1" customWidth="1"/>
    <col min="12" max="12" width="11.28515625" style="1" bestFit="1" customWidth="1"/>
    <col min="13" max="15" width="10.28515625" style="1" bestFit="1" customWidth="1"/>
    <col min="16" max="16" width="11.42578125" style="1" bestFit="1" customWidth="1"/>
    <col min="17" max="17" width="10.42578125" style="1" bestFit="1" customWidth="1"/>
    <col min="18" max="16384" width="9.140625" style="1"/>
  </cols>
  <sheetData>
    <row r="2" spans="1:18" x14ac:dyDescent="0.25">
      <c r="A2" s="1">
        <v>1</v>
      </c>
      <c r="B2" s="1" t="s">
        <v>0</v>
      </c>
      <c r="C2" s="2">
        <v>1000000</v>
      </c>
    </row>
    <row r="3" spans="1:18" x14ac:dyDescent="0.25">
      <c r="B3" s="1" t="s">
        <v>3</v>
      </c>
      <c r="C3" s="1">
        <v>35</v>
      </c>
    </row>
    <row r="4" spans="1:18" x14ac:dyDescent="0.25">
      <c r="B4" s="1" t="s">
        <v>1</v>
      </c>
      <c r="C4" s="3">
        <v>0.05</v>
      </c>
    </row>
    <row r="5" spans="1:18" x14ac:dyDescent="0.25">
      <c r="B5" s="1" t="s">
        <v>2</v>
      </c>
      <c r="C5" s="1">
        <v>4</v>
      </c>
    </row>
    <row r="6" spans="1:18" x14ac:dyDescent="0.25">
      <c r="B6" s="1" t="s">
        <v>4</v>
      </c>
      <c r="C6" s="5">
        <f>C4/C5</f>
        <v>1.2500000000000001E-2</v>
      </c>
    </row>
    <row r="7" spans="1:18" x14ac:dyDescent="0.25">
      <c r="B7" s="1" t="s">
        <v>5</v>
      </c>
      <c r="C7" s="1">
        <f>C3*C5</f>
        <v>140</v>
      </c>
    </row>
    <row r="8" spans="1:18" x14ac:dyDescent="0.25">
      <c r="B8" s="6" t="s">
        <v>6</v>
      </c>
      <c r="C8" s="6" t="s">
        <v>7</v>
      </c>
      <c r="D8" s="7">
        <f>PMT(C6,C7,0,C2)</f>
        <v>-2663.8146510384513</v>
      </c>
    </row>
    <row r="11" spans="1:18" x14ac:dyDescent="0.25">
      <c r="A11" s="1">
        <v>2</v>
      </c>
      <c r="F11" s="1">
        <v>0</v>
      </c>
      <c r="G11" s="1">
        <f>F11+1</f>
        <v>1</v>
      </c>
      <c r="H11" s="1">
        <f t="shared" ref="H11:R11" si="0">G11+1</f>
        <v>2</v>
      </c>
      <c r="I11" s="1">
        <f t="shared" si="0"/>
        <v>3</v>
      </c>
      <c r="J11" s="1">
        <f t="shared" si="0"/>
        <v>4</v>
      </c>
      <c r="K11" s="1">
        <f t="shared" si="0"/>
        <v>5</v>
      </c>
      <c r="L11" s="1">
        <f t="shared" si="0"/>
        <v>6</v>
      </c>
      <c r="M11" s="1">
        <f t="shared" si="0"/>
        <v>7</v>
      </c>
      <c r="N11" s="1">
        <f t="shared" si="0"/>
        <v>8</v>
      </c>
      <c r="O11" s="1">
        <f t="shared" si="0"/>
        <v>9</v>
      </c>
      <c r="P11" s="1">
        <f t="shared" si="0"/>
        <v>10</v>
      </c>
      <c r="Q11" s="1">
        <f t="shared" si="0"/>
        <v>11</v>
      </c>
      <c r="R11" s="1">
        <f t="shared" si="0"/>
        <v>12</v>
      </c>
    </row>
    <row r="12" spans="1:18" x14ac:dyDescent="0.25">
      <c r="Q12" s="1">
        <v>121</v>
      </c>
    </row>
    <row r="13" spans="1:18" x14ac:dyDescent="0.25">
      <c r="G13" s="1">
        <f t="shared" ref="F13:P13" si="1">G11*12</f>
        <v>12</v>
      </c>
      <c r="H13" s="1">
        <f t="shared" si="1"/>
        <v>24</v>
      </c>
      <c r="I13" s="1">
        <f t="shared" si="1"/>
        <v>36</v>
      </c>
      <c r="J13" s="1">
        <f t="shared" si="1"/>
        <v>48</v>
      </c>
      <c r="K13" s="1">
        <f t="shared" si="1"/>
        <v>60</v>
      </c>
      <c r="L13" s="1">
        <f t="shared" si="1"/>
        <v>72</v>
      </c>
      <c r="M13" s="1">
        <f t="shared" si="1"/>
        <v>84</v>
      </c>
      <c r="N13" s="1">
        <f t="shared" si="1"/>
        <v>96</v>
      </c>
      <c r="O13" s="1">
        <f t="shared" si="1"/>
        <v>108</v>
      </c>
      <c r="P13" s="1">
        <f t="shared" si="1"/>
        <v>120</v>
      </c>
      <c r="Q13" s="1">
        <f>Q11*12</f>
        <v>132</v>
      </c>
    </row>
    <row r="15" spans="1:18" x14ac:dyDescent="0.25">
      <c r="F15" s="2">
        <v>200000</v>
      </c>
      <c r="P15" s="11">
        <f>D22</f>
        <v>760952.18253218068</v>
      </c>
      <c r="Q15" s="2">
        <v>10000</v>
      </c>
    </row>
    <row r="16" spans="1:18" x14ac:dyDescent="0.25">
      <c r="A16" s="1">
        <v>2.1</v>
      </c>
      <c r="B16" s="1" t="s">
        <v>8</v>
      </c>
      <c r="C16" s="2">
        <v>-10000</v>
      </c>
    </row>
    <row r="17" spans="1:4" x14ac:dyDescent="0.25">
      <c r="B17" s="1" t="s">
        <v>1</v>
      </c>
      <c r="C17" s="3">
        <v>0.06</v>
      </c>
    </row>
    <row r="18" spans="1:4" x14ac:dyDescent="0.25">
      <c r="B18" s="1" t="s">
        <v>2</v>
      </c>
      <c r="C18" s="1">
        <v>12</v>
      </c>
    </row>
    <row r="19" spans="1:4" x14ac:dyDescent="0.25">
      <c r="B19" s="1" t="s">
        <v>4</v>
      </c>
      <c r="C19" s="9">
        <f>C17/C18</f>
        <v>5.0000000000000001E-3</v>
      </c>
    </row>
    <row r="20" spans="1:4" x14ac:dyDescent="0.25">
      <c r="B20" s="1" t="s">
        <v>3</v>
      </c>
      <c r="C20" s="1">
        <v>8</v>
      </c>
    </row>
    <row r="21" spans="1:4" x14ac:dyDescent="0.25">
      <c r="B21" s="1" t="s">
        <v>9</v>
      </c>
      <c r="C21" s="1">
        <f>C20*C18</f>
        <v>96</v>
      </c>
    </row>
    <row r="22" spans="1:4" x14ac:dyDescent="0.25">
      <c r="B22" s="10" t="s">
        <v>10</v>
      </c>
      <c r="C22" s="12" t="s">
        <v>7</v>
      </c>
      <c r="D22" s="14">
        <f>PV(C19,C21,C16)</f>
        <v>760952.18253218068</v>
      </c>
    </row>
    <row r="25" spans="1:4" x14ac:dyDescent="0.25">
      <c r="A25" s="1">
        <v>2.2000000000000002</v>
      </c>
      <c r="B25" s="1" t="s">
        <v>2</v>
      </c>
      <c r="C25" s="1">
        <v>2</v>
      </c>
    </row>
    <row r="26" spans="1:4" x14ac:dyDescent="0.25">
      <c r="B26" s="1" t="s">
        <v>10</v>
      </c>
      <c r="C26" s="2">
        <v>-200000</v>
      </c>
    </row>
    <row r="27" spans="1:4" x14ac:dyDescent="0.25">
      <c r="B27" s="1" t="s">
        <v>3</v>
      </c>
      <c r="C27" s="1">
        <v>10</v>
      </c>
    </row>
    <row r="28" spans="1:4" x14ac:dyDescent="0.25">
      <c r="B28" s="1" t="s">
        <v>11</v>
      </c>
      <c r="C28" s="1">
        <f>C27*C25</f>
        <v>20</v>
      </c>
    </row>
    <row r="29" spans="1:4" x14ac:dyDescent="0.25">
      <c r="B29" s="1" t="s">
        <v>12</v>
      </c>
      <c r="C29" s="11">
        <f>D22</f>
        <v>760952.18253218068</v>
      </c>
    </row>
    <row r="30" spans="1:4" x14ac:dyDescent="0.25">
      <c r="B30" s="1" t="s">
        <v>13</v>
      </c>
      <c r="C30" s="1" t="s">
        <v>7</v>
      </c>
      <c r="D30" s="4">
        <f>RATE(C28,0,C26,C29)</f>
        <v>6.9095172679612488E-2</v>
      </c>
    </row>
    <row r="31" spans="1:4" x14ac:dyDescent="0.25">
      <c r="B31" s="10" t="s">
        <v>1</v>
      </c>
      <c r="C31" s="10" t="s">
        <v>7</v>
      </c>
      <c r="D31" s="13">
        <f>D30*C25</f>
        <v>0.13819034535922498</v>
      </c>
    </row>
    <row r="34" spans="1:17" x14ac:dyDescent="0.25">
      <c r="A34" s="1">
        <v>2.2999999999999998</v>
      </c>
      <c r="B34" s="1" t="s">
        <v>1</v>
      </c>
      <c r="C34" s="3">
        <v>0.08</v>
      </c>
    </row>
    <row r="35" spans="1:17" x14ac:dyDescent="0.25">
      <c r="B35" s="1" t="s">
        <v>2</v>
      </c>
      <c r="C35" s="1">
        <v>2</v>
      </c>
    </row>
    <row r="36" spans="1:17" x14ac:dyDescent="0.25">
      <c r="B36" s="1" t="s">
        <v>13</v>
      </c>
      <c r="C36" s="8">
        <f>C34/C35</f>
        <v>0.04</v>
      </c>
    </row>
    <row r="37" spans="1:17" x14ac:dyDescent="0.25">
      <c r="B37" s="1" t="s">
        <v>10</v>
      </c>
      <c r="C37" s="11">
        <f>C26</f>
        <v>-200000</v>
      </c>
    </row>
    <row r="38" spans="1:17" x14ac:dyDescent="0.25">
      <c r="B38" s="1" t="s">
        <v>12</v>
      </c>
      <c r="C38" s="11">
        <f>C29</f>
        <v>760952.18253218068</v>
      </c>
    </row>
    <row r="39" spans="1:17" x14ac:dyDescent="0.25">
      <c r="B39" s="1" t="s">
        <v>11</v>
      </c>
      <c r="C39" s="1">
        <f>C28</f>
        <v>20</v>
      </c>
    </row>
    <row r="40" spans="1:17" x14ac:dyDescent="0.25">
      <c r="B40" s="12" t="s">
        <v>14</v>
      </c>
      <c r="C40" s="1" t="s">
        <v>7</v>
      </c>
      <c r="D40" s="14">
        <f>PMT(C36,C39,C37,C38)</f>
        <v>-10837.756140095154</v>
      </c>
    </row>
    <row r="44" spans="1:17" x14ac:dyDescent="0.25">
      <c r="A44" s="1">
        <v>3</v>
      </c>
      <c r="G44" s="1">
        <v>0</v>
      </c>
      <c r="H44" s="1">
        <f>G44+1</f>
        <v>1</v>
      </c>
      <c r="I44" s="1">
        <f t="shared" ref="I44:Q44" si="2">H44+1</f>
        <v>2</v>
      </c>
      <c r="J44" s="1">
        <f t="shared" si="2"/>
        <v>3</v>
      </c>
      <c r="K44" s="1">
        <f t="shared" si="2"/>
        <v>4</v>
      </c>
      <c r="L44" s="1">
        <f t="shared" si="2"/>
        <v>5</v>
      </c>
      <c r="M44" s="1">
        <f t="shared" si="2"/>
        <v>6</v>
      </c>
      <c r="N44" s="1">
        <f t="shared" si="2"/>
        <v>7</v>
      </c>
      <c r="O44" s="1">
        <f t="shared" si="2"/>
        <v>8</v>
      </c>
      <c r="P44" s="1">
        <f t="shared" si="2"/>
        <v>9</v>
      </c>
      <c r="Q44" s="1">
        <f t="shared" si="2"/>
        <v>10</v>
      </c>
    </row>
    <row r="45" spans="1:17" x14ac:dyDescent="0.25">
      <c r="B45" s="1" t="s">
        <v>13</v>
      </c>
      <c r="C45" s="3">
        <v>0.12</v>
      </c>
      <c r="G45" s="11">
        <f>C46</f>
        <v>-300000</v>
      </c>
      <c r="H45" s="2">
        <v>75000</v>
      </c>
      <c r="I45" s="2">
        <v>75000</v>
      </c>
      <c r="J45" s="2">
        <v>75000</v>
      </c>
      <c r="K45" s="2">
        <v>75000</v>
      </c>
      <c r="L45" s="2">
        <v>75000</v>
      </c>
      <c r="M45" s="2">
        <v>50000</v>
      </c>
      <c r="N45" s="2">
        <v>50000</v>
      </c>
      <c r="O45" s="2">
        <v>50000</v>
      </c>
      <c r="P45" s="2">
        <v>50000</v>
      </c>
      <c r="Q45" s="2">
        <v>50000</v>
      </c>
    </row>
    <row r="46" spans="1:17" x14ac:dyDescent="0.25">
      <c r="B46" s="1" t="s">
        <v>15</v>
      </c>
      <c r="C46" s="2">
        <v>-300000</v>
      </c>
    </row>
    <row r="47" spans="1:17" x14ac:dyDescent="0.25">
      <c r="H47" s="1">
        <f>(1+$C$45)^-H44</f>
        <v>0.89285714285714279</v>
      </c>
      <c r="I47" s="1">
        <f t="shared" ref="I47:Q47" si="3">(1+$C$45)^-I44</f>
        <v>0.79719387755102034</v>
      </c>
      <c r="J47" s="1">
        <f t="shared" si="3"/>
        <v>0.71178024781341087</v>
      </c>
      <c r="K47" s="1">
        <f t="shared" si="3"/>
        <v>0.63551807840483121</v>
      </c>
      <c r="L47" s="1">
        <f t="shared" si="3"/>
        <v>0.56742685571859919</v>
      </c>
      <c r="M47" s="1">
        <f t="shared" si="3"/>
        <v>0.50663112117732068</v>
      </c>
      <c r="N47" s="1">
        <f t="shared" si="3"/>
        <v>0.45234921533689343</v>
      </c>
      <c r="O47" s="1">
        <f t="shared" si="3"/>
        <v>0.4038832279793691</v>
      </c>
      <c r="P47" s="1">
        <f t="shared" si="3"/>
        <v>0.36061002498157957</v>
      </c>
      <c r="Q47" s="1">
        <f t="shared" si="3"/>
        <v>0.32197323659069599</v>
      </c>
    </row>
    <row r="48" spans="1:17" x14ac:dyDescent="0.25">
      <c r="B48" s="1" t="s">
        <v>16</v>
      </c>
      <c r="C48" s="1" t="s">
        <v>7</v>
      </c>
      <c r="D48" s="16">
        <f>NPV(C45,H45:Q45)</f>
        <v>372630.55647916824</v>
      </c>
      <c r="G48" s="15">
        <f>SUM(H48:Q48)</f>
        <v>372630.55647916818</v>
      </c>
      <c r="H48" s="11">
        <f>H45*H47</f>
        <v>66964.28571428571</v>
      </c>
      <c r="I48" s="11">
        <f t="shared" ref="I48:Q48" si="4">I45*I47</f>
        <v>59789.540816326524</v>
      </c>
      <c r="J48" s="11">
        <f t="shared" si="4"/>
        <v>53383.518586005812</v>
      </c>
      <c r="K48" s="11">
        <f t="shared" si="4"/>
        <v>47663.855880362338</v>
      </c>
      <c r="L48" s="11">
        <f t="shared" si="4"/>
        <v>42557.01417889494</v>
      </c>
      <c r="M48" s="11">
        <f t="shared" si="4"/>
        <v>25331.556058866034</v>
      </c>
      <c r="N48" s="11">
        <f t="shared" si="4"/>
        <v>22617.46076684467</v>
      </c>
      <c r="O48" s="11">
        <f t="shared" si="4"/>
        <v>20194.161398968456</v>
      </c>
      <c r="P48" s="11">
        <f t="shared" si="4"/>
        <v>18030.501249078978</v>
      </c>
      <c r="Q48" s="11">
        <f t="shared" si="4"/>
        <v>16098.6618295348</v>
      </c>
    </row>
    <row r="49" spans="1:10" x14ac:dyDescent="0.25">
      <c r="B49" s="10" t="s">
        <v>17</v>
      </c>
      <c r="C49" s="1" t="s">
        <v>7</v>
      </c>
      <c r="D49" s="18">
        <f>D48+C46</f>
        <v>72630.556479168241</v>
      </c>
      <c r="E49" s="10" t="s">
        <v>18</v>
      </c>
    </row>
    <row r="50" spans="1:10" x14ac:dyDescent="0.25">
      <c r="B50" s="1" t="s">
        <v>19</v>
      </c>
      <c r="C50" s="1" t="s">
        <v>7</v>
      </c>
      <c r="D50" s="4">
        <f>IRR(G45:Q45)</f>
        <v>0.18297962767210829</v>
      </c>
    </row>
    <row r="54" spans="1:10" x14ac:dyDescent="0.25">
      <c r="A54" s="1">
        <v>4</v>
      </c>
      <c r="B54" s="1" t="s">
        <v>20</v>
      </c>
      <c r="C54" s="2">
        <v>40000</v>
      </c>
    </row>
    <row r="55" spans="1:10" x14ac:dyDescent="0.25">
      <c r="B55" s="1" t="s">
        <v>21</v>
      </c>
      <c r="C55" s="11">
        <f>C54*0.5</f>
        <v>20000</v>
      </c>
    </row>
    <row r="56" spans="1:10" x14ac:dyDescent="0.25">
      <c r="B56" s="1" t="s">
        <v>3</v>
      </c>
      <c r="C56" s="1">
        <v>5</v>
      </c>
    </row>
    <row r="57" spans="1:10" x14ac:dyDescent="0.25">
      <c r="B57" s="1" t="s">
        <v>2</v>
      </c>
      <c r="C57" s="1">
        <v>4</v>
      </c>
    </row>
    <row r="58" spans="1:10" x14ac:dyDescent="0.25">
      <c r="B58" s="1" t="s">
        <v>5</v>
      </c>
      <c r="C58" s="1">
        <f>C56*C57</f>
        <v>20</v>
      </c>
    </row>
    <row r="59" spans="1:10" x14ac:dyDescent="0.25">
      <c r="B59" s="1" t="s">
        <v>1</v>
      </c>
      <c r="C59" s="3">
        <v>0.08</v>
      </c>
    </row>
    <row r="60" spans="1:10" x14ac:dyDescent="0.25">
      <c r="B60" s="1" t="s">
        <v>13</v>
      </c>
      <c r="C60" s="4">
        <f>C59/C57</f>
        <v>0.02</v>
      </c>
    </row>
    <row r="62" spans="1:10" x14ac:dyDescent="0.25">
      <c r="A62" s="1">
        <v>4.0999999999999996</v>
      </c>
      <c r="B62" s="1" t="s">
        <v>14</v>
      </c>
      <c r="C62" s="1" t="s">
        <v>7</v>
      </c>
      <c r="D62" s="16">
        <f>PMT(C60,C58,C55)</f>
        <v>-1223.1343625058078</v>
      </c>
    </row>
    <row r="64" spans="1:10" x14ac:dyDescent="0.25">
      <c r="E64" s="1" t="s">
        <v>22</v>
      </c>
      <c r="F64" s="1" t="s">
        <v>27</v>
      </c>
      <c r="G64" s="1" t="s">
        <v>23</v>
      </c>
      <c r="H64" s="1" t="s">
        <v>24</v>
      </c>
      <c r="I64" s="1" t="s">
        <v>25</v>
      </c>
      <c r="J64" s="1" t="s">
        <v>26</v>
      </c>
    </row>
    <row r="65" spans="1:12" x14ac:dyDescent="0.25">
      <c r="E65" s="1">
        <v>1</v>
      </c>
      <c r="F65" s="11">
        <f>$C$55</f>
        <v>20000</v>
      </c>
      <c r="G65" s="11">
        <f>-$D$62</f>
        <v>1223.1343625058078</v>
      </c>
      <c r="H65" s="11">
        <f>F65*$C$60</f>
        <v>400</v>
      </c>
      <c r="I65" s="11">
        <f>G65-H65</f>
        <v>823.13436250580776</v>
      </c>
      <c r="J65" s="11">
        <f>F65-I65</f>
        <v>19176.865637494193</v>
      </c>
    </row>
    <row r="66" spans="1:12" x14ac:dyDescent="0.25">
      <c r="E66" s="1">
        <f>E65+1</f>
        <v>2</v>
      </c>
      <c r="F66" s="11">
        <f>J65</f>
        <v>19176.865637494193</v>
      </c>
      <c r="G66" s="11">
        <f t="shared" ref="G66:G84" si="5">-$D$62</f>
        <v>1223.1343625058078</v>
      </c>
      <c r="H66" s="11">
        <f t="shared" ref="H66:H76" si="6">F66*$C$60</f>
        <v>383.53731274988388</v>
      </c>
      <c r="I66" s="11">
        <f t="shared" ref="I66:I76" si="7">G66-H66</f>
        <v>839.59704975592388</v>
      </c>
      <c r="J66" s="11">
        <f t="shared" ref="J66:J76" si="8">F66-I66</f>
        <v>18337.268587738268</v>
      </c>
    </row>
    <row r="67" spans="1:12" x14ac:dyDescent="0.25">
      <c r="E67" s="1">
        <f t="shared" ref="E67:E76" si="9">E66+1</f>
        <v>3</v>
      </c>
      <c r="F67" s="11">
        <f t="shared" ref="F67:F76" si="10">J66</f>
        <v>18337.268587738268</v>
      </c>
      <c r="G67" s="11">
        <f t="shared" si="5"/>
        <v>1223.1343625058078</v>
      </c>
      <c r="H67" s="11">
        <f t="shared" si="6"/>
        <v>366.74537175476536</v>
      </c>
      <c r="I67" s="11">
        <f t="shared" si="7"/>
        <v>856.38899075104246</v>
      </c>
      <c r="J67" s="11">
        <f t="shared" si="8"/>
        <v>17480.879596987226</v>
      </c>
    </row>
    <row r="68" spans="1:12" x14ac:dyDescent="0.25">
      <c r="E68" s="1">
        <f t="shared" si="9"/>
        <v>4</v>
      </c>
      <c r="F68" s="11">
        <f t="shared" si="10"/>
        <v>17480.879596987226</v>
      </c>
      <c r="G68" s="11">
        <f t="shared" si="5"/>
        <v>1223.1343625058078</v>
      </c>
      <c r="H68" s="11">
        <f t="shared" si="6"/>
        <v>349.61759193974456</v>
      </c>
      <c r="I68" s="11">
        <f t="shared" si="7"/>
        <v>873.5167705660632</v>
      </c>
      <c r="J68" s="11">
        <f t="shared" si="8"/>
        <v>16607.362826421162</v>
      </c>
    </row>
    <row r="69" spans="1:12" x14ac:dyDescent="0.25">
      <c r="E69" s="1">
        <f t="shared" si="9"/>
        <v>5</v>
      </c>
      <c r="F69" s="11">
        <f t="shared" si="10"/>
        <v>16607.362826421162</v>
      </c>
      <c r="G69" s="11">
        <f t="shared" si="5"/>
        <v>1223.1343625058078</v>
      </c>
      <c r="H69" s="11">
        <f t="shared" si="6"/>
        <v>332.14725652842327</v>
      </c>
      <c r="I69" s="11">
        <f t="shared" si="7"/>
        <v>890.98710597738454</v>
      </c>
      <c r="J69" s="11">
        <f t="shared" si="8"/>
        <v>15716.375720443777</v>
      </c>
    </row>
    <row r="70" spans="1:12" x14ac:dyDescent="0.25">
      <c r="E70" s="1">
        <f t="shared" si="9"/>
        <v>6</v>
      </c>
      <c r="F70" s="11">
        <f t="shared" si="10"/>
        <v>15716.375720443777</v>
      </c>
      <c r="G70" s="11">
        <f t="shared" si="5"/>
        <v>1223.1343625058078</v>
      </c>
      <c r="H70" s="11">
        <f t="shared" si="6"/>
        <v>314.32751440887557</v>
      </c>
      <c r="I70" s="11">
        <f t="shared" si="7"/>
        <v>908.80684809693219</v>
      </c>
      <c r="J70" s="11">
        <f t="shared" si="8"/>
        <v>14807.568872346845</v>
      </c>
    </row>
    <row r="71" spans="1:12" x14ac:dyDescent="0.25">
      <c r="E71" s="1">
        <f t="shared" si="9"/>
        <v>7</v>
      </c>
      <c r="F71" s="11">
        <f t="shared" si="10"/>
        <v>14807.568872346845</v>
      </c>
      <c r="G71" s="11">
        <f t="shared" si="5"/>
        <v>1223.1343625058078</v>
      </c>
      <c r="H71" s="11">
        <f t="shared" si="6"/>
        <v>296.15137744693692</v>
      </c>
      <c r="I71" s="11">
        <f t="shared" si="7"/>
        <v>926.98298505887078</v>
      </c>
      <c r="J71" s="11">
        <f t="shared" si="8"/>
        <v>13880.585887287974</v>
      </c>
    </row>
    <row r="72" spans="1:12" x14ac:dyDescent="0.25">
      <c r="E72" s="1">
        <f t="shared" si="9"/>
        <v>8</v>
      </c>
      <c r="F72" s="11">
        <f t="shared" si="10"/>
        <v>13880.585887287974</v>
      </c>
      <c r="G72" s="11">
        <f t="shared" si="5"/>
        <v>1223.1343625058078</v>
      </c>
      <c r="H72" s="11">
        <f t="shared" si="6"/>
        <v>277.61171774575951</v>
      </c>
      <c r="I72" s="11">
        <f t="shared" si="7"/>
        <v>945.52264476004825</v>
      </c>
      <c r="J72" s="17">
        <f t="shared" si="8"/>
        <v>12935.063242527925</v>
      </c>
      <c r="K72" s="10" t="s">
        <v>28</v>
      </c>
      <c r="L72" s="16">
        <f>FV(C60,E72,D62,C55)</f>
        <v>-12935.063242527933</v>
      </c>
    </row>
    <row r="73" spans="1:12" x14ac:dyDescent="0.25">
      <c r="A73" s="1">
        <v>4.2</v>
      </c>
      <c r="E73" s="1">
        <f t="shared" si="9"/>
        <v>9</v>
      </c>
      <c r="F73" s="11">
        <f t="shared" si="10"/>
        <v>12935.063242527925</v>
      </c>
      <c r="G73" s="11">
        <f t="shared" si="5"/>
        <v>1223.1343625058078</v>
      </c>
      <c r="H73" s="11">
        <f t="shared" si="6"/>
        <v>258.70126485055852</v>
      </c>
      <c r="I73" s="17">
        <f t="shared" si="7"/>
        <v>964.43309765524918</v>
      </c>
      <c r="J73" s="11">
        <f t="shared" si="8"/>
        <v>11970.630144872677</v>
      </c>
    </row>
    <row r="74" spans="1:12" x14ac:dyDescent="0.25">
      <c r="E74" s="1">
        <f t="shared" si="9"/>
        <v>10</v>
      </c>
      <c r="F74" s="11">
        <f t="shared" si="10"/>
        <v>11970.630144872677</v>
      </c>
      <c r="G74" s="11">
        <f t="shared" si="5"/>
        <v>1223.1343625058078</v>
      </c>
      <c r="H74" s="11">
        <f t="shared" si="6"/>
        <v>239.41260289745355</v>
      </c>
      <c r="I74" s="11">
        <f t="shared" si="7"/>
        <v>983.7217596083542</v>
      </c>
      <c r="J74" s="11">
        <f t="shared" si="8"/>
        <v>10986.908385264323</v>
      </c>
    </row>
    <row r="75" spans="1:12" x14ac:dyDescent="0.25">
      <c r="E75" s="1">
        <f t="shared" si="9"/>
        <v>11</v>
      </c>
      <c r="F75" s="11">
        <f t="shared" si="10"/>
        <v>10986.908385264323</v>
      </c>
      <c r="G75" s="11">
        <f t="shared" si="5"/>
        <v>1223.1343625058078</v>
      </c>
      <c r="H75" s="11">
        <f t="shared" si="6"/>
        <v>219.73816770528649</v>
      </c>
      <c r="I75" s="11">
        <f t="shared" si="7"/>
        <v>1003.3961948005212</v>
      </c>
      <c r="J75" s="11">
        <f t="shared" si="8"/>
        <v>9983.5121904638017</v>
      </c>
    </row>
    <row r="76" spans="1:12" x14ac:dyDescent="0.25">
      <c r="E76" s="1">
        <f t="shared" si="9"/>
        <v>12</v>
      </c>
      <c r="F76" s="11">
        <f t="shared" si="10"/>
        <v>9983.5121904638017</v>
      </c>
      <c r="G76" s="11">
        <f t="shared" si="5"/>
        <v>1223.1343625058078</v>
      </c>
      <c r="H76" s="11">
        <f t="shared" si="6"/>
        <v>199.67024380927603</v>
      </c>
      <c r="I76" s="11">
        <f t="shared" si="7"/>
        <v>1023.4641186965317</v>
      </c>
      <c r="J76" s="11">
        <f t="shared" si="8"/>
        <v>8960.0480717672708</v>
      </c>
    </row>
    <row r="77" spans="1:12" x14ac:dyDescent="0.25">
      <c r="E77" s="1">
        <f t="shared" ref="E77:E84" si="11">E76+1</f>
        <v>13</v>
      </c>
      <c r="F77" s="11">
        <f t="shared" ref="F77:F84" si="12">J76</f>
        <v>8960.0480717672708</v>
      </c>
      <c r="G77" s="11">
        <f t="shared" si="5"/>
        <v>1223.1343625058078</v>
      </c>
      <c r="H77" s="11">
        <f t="shared" ref="H77:H84" si="13">F77*$C$60</f>
        <v>179.20096143534542</v>
      </c>
      <c r="I77" s="11">
        <f t="shared" ref="I77:I84" si="14">G77-H77</f>
        <v>1043.9334010704624</v>
      </c>
      <c r="J77" s="11">
        <f t="shared" ref="J77:J84" si="15">F77-I77</f>
        <v>7916.1146706968084</v>
      </c>
    </row>
    <row r="78" spans="1:12" x14ac:dyDescent="0.25">
      <c r="E78" s="1">
        <f t="shared" si="11"/>
        <v>14</v>
      </c>
      <c r="F78" s="11">
        <f t="shared" si="12"/>
        <v>7916.1146706968084</v>
      </c>
      <c r="G78" s="11">
        <f t="shared" si="5"/>
        <v>1223.1343625058078</v>
      </c>
      <c r="H78" s="11">
        <f t="shared" si="13"/>
        <v>158.32229341393617</v>
      </c>
      <c r="I78" s="11">
        <f t="shared" si="14"/>
        <v>1064.8120690918715</v>
      </c>
      <c r="J78" s="11">
        <f t="shared" si="15"/>
        <v>6851.3026016049371</v>
      </c>
    </row>
    <row r="79" spans="1:12" x14ac:dyDescent="0.25">
      <c r="E79" s="1">
        <f t="shared" si="11"/>
        <v>15</v>
      </c>
      <c r="F79" s="11">
        <f t="shared" si="12"/>
        <v>6851.3026016049371</v>
      </c>
      <c r="G79" s="11">
        <f t="shared" si="5"/>
        <v>1223.1343625058078</v>
      </c>
      <c r="H79" s="11">
        <f t="shared" si="13"/>
        <v>137.02605203209873</v>
      </c>
      <c r="I79" s="11">
        <f t="shared" si="14"/>
        <v>1086.108310473709</v>
      </c>
      <c r="J79" s="11">
        <f t="shared" si="15"/>
        <v>5765.1942911312281</v>
      </c>
    </row>
    <row r="80" spans="1:12" x14ac:dyDescent="0.25">
      <c r="E80" s="1">
        <f t="shared" si="11"/>
        <v>16</v>
      </c>
      <c r="F80" s="11">
        <f t="shared" si="12"/>
        <v>5765.1942911312281</v>
      </c>
      <c r="G80" s="11">
        <f t="shared" si="5"/>
        <v>1223.1343625058078</v>
      </c>
      <c r="H80" s="11">
        <f t="shared" si="13"/>
        <v>115.30388582262457</v>
      </c>
      <c r="I80" s="11">
        <f t="shared" si="14"/>
        <v>1107.8304766831832</v>
      </c>
      <c r="J80" s="11">
        <f t="shared" si="15"/>
        <v>4657.3638144480446</v>
      </c>
    </row>
    <row r="81" spans="1:16" x14ac:dyDescent="0.25">
      <c r="E81" s="1">
        <f t="shared" si="11"/>
        <v>17</v>
      </c>
      <c r="F81" s="11">
        <f t="shared" si="12"/>
        <v>4657.3638144480446</v>
      </c>
      <c r="G81" s="11">
        <f t="shared" si="5"/>
        <v>1223.1343625058078</v>
      </c>
      <c r="H81" s="11">
        <f t="shared" si="13"/>
        <v>93.147276288960896</v>
      </c>
      <c r="I81" s="11">
        <f t="shared" si="14"/>
        <v>1129.9870862168468</v>
      </c>
      <c r="J81" s="11">
        <f t="shared" si="15"/>
        <v>3527.3767282311978</v>
      </c>
    </row>
    <row r="82" spans="1:16" x14ac:dyDescent="0.25">
      <c r="E82" s="1">
        <f t="shared" si="11"/>
        <v>18</v>
      </c>
      <c r="F82" s="11">
        <f t="shared" si="12"/>
        <v>3527.3767282311978</v>
      </c>
      <c r="G82" s="11">
        <f t="shared" si="5"/>
        <v>1223.1343625058078</v>
      </c>
      <c r="H82" s="11">
        <f t="shared" si="13"/>
        <v>70.547534564623959</v>
      </c>
      <c r="I82" s="11">
        <f t="shared" si="14"/>
        <v>1152.5868279411839</v>
      </c>
      <c r="J82" s="11">
        <f t="shared" si="15"/>
        <v>2374.789900290014</v>
      </c>
    </row>
    <row r="83" spans="1:16" x14ac:dyDescent="0.25">
      <c r="E83" s="1">
        <f t="shared" si="11"/>
        <v>19</v>
      </c>
      <c r="F83" s="11">
        <f t="shared" si="12"/>
        <v>2374.789900290014</v>
      </c>
      <c r="G83" s="11">
        <f t="shared" si="5"/>
        <v>1223.1343625058078</v>
      </c>
      <c r="H83" s="11">
        <f t="shared" si="13"/>
        <v>47.495798005800282</v>
      </c>
      <c r="I83" s="11">
        <f t="shared" si="14"/>
        <v>1175.6385645000075</v>
      </c>
      <c r="J83" s="11">
        <f t="shared" si="15"/>
        <v>1199.1513357900064</v>
      </c>
    </row>
    <row r="84" spans="1:16" x14ac:dyDescent="0.25">
      <c r="E84" s="1">
        <f t="shared" si="11"/>
        <v>20</v>
      </c>
      <c r="F84" s="11">
        <f t="shared" si="12"/>
        <v>1199.1513357900064</v>
      </c>
      <c r="G84" s="11">
        <f t="shared" si="5"/>
        <v>1223.1343625058078</v>
      </c>
      <c r="H84" s="11">
        <f t="shared" si="13"/>
        <v>23.983026715800129</v>
      </c>
      <c r="I84" s="11">
        <f t="shared" si="14"/>
        <v>1199.1513357900076</v>
      </c>
      <c r="J84" s="11">
        <f t="shared" si="15"/>
        <v>0</v>
      </c>
    </row>
    <row r="85" spans="1:16" x14ac:dyDescent="0.25">
      <c r="F85" s="11"/>
      <c r="G85" s="11"/>
      <c r="H85" s="11"/>
      <c r="I85" s="11"/>
      <c r="J85" s="11"/>
    </row>
    <row r="86" spans="1:16" x14ac:dyDescent="0.25">
      <c r="F86" s="11"/>
      <c r="G86" s="11"/>
      <c r="H86" s="11"/>
      <c r="I86" s="11"/>
      <c r="J86" s="11"/>
    </row>
    <row r="88" spans="1:16" x14ac:dyDescent="0.25">
      <c r="A88" s="1">
        <v>5</v>
      </c>
      <c r="F88" s="1">
        <v>0</v>
      </c>
      <c r="G88" s="1">
        <f>F88+1</f>
        <v>1</v>
      </c>
      <c r="H88" s="1">
        <f t="shared" ref="H88:M88" si="16">G88+1</f>
        <v>2</v>
      </c>
      <c r="I88" s="1">
        <f t="shared" si="16"/>
        <v>3</v>
      </c>
      <c r="J88" s="1">
        <f t="shared" si="16"/>
        <v>4</v>
      </c>
      <c r="K88" s="1">
        <f t="shared" si="16"/>
        <v>5</v>
      </c>
      <c r="L88" s="1">
        <f t="shared" si="16"/>
        <v>6</v>
      </c>
      <c r="M88" s="1">
        <f t="shared" si="16"/>
        <v>7</v>
      </c>
    </row>
    <row r="89" spans="1:16" x14ac:dyDescent="0.25">
      <c r="B89" s="1" t="s">
        <v>13</v>
      </c>
      <c r="C89" s="3">
        <v>0.12</v>
      </c>
      <c r="L89" s="1">
        <f>2*1000</f>
        <v>2000</v>
      </c>
      <c r="M89" s="1">
        <f>L89*(1+$C$90)</f>
        <v>2040</v>
      </c>
      <c r="N89" s="1">
        <f t="shared" ref="N89:P89" si="17">M89*(1+$C$90)</f>
        <v>2080.8000000000002</v>
      </c>
      <c r="O89" s="1">
        <f t="shared" si="17"/>
        <v>2122.4160000000002</v>
      </c>
      <c r="P89" s="1">
        <f t="shared" si="17"/>
        <v>2164.8643200000001</v>
      </c>
    </row>
    <row r="90" spans="1:16" x14ac:dyDescent="0.25">
      <c r="B90" s="1" t="s">
        <v>29</v>
      </c>
      <c r="C90" s="3">
        <v>0.02</v>
      </c>
      <c r="G90" s="1">
        <v>0</v>
      </c>
      <c r="H90" s="1">
        <v>0</v>
      </c>
      <c r="I90" s="1">
        <v>0</v>
      </c>
      <c r="J90" s="1">
        <v>0</v>
      </c>
      <c r="K90" s="2">
        <f>L89/(C89-C90)</f>
        <v>20000</v>
      </c>
    </row>
    <row r="91" spans="1:16" x14ac:dyDescent="0.25">
      <c r="F91" s="7">
        <f>K90*(1+C89)^-K88</f>
        <v>11348.537114371984</v>
      </c>
    </row>
    <row r="92" spans="1:16" x14ac:dyDescent="0.25">
      <c r="F92" s="2">
        <f>NPV(C89,G90:K90)</f>
        <v>11348.537114371982</v>
      </c>
    </row>
    <row r="94" spans="1:16" x14ac:dyDescent="0.25">
      <c r="A94" s="1">
        <v>6</v>
      </c>
    </row>
    <row r="95" spans="1:16" x14ac:dyDescent="0.25">
      <c r="B95" s="1" t="s">
        <v>30</v>
      </c>
    </row>
    <row r="96" spans="1:16" x14ac:dyDescent="0.25">
      <c r="A96" s="1">
        <v>6.1</v>
      </c>
      <c r="B96" s="13">
        <f>C96+(E96*F96)</f>
        <v>0.13350000000000001</v>
      </c>
      <c r="C96" s="3">
        <v>0.04</v>
      </c>
      <c r="D96" s="1" t="s">
        <v>31</v>
      </c>
      <c r="E96" s="1">
        <v>1.7</v>
      </c>
      <c r="F96" s="5">
        <v>5.5E-2</v>
      </c>
    </row>
    <row r="97" spans="1:6" x14ac:dyDescent="0.25">
      <c r="A97" s="1">
        <v>6.2</v>
      </c>
      <c r="B97" s="13">
        <v>0.01</v>
      </c>
      <c r="C97" s="3"/>
      <c r="F97" s="5"/>
    </row>
    <row r="100" spans="1:6" x14ac:dyDescent="0.25">
      <c r="A100" s="1">
        <v>7</v>
      </c>
      <c r="B100" s="1" t="s">
        <v>32</v>
      </c>
      <c r="C100" s="1">
        <v>54</v>
      </c>
    </row>
    <row r="101" spans="1:6" x14ac:dyDescent="0.25">
      <c r="B101" s="1" t="s">
        <v>33</v>
      </c>
      <c r="C101" s="1">
        <v>50</v>
      </c>
    </row>
    <row r="102" spans="1:6" x14ac:dyDescent="0.25">
      <c r="B102" s="1" t="s">
        <v>34</v>
      </c>
      <c r="C102" s="1">
        <v>2</v>
      </c>
    </row>
    <row r="104" spans="1:6" x14ac:dyDescent="0.25">
      <c r="B104" s="10" t="s">
        <v>35</v>
      </c>
      <c r="C104" s="13">
        <f>(C102+(C101-C100))/C100</f>
        <v>-3.7037037037037035E-2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Ejercicio #15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Sequeira</dc:creator>
  <cp:lastModifiedBy>Gabriela Sequeira</cp:lastModifiedBy>
  <dcterms:created xsi:type="dcterms:W3CDTF">2017-10-23T15:04:38Z</dcterms:created>
  <dcterms:modified xsi:type="dcterms:W3CDTF">2017-10-23T17:25:02Z</dcterms:modified>
</cp:coreProperties>
</file>