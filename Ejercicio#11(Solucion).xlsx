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20490" windowHeight="6465"/>
  </bookViews>
  <sheets>
    <sheet name="Ejercicio 1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7" i="1" l="1"/>
  <c r="E154" i="1"/>
  <c r="I159" i="1"/>
  <c r="H159" i="1"/>
  <c r="G142" i="1"/>
  <c r="F43" i="1"/>
  <c r="F170" i="1"/>
  <c r="G170" i="1" s="1"/>
  <c r="C178" i="1"/>
  <c r="C177" i="1"/>
  <c r="F176" i="1"/>
  <c r="G176" i="1" s="1"/>
  <c r="H176" i="1" s="1"/>
  <c r="F172" i="1" l="1"/>
  <c r="F173" i="1" s="1"/>
  <c r="H170" i="1"/>
  <c r="H172" i="1" s="1"/>
  <c r="H173" i="1" s="1"/>
  <c r="G172" i="1"/>
  <c r="G173" i="1" s="1"/>
  <c r="E173" i="1" l="1"/>
  <c r="C86" i="1" l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G25" i="1" l="1"/>
  <c r="K192" i="1"/>
  <c r="L192" i="1"/>
  <c r="M192" i="1"/>
  <c r="N192" i="1"/>
  <c r="O192" i="1"/>
  <c r="C186" i="1"/>
  <c r="F186" i="1" s="1"/>
  <c r="K187" i="1"/>
  <c r="K189" i="1" s="1"/>
  <c r="L187" i="1"/>
  <c r="L189" i="1" s="1"/>
  <c r="M187" i="1"/>
  <c r="M189" i="1" s="1"/>
  <c r="N187" i="1"/>
  <c r="N189" i="1" s="1"/>
  <c r="O187" i="1"/>
  <c r="O189" i="1" s="1"/>
  <c r="F183" i="1"/>
  <c r="G183" i="1" s="1"/>
  <c r="H183" i="1" s="1"/>
  <c r="I183" i="1" s="1"/>
  <c r="J183" i="1" s="1"/>
  <c r="K183" i="1" s="1"/>
  <c r="L183" i="1" s="1"/>
  <c r="M183" i="1" s="1"/>
  <c r="N183" i="1" s="1"/>
  <c r="O183" i="1" s="1"/>
  <c r="E174" i="1"/>
  <c r="F163" i="1"/>
  <c r="G159" i="1"/>
  <c r="F159" i="1"/>
  <c r="E159" i="1" s="1"/>
  <c r="G163" i="1" l="1"/>
  <c r="F165" i="1"/>
  <c r="F166" i="1" s="1"/>
  <c r="J186" i="1"/>
  <c r="J192" i="1" s="1"/>
  <c r="F192" i="1"/>
  <c r="F187" i="1"/>
  <c r="F189" i="1" s="1"/>
  <c r="E160" i="1"/>
  <c r="O190" i="1"/>
  <c r="O191" i="1"/>
  <c r="O194" i="1" s="1"/>
  <c r="O196" i="1" s="1"/>
  <c r="K190" i="1"/>
  <c r="K191" i="1" s="1"/>
  <c r="K194" i="1" s="1"/>
  <c r="K196" i="1" s="1"/>
  <c r="J200" i="1" s="1"/>
  <c r="E200" i="1" s="1"/>
  <c r="L190" i="1"/>
  <c r="L191" i="1" s="1"/>
  <c r="L194" i="1" s="1"/>
  <c r="L196" i="1" s="1"/>
  <c r="N190" i="1"/>
  <c r="N191" i="1" s="1"/>
  <c r="N194" i="1" s="1"/>
  <c r="N196" i="1" s="1"/>
  <c r="M190" i="1"/>
  <c r="M191" i="1" s="1"/>
  <c r="M194" i="1" s="1"/>
  <c r="M196" i="1" s="1"/>
  <c r="E195" i="1"/>
  <c r="E196" i="1" s="1"/>
  <c r="I186" i="1"/>
  <c r="H186" i="1"/>
  <c r="G186" i="1"/>
  <c r="F190" i="1"/>
  <c r="F191" i="1" s="1"/>
  <c r="C149" i="1"/>
  <c r="E141" i="1"/>
  <c r="G141" i="1"/>
  <c r="G143" i="1" l="1"/>
  <c r="C147" i="1"/>
  <c r="C150" i="1" s="1"/>
  <c r="C146" i="1"/>
  <c r="F194" i="1"/>
  <c r="F196" i="1" s="1"/>
  <c r="J187" i="1"/>
  <c r="J189" i="1" s="1"/>
  <c r="J190" i="1" s="1"/>
  <c r="H163" i="1"/>
  <c r="H165" i="1" s="1"/>
  <c r="H166" i="1" s="1"/>
  <c r="G165" i="1"/>
  <c r="G166" i="1" s="1"/>
  <c r="E166" i="1" s="1"/>
  <c r="G192" i="1"/>
  <c r="G187" i="1"/>
  <c r="G189" i="1" s="1"/>
  <c r="G190" i="1" s="1"/>
  <c r="G191" i="1" s="1"/>
  <c r="H192" i="1"/>
  <c r="H187" i="1"/>
  <c r="H189" i="1" s="1"/>
  <c r="I192" i="1"/>
  <c r="I187" i="1"/>
  <c r="I189" i="1" s="1"/>
  <c r="G194" i="1" l="1"/>
  <c r="G196" i="1" s="1"/>
  <c r="E199" i="1"/>
  <c r="E201" i="1" s="1"/>
  <c r="J191" i="1"/>
  <c r="J194" i="1" s="1"/>
  <c r="J196" i="1" s="1"/>
  <c r="I190" i="1"/>
  <c r="I191" i="1" s="1"/>
  <c r="I194" i="1" s="1"/>
  <c r="I196" i="1" s="1"/>
  <c r="H190" i="1"/>
  <c r="H191" i="1" s="1"/>
  <c r="H194" i="1" s="1"/>
  <c r="H196" i="1" s="1"/>
  <c r="E202" i="1" l="1"/>
  <c r="C206" i="1" s="1"/>
  <c r="C128" i="1" l="1"/>
  <c r="C134" i="1" s="1"/>
  <c r="C126" i="1"/>
  <c r="C132" i="1" s="1"/>
  <c r="C101" i="1"/>
  <c r="B102" i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D96" i="1"/>
  <c r="D97" i="1" s="1"/>
  <c r="D105" i="1" s="1"/>
  <c r="C94" i="1"/>
  <c r="C92" i="1"/>
  <c r="C80" i="1"/>
  <c r="C82" i="1" s="1"/>
  <c r="C87" i="1" s="1"/>
  <c r="C72" i="1"/>
  <c r="C74" i="1" s="1"/>
  <c r="C43" i="1"/>
  <c r="B48" i="1"/>
  <c r="B49" i="1" s="1"/>
  <c r="B50" i="1" s="1"/>
  <c r="B51" i="1" s="1"/>
  <c r="C36" i="1"/>
  <c r="C39" i="1"/>
  <c r="C34" i="1"/>
  <c r="C26" i="1"/>
  <c r="C21" i="1"/>
  <c r="B11" i="1"/>
  <c r="B12" i="1" s="1"/>
  <c r="B13" i="1" s="1"/>
  <c r="B14" i="1" s="1"/>
  <c r="C10" i="1"/>
  <c r="D6" i="1"/>
  <c r="D11" i="1" s="1"/>
  <c r="B52" i="1" l="1"/>
  <c r="B53" i="1" s="1"/>
  <c r="B54" i="1" s="1"/>
  <c r="B55" i="1" s="1"/>
  <c r="B56" i="1" s="1"/>
  <c r="B57" i="1" s="1"/>
  <c r="B58" i="1" s="1"/>
  <c r="B59" i="1" s="1"/>
  <c r="B60" i="1" s="1"/>
  <c r="B61" i="1" s="1"/>
  <c r="J52" i="1"/>
  <c r="E10" i="1"/>
  <c r="D95" i="1"/>
  <c r="C44" i="1"/>
  <c r="D53" i="1" s="1"/>
  <c r="C5" i="2"/>
  <c r="C47" i="1"/>
  <c r="E47" i="1" s="1"/>
  <c r="D28" i="1"/>
  <c r="D29" i="1" s="1"/>
  <c r="G26" i="1"/>
  <c r="C65" i="1"/>
  <c r="C1" i="2"/>
  <c r="I64" i="2" s="1"/>
  <c r="E101" i="1"/>
  <c r="D49" i="1"/>
  <c r="D57" i="1"/>
  <c r="D48" i="1"/>
  <c r="D52" i="1"/>
  <c r="D50" i="1"/>
  <c r="D54" i="1"/>
  <c r="D55" i="1"/>
  <c r="D47" i="1"/>
  <c r="F47" i="1" s="1"/>
  <c r="G47" i="1" s="1"/>
  <c r="C48" i="1" s="1"/>
  <c r="E48" i="1" s="1"/>
  <c r="F48" i="1" s="1"/>
  <c r="G48" i="1" s="1"/>
  <c r="C49" i="1" s="1"/>
  <c r="E49" i="1" s="1"/>
  <c r="D119" i="1"/>
  <c r="D115" i="1"/>
  <c r="D111" i="1"/>
  <c r="D107" i="1"/>
  <c r="D103" i="1"/>
  <c r="D40" i="1"/>
  <c r="F44" i="1" s="1"/>
  <c r="D118" i="1"/>
  <c r="D114" i="1"/>
  <c r="D110" i="1"/>
  <c r="D106" i="1"/>
  <c r="D102" i="1"/>
  <c r="D101" i="1"/>
  <c r="D120" i="1"/>
  <c r="D116" i="1"/>
  <c r="D112" i="1"/>
  <c r="D108" i="1"/>
  <c r="D104" i="1"/>
  <c r="D117" i="1"/>
  <c r="D113" i="1"/>
  <c r="D109" i="1"/>
  <c r="D10" i="1"/>
  <c r="D12" i="1"/>
  <c r="D13" i="1"/>
  <c r="D14" i="1"/>
  <c r="K52" i="1" l="1"/>
  <c r="F10" i="1"/>
  <c r="G10" i="1" s="1"/>
  <c r="D51" i="1"/>
  <c r="D60" i="1"/>
  <c r="D59" i="1"/>
  <c r="D58" i="1"/>
  <c r="D56" i="1"/>
  <c r="D61" i="1"/>
  <c r="D8" i="2"/>
  <c r="D12" i="2"/>
  <c r="D16" i="2"/>
  <c r="D20" i="2"/>
  <c r="D24" i="2"/>
  <c r="D28" i="2"/>
  <c r="D32" i="2"/>
  <c r="D36" i="2"/>
  <c r="D40" i="2"/>
  <c r="D44" i="2"/>
  <c r="D48" i="2"/>
  <c r="D52" i="2"/>
  <c r="D56" i="2"/>
  <c r="D60" i="2"/>
  <c r="D64" i="2"/>
  <c r="D68" i="2"/>
  <c r="D72" i="2"/>
  <c r="D76" i="2"/>
  <c r="D80" i="2"/>
  <c r="D84" i="2"/>
  <c r="D88" i="2"/>
  <c r="D92" i="2"/>
  <c r="D96" i="2"/>
  <c r="D100" i="2"/>
  <c r="D104" i="2"/>
  <c r="D108" i="2"/>
  <c r="D112" i="2"/>
  <c r="D116" i="2"/>
  <c r="D120" i="2"/>
  <c r="D124" i="2"/>
  <c r="D128" i="2"/>
  <c r="D132" i="2"/>
  <c r="D136" i="2"/>
  <c r="D140" i="2"/>
  <c r="D144" i="2"/>
  <c r="D148" i="2"/>
  <c r="D152" i="2"/>
  <c r="D156" i="2"/>
  <c r="D160" i="2"/>
  <c r="D164" i="2"/>
  <c r="D168" i="2"/>
  <c r="D172" i="2"/>
  <c r="D176" i="2"/>
  <c r="D180" i="2"/>
  <c r="D184" i="2"/>
  <c r="D170" i="2"/>
  <c r="D182" i="2"/>
  <c r="D15" i="2"/>
  <c r="D23" i="2"/>
  <c r="D27" i="2"/>
  <c r="D39" i="2"/>
  <c r="D51" i="2"/>
  <c r="D59" i="2"/>
  <c r="D71" i="2"/>
  <c r="D79" i="2"/>
  <c r="D91" i="2"/>
  <c r="D103" i="2"/>
  <c r="D115" i="2"/>
  <c r="D127" i="2"/>
  <c r="D143" i="2"/>
  <c r="D9" i="2"/>
  <c r="D13" i="2"/>
  <c r="D17" i="2"/>
  <c r="D21" i="2"/>
  <c r="D25" i="2"/>
  <c r="D29" i="2"/>
  <c r="D33" i="2"/>
  <c r="D37" i="2"/>
  <c r="D41" i="2"/>
  <c r="D45" i="2"/>
  <c r="D49" i="2"/>
  <c r="D53" i="2"/>
  <c r="D57" i="2"/>
  <c r="D61" i="2"/>
  <c r="D65" i="2"/>
  <c r="D69" i="2"/>
  <c r="D73" i="2"/>
  <c r="D77" i="2"/>
  <c r="D81" i="2"/>
  <c r="D85" i="2"/>
  <c r="D89" i="2"/>
  <c r="D93" i="2"/>
  <c r="D97" i="2"/>
  <c r="D101" i="2"/>
  <c r="D105" i="2"/>
  <c r="D109" i="2"/>
  <c r="D113" i="2"/>
  <c r="D117" i="2"/>
  <c r="D121" i="2"/>
  <c r="D125" i="2"/>
  <c r="D129" i="2"/>
  <c r="D133" i="2"/>
  <c r="D137" i="2"/>
  <c r="D141" i="2"/>
  <c r="D145" i="2"/>
  <c r="D149" i="2"/>
  <c r="D153" i="2"/>
  <c r="D157" i="2"/>
  <c r="D161" i="2"/>
  <c r="D165" i="2"/>
  <c r="D169" i="2"/>
  <c r="D173" i="2"/>
  <c r="D177" i="2"/>
  <c r="D181" i="2"/>
  <c r="D6" i="2"/>
  <c r="D166" i="2"/>
  <c r="D178" i="2"/>
  <c r="D7" i="2"/>
  <c r="D19" i="2"/>
  <c r="D31" i="2"/>
  <c r="D43" i="2"/>
  <c r="D55" i="2"/>
  <c r="D67" i="2"/>
  <c r="D83" i="2"/>
  <c r="D95" i="2"/>
  <c r="D107" i="2"/>
  <c r="D119" i="2"/>
  <c r="D131" i="2"/>
  <c r="D139" i="2"/>
  <c r="D151" i="2"/>
  <c r="D159" i="2"/>
  <c r="D167" i="2"/>
  <c r="D175" i="2"/>
  <c r="D183" i="2"/>
  <c r="D10" i="2"/>
  <c r="D14" i="2"/>
  <c r="D18" i="2"/>
  <c r="D22" i="2"/>
  <c r="D26" i="2"/>
  <c r="D30" i="2"/>
  <c r="D34" i="2"/>
  <c r="D38" i="2"/>
  <c r="D42" i="2"/>
  <c r="D46" i="2"/>
  <c r="D50" i="2"/>
  <c r="D54" i="2"/>
  <c r="D58" i="2"/>
  <c r="D62" i="2"/>
  <c r="D66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74" i="2"/>
  <c r="D11" i="2"/>
  <c r="D35" i="2"/>
  <c r="D47" i="2"/>
  <c r="D63" i="2"/>
  <c r="D75" i="2"/>
  <c r="D87" i="2"/>
  <c r="D99" i="2"/>
  <c r="D111" i="2"/>
  <c r="D123" i="2"/>
  <c r="D135" i="2"/>
  <c r="D147" i="2"/>
  <c r="D155" i="2"/>
  <c r="D163" i="2"/>
  <c r="D171" i="2"/>
  <c r="D179" i="2"/>
  <c r="E5" i="2"/>
  <c r="D5" i="2"/>
  <c r="F101" i="1"/>
  <c r="G101" i="1" s="1"/>
  <c r="C102" i="1" s="1"/>
  <c r="E102" i="1" s="1"/>
  <c r="F102" i="1" s="1"/>
  <c r="G102" i="1" s="1"/>
  <c r="C103" i="1" s="1"/>
  <c r="E103" i="1" s="1"/>
  <c r="F103" i="1" s="1"/>
  <c r="G103" i="1" s="1"/>
  <c r="C104" i="1" s="1"/>
  <c r="E104" i="1" s="1"/>
  <c r="F104" i="1" s="1"/>
  <c r="G104" i="1" s="1"/>
  <c r="F49" i="1"/>
  <c r="G49" i="1" s="1"/>
  <c r="C50" i="1" s="1"/>
  <c r="E50" i="1" s="1"/>
  <c r="F50" i="1" s="1"/>
  <c r="G50" i="1" s="1"/>
  <c r="C51" i="1" s="1"/>
  <c r="E51" i="1" s="1"/>
  <c r="F51" i="1" s="1"/>
  <c r="G51" i="1" s="1"/>
  <c r="C64" i="1" s="1"/>
  <c r="C66" i="1" s="1"/>
  <c r="C11" i="1"/>
  <c r="E11" i="1" s="1"/>
  <c r="F11" i="1" s="1"/>
  <c r="I11" i="1" s="1"/>
  <c r="I10" i="1"/>
  <c r="F5" i="2" l="1"/>
  <c r="G5" i="2" s="1"/>
  <c r="C6" i="2" s="1"/>
  <c r="E6" i="2" s="1"/>
  <c r="F6" i="2" s="1"/>
  <c r="G6" i="2" s="1"/>
  <c r="C7" i="2" s="1"/>
  <c r="E7" i="2" s="1"/>
  <c r="F7" i="2" s="1"/>
  <c r="G7" i="2" s="1"/>
  <c r="C8" i="2" s="1"/>
  <c r="E8" i="2" s="1"/>
  <c r="F8" i="2" s="1"/>
  <c r="G8" i="2" s="1"/>
  <c r="C9" i="2" s="1"/>
  <c r="E9" i="2" s="1"/>
  <c r="F9" i="2" s="1"/>
  <c r="G9" i="2" s="1"/>
  <c r="C10" i="2" s="1"/>
  <c r="E10" i="2" s="1"/>
  <c r="F10" i="2" s="1"/>
  <c r="G10" i="2" s="1"/>
  <c r="C11" i="2" s="1"/>
  <c r="E11" i="2" s="1"/>
  <c r="F11" i="2" s="1"/>
  <c r="G11" i="2" s="1"/>
  <c r="C12" i="2" s="1"/>
  <c r="E12" i="2" s="1"/>
  <c r="F12" i="2" s="1"/>
  <c r="G12" i="2" s="1"/>
  <c r="C13" i="2" s="1"/>
  <c r="E13" i="2" s="1"/>
  <c r="F13" i="2" s="1"/>
  <c r="G13" i="2" s="1"/>
  <c r="C14" i="2" s="1"/>
  <c r="E14" i="2" s="1"/>
  <c r="F14" i="2" s="1"/>
  <c r="G14" i="2" s="1"/>
  <c r="C15" i="2" s="1"/>
  <c r="E15" i="2" s="1"/>
  <c r="F15" i="2" s="1"/>
  <c r="G15" i="2" s="1"/>
  <c r="C16" i="2" s="1"/>
  <c r="E16" i="2" s="1"/>
  <c r="F16" i="2" s="1"/>
  <c r="G16" i="2" s="1"/>
  <c r="C17" i="2" s="1"/>
  <c r="E17" i="2" s="1"/>
  <c r="F17" i="2" s="1"/>
  <c r="G17" i="2" s="1"/>
  <c r="C18" i="2" s="1"/>
  <c r="E18" i="2" s="1"/>
  <c r="F18" i="2" s="1"/>
  <c r="G18" i="2" s="1"/>
  <c r="C19" i="2" s="1"/>
  <c r="E19" i="2" s="1"/>
  <c r="F19" i="2" s="1"/>
  <c r="G19" i="2" s="1"/>
  <c r="C20" i="2" s="1"/>
  <c r="E20" i="2" s="1"/>
  <c r="F20" i="2" s="1"/>
  <c r="G20" i="2" s="1"/>
  <c r="C21" i="2" s="1"/>
  <c r="E21" i="2" s="1"/>
  <c r="F21" i="2" s="1"/>
  <c r="G21" i="2" s="1"/>
  <c r="C22" i="2" s="1"/>
  <c r="E22" i="2" s="1"/>
  <c r="F22" i="2" s="1"/>
  <c r="G22" i="2" s="1"/>
  <c r="C23" i="2" s="1"/>
  <c r="E23" i="2" s="1"/>
  <c r="F23" i="2" s="1"/>
  <c r="G23" i="2" s="1"/>
  <c r="C24" i="2" s="1"/>
  <c r="E24" i="2" s="1"/>
  <c r="F24" i="2" s="1"/>
  <c r="G24" i="2" s="1"/>
  <c r="C25" i="2" s="1"/>
  <c r="E25" i="2" s="1"/>
  <c r="F25" i="2" s="1"/>
  <c r="G25" i="2" s="1"/>
  <c r="C26" i="2" s="1"/>
  <c r="E26" i="2" s="1"/>
  <c r="F26" i="2" s="1"/>
  <c r="G26" i="2" s="1"/>
  <c r="C27" i="2" s="1"/>
  <c r="E27" i="2" s="1"/>
  <c r="F27" i="2" s="1"/>
  <c r="G27" i="2" s="1"/>
  <c r="C28" i="2" s="1"/>
  <c r="E28" i="2" s="1"/>
  <c r="F28" i="2" s="1"/>
  <c r="G28" i="2" s="1"/>
  <c r="C29" i="2" s="1"/>
  <c r="E29" i="2" s="1"/>
  <c r="F29" i="2" s="1"/>
  <c r="G29" i="2" s="1"/>
  <c r="C30" i="2" s="1"/>
  <c r="E30" i="2" s="1"/>
  <c r="F30" i="2" s="1"/>
  <c r="G30" i="2" s="1"/>
  <c r="C31" i="2" s="1"/>
  <c r="E31" i="2" s="1"/>
  <c r="F31" i="2" s="1"/>
  <c r="G31" i="2" s="1"/>
  <c r="C32" i="2" s="1"/>
  <c r="E32" i="2" s="1"/>
  <c r="F32" i="2" s="1"/>
  <c r="G32" i="2" s="1"/>
  <c r="C33" i="2" s="1"/>
  <c r="E33" i="2" s="1"/>
  <c r="F33" i="2" s="1"/>
  <c r="G33" i="2" s="1"/>
  <c r="C34" i="2" s="1"/>
  <c r="E34" i="2" s="1"/>
  <c r="F34" i="2" s="1"/>
  <c r="G34" i="2" s="1"/>
  <c r="C35" i="2" s="1"/>
  <c r="E35" i="2" s="1"/>
  <c r="F35" i="2" s="1"/>
  <c r="G35" i="2" s="1"/>
  <c r="C36" i="2" s="1"/>
  <c r="E36" i="2" s="1"/>
  <c r="F36" i="2" s="1"/>
  <c r="G36" i="2" s="1"/>
  <c r="C37" i="2" s="1"/>
  <c r="E37" i="2" s="1"/>
  <c r="F37" i="2" s="1"/>
  <c r="G37" i="2" s="1"/>
  <c r="C38" i="2" s="1"/>
  <c r="E38" i="2" s="1"/>
  <c r="F38" i="2" s="1"/>
  <c r="G38" i="2" s="1"/>
  <c r="C39" i="2" s="1"/>
  <c r="E39" i="2" s="1"/>
  <c r="F39" i="2" s="1"/>
  <c r="G39" i="2" s="1"/>
  <c r="C40" i="2" s="1"/>
  <c r="E40" i="2" s="1"/>
  <c r="F40" i="2" s="1"/>
  <c r="G40" i="2" s="1"/>
  <c r="C41" i="2" s="1"/>
  <c r="E41" i="2" s="1"/>
  <c r="F41" i="2" s="1"/>
  <c r="G41" i="2" s="1"/>
  <c r="C42" i="2" s="1"/>
  <c r="E42" i="2" s="1"/>
  <c r="F42" i="2" s="1"/>
  <c r="G42" i="2" s="1"/>
  <c r="C43" i="2" s="1"/>
  <c r="E43" i="2" s="1"/>
  <c r="F43" i="2" s="1"/>
  <c r="G43" i="2" s="1"/>
  <c r="C44" i="2" s="1"/>
  <c r="E44" i="2" s="1"/>
  <c r="F44" i="2" s="1"/>
  <c r="G44" i="2" s="1"/>
  <c r="C45" i="2" s="1"/>
  <c r="E45" i="2" s="1"/>
  <c r="F45" i="2" s="1"/>
  <c r="G45" i="2" s="1"/>
  <c r="C46" i="2" s="1"/>
  <c r="E46" i="2" s="1"/>
  <c r="F46" i="2" s="1"/>
  <c r="C52" i="1"/>
  <c r="E52" i="1" s="1"/>
  <c r="F52" i="1" s="1"/>
  <c r="G52" i="1" s="1"/>
  <c r="C53" i="1" s="1"/>
  <c r="E53" i="1" s="1"/>
  <c r="F53" i="1" s="1"/>
  <c r="G53" i="1" s="1"/>
  <c r="C54" i="1" s="1"/>
  <c r="E54" i="1" s="1"/>
  <c r="F54" i="1" s="1"/>
  <c r="G54" i="1" s="1"/>
  <c r="C55" i="1" s="1"/>
  <c r="E55" i="1" s="1"/>
  <c r="F55" i="1" s="1"/>
  <c r="G55" i="1" s="1"/>
  <c r="C56" i="1" s="1"/>
  <c r="E56" i="1" s="1"/>
  <c r="F56" i="1" s="1"/>
  <c r="G56" i="1" s="1"/>
  <c r="C57" i="1" s="1"/>
  <c r="E57" i="1" s="1"/>
  <c r="F57" i="1" s="1"/>
  <c r="G57" i="1" s="1"/>
  <c r="C58" i="1" s="1"/>
  <c r="E58" i="1" s="1"/>
  <c r="F58" i="1" s="1"/>
  <c r="G58" i="1" s="1"/>
  <c r="C59" i="1" s="1"/>
  <c r="E59" i="1" s="1"/>
  <c r="F59" i="1" s="1"/>
  <c r="G59" i="1" s="1"/>
  <c r="C60" i="1" s="1"/>
  <c r="E60" i="1" s="1"/>
  <c r="F60" i="1" s="1"/>
  <c r="G60" i="1" s="1"/>
  <c r="C61" i="1" s="1"/>
  <c r="E61" i="1" s="1"/>
  <c r="F61" i="1" s="1"/>
  <c r="G61" i="1" s="1"/>
  <c r="G11" i="1"/>
  <c r="C12" i="1" s="1"/>
  <c r="E12" i="1" s="1"/>
  <c r="F12" i="1" s="1"/>
  <c r="I12" i="1" s="1"/>
  <c r="C105" i="1"/>
  <c r="G46" i="2" l="1"/>
  <c r="C47" i="2" s="1"/>
  <c r="E47" i="2" s="1"/>
  <c r="F47" i="2" s="1"/>
  <c r="G47" i="2" s="1"/>
  <c r="C48" i="2" s="1"/>
  <c r="E48" i="2" s="1"/>
  <c r="F48" i="2" s="1"/>
  <c r="G48" i="2" s="1"/>
  <c r="C49" i="2" s="1"/>
  <c r="E49" i="2" s="1"/>
  <c r="F49" i="2" s="1"/>
  <c r="G49" i="2" s="1"/>
  <c r="C50" i="2" s="1"/>
  <c r="E50" i="2" s="1"/>
  <c r="F50" i="2" s="1"/>
  <c r="G50" i="2" s="1"/>
  <c r="C51" i="2" s="1"/>
  <c r="E51" i="2" s="1"/>
  <c r="F51" i="2" s="1"/>
  <c r="G51" i="2" s="1"/>
  <c r="C52" i="2" s="1"/>
  <c r="E52" i="2" s="1"/>
  <c r="F52" i="2" s="1"/>
  <c r="G52" i="2" s="1"/>
  <c r="C53" i="2" s="1"/>
  <c r="E53" i="2" s="1"/>
  <c r="F53" i="2" s="1"/>
  <c r="G53" i="2" s="1"/>
  <c r="C54" i="2" s="1"/>
  <c r="E54" i="2" s="1"/>
  <c r="F54" i="2" s="1"/>
  <c r="G54" i="2" s="1"/>
  <c r="C55" i="2" s="1"/>
  <c r="E55" i="2" s="1"/>
  <c r="F55" i="2" s="1"/>
  <c r="G55" i="2" s="1"/>
  <c r="C56" i="2" s="1"/>
  <c r="E56" i="2" s="1"/>
  <c r="F56" i="2" s="1"/>
  <c r="G56" i="2" s="1"/>
  <c r="C57" i="2" s="1"/>
  <c r="E57" i="2" s="1"/>
  <c r="F57" i="2" s="1"/>
  <c r="G57" i="2" s="1"/>
  <c r="C58" i="2" s="1"/>
  <c r="E58" i="2" s="1"/>
  <c r="F58" i="2" s="1"/>
  <c r="G58" i="2" s="1"/>
  <c r="C59" i="2" s="1"/>
  <c r="E59" i="2" s="1"/>
  <c r="F59" i="2" s="1"/>
  <c r="G59" i="2" s="1"/>
  <c r="C60" i="2" s="1"/>
  <c r="E60" i="2" s="1"/>
  <c r="F60" i="2" s="1"/>
  <c r="G60" i="2" s="1"/>
  <c r="C61" i="2" s="1"/>
  <c r="E61" i="2" s="1"/>
  <c r="F61" i="2" s="1"/>
  <c r="G61" i="2" s="1"/>
  <c r="C62" i="2" s="1"/>
  <c r="E62" i="2" s="1"/>
  <c r="F62" i="2" s="1"/>
  <c r="G62" i="2" s="1"/>
  <c r="C63" i="2" s="1"/>
  <c r="E63" i="2" s="1"/>
  <c r="F63" i="2" s="1"/>
  <c r="G63" i="2" s="1"/>
  <c r="C64" i="2" s="1"/>
  <c r="E64" i="2" s="1"/>
  <c r="F64" i="2" s="1"/>
  <c r="G64" i="2" s="1"/>
  <c r="C65" i="2" s="1"/>
  <c r="E65" i="2" s="1"/>
  <c r="F65" i="2" s="1"/>
  <c r="G65" i="2" s="1"/>
  <c r="C66" i="2" s="1"/>
  <c r="E66" i="2" s="1"/>
  <c r="F66" i="2" s="1"/>
  <c r="G66" i="2" s="1"/>
  <c r="C67" i="2" s="1"/>
  <c r="E67" i="2" s="1"/>
  <c r="F67" i="2" s="1"/>
  <c r="G67" i="2" s="1"/>
  <c r="C68" i="2" s="1"/>
  <c r="E68" i="2" s="1"/>
  <c r="F68" i="2" s="1"/>
  <c r="G68" i="2" s="1"/>
  <c r="C69" i="2" s="1"/>
  <c r="E69" i="2" s="1"/>
  <c r="F69" i="2" s="1"/>
  <c r="G69" i="2" s="1"/>
  <c r="C70" i="2" s="1"/>
  <c r="E70" i="2" s="1"/>
  <c r="F70" i="2" s="1"/>
  <c r="G70" i="2" s="1"/>
  <c r="C71" i="2" s="1"/>
  <c r="E71" i="2" s="1"/>
  <c r="F71" i="2" s="1"/>
  <c r="G71" i="2" s="1"/>
  <c r="C72" i="2" s="1"/>
  <c r="E72" i="2" s="1"/>
  <c r="F72" i="2" s="1"/>
  <c r="G72" i="2" s="1"/>
  <c r="C73" i="2" s="1"/>
  <c r="E73" i="2" s="1"/>
  <c r="F73" i="2" s="1"/>
  <c r="G73" i="2" s="1"/>
  <c r="C74" i="2" s="1"/>
  <c r="E74" i="2" s="1"/>
  <c r="F74" i="2" s="1"/>
  <c r="G74" i="2" s="1"/>
  <c r="C75" i="2" s="1"/>
  <c r="E75" i="2" s="1"/>
  <c r="F75" i="2" s="1"/>
  <c r="G75" i="2" s="1"/>
  <c r="C76" i="2" s="1"/>
  <c r="E76" i="2" s="1"/>
  <c r="F76" i="2" s="1"/>
  <c r="G76" i="2" s="1"/>
  <c r="C77" i="2" s="1"/>
  <c r="E77" i="2" s="1"/>
  <c r="F77" i="2" s="1"/>
  <c r="G77" i="2" s="1"/>
  <c r="C78" i="2" s="1"/>
  <c r="E78" i="2" s="1"/>
  <c r="F78" i="2" s="1"/>
  <c r="G78" i="2" s="1"/>
  <c r="C79" i="2" s="1"/>
  <c r="E79" i="2" s="1"/>
  <c r="F79" i="2" s="1"/>
  <c r="G79" i="2" s="1"/>
  <c r="C80" i="2" s="1"/>
  <c r="E80" i="2" s="1"/>
  <c r="F80" i="2" s="1"/>
  <c r="G80" i="2" s="1"/>
  <c r="C81" i="2" s="1"/>
  <c r="E81" i="2" s="1"/>
  <c r="F81" i="2" s="1"/>
  <c r="G81" i="2" s="1"/>
  <c r="C82" i="2" s="1"/>
  <c r="E82" i="2" s="1"/>
  <c r="F82" i="2" s="1"/>
  <c r="G82" i="2" s="1"/>
  <c r="C83" i="2" s="1"/>
  <c r="E83" i="2" s="1"/>
  <c r="F83" i="2" s="1"/>
  <c r="G83" i="2" s="1"/>
  <c r="C84" i="2" s="1"/>
  <c r="E84" i="2" s="1"/>
  <c r="F84" i="2" s="1"/>
  <c r="G84" i="2" s="1"/>
  <c r="C85" i="2" s="1"/>
  <c r="E85" i="2" s="1"/>
  <c r="F85" i="2" s="1"/>
  <c r="G85" i="2" s="1"/>
  <c r="C86" i="2" s="1"/>
  <c r="E86" i="2" s="1"/>
  <c r="F86" i="2" s="1"/>
  <c r="G86" i="2" s="1"/>
  <c r="C87" i="2" s="1"/>
  <c r="E87" i="2" s="1"/>
  <c r="F87" i="2" s="1"/>
  <c r="G87" i="2" s="1"/>
  <c r="C88" i="2" s="1"/>
  <c r="E88" i="2" s="1"/>
  <c r="F88" i="2" s="1"/>
  <c r="G88" i="2" s="1"/>
  <c r="C89" i="2" s="1"/>
  <c r="E89" i="2" s="1"/>
  <c r="F89" i="2" s="1"/>
  <c r="G89" i="2" s="1"/>
  <c r="C90" i="2" s="1"/>
  <c r="E90" i="2" s="1"/>
  <c r="F90" i="2" s="1"/>
  <c r="G90" i="2" s="1"/>
  <c r="C91" i="2" s="1"/>
  <c r="E91" i="2" s="1"/>
  <c r="F91" i="2" s="1"/>
  <c r="G91" i="2" s="1"/>
  <c r="C92" i="2" s="1"/>
  <c r="E92" i="2" s="1"/>
  <c r="F92" i="2" s="1"/>
  <c r="G92" i="2" s="1"/>
  <c r="C93" i="2" s="1"/>
  <c r="E93" i="2" s="1"/>
  <c r="F93" i="2" s="1"/>
  <c r="G93" i="2" s="1"/>
  <c r="C94" i="2" s="1"/>
  <c r="E94" i="2" s="1"/>
  <c r="F94" i="2" s="1"/>
  <c r="G94" i="2" s="1"/>
  <c r="C95" i="2" s="1"/>
  <c r="E95" i="2" s="1"/>
  <c r="F95" i="2" s="1"/>
  <c r="G95" i="2" s="1"/>
  <c r="C96" i="2" s="1"/>
  <c r="E96" i="2" s="1"/>
  <c r="F96" i="2" s="1"/>
  <c r="G96" i="2" s="1"/>
  <c r="C97" i="2" s="1"/>
  <c r="E97" i="2" s="1"/>
  <c r="F97" i="2" s="1"/>
  <c r="G97" i="2" s="1"/>
  <c r="C98" i="2" s="1"/>
  <c r="E98" i="2" s="1"/>
  <c r="F98" i="2" s="1"/>
  <c r="G98" i="2" s="1"/>
  <c r="C99" i="2" s="1"/>
  <c r="E99" i="2" s="1"/>
  <c r="F99" i="2" s="1"/>
  <c r="G99" i="2" s="1"/>
  <c r="C100" i="2" s="1"/>
  <c r="E100" i="2" s="1"/>
  <c r="F100" i="2" s="1"/>
  <c r="G100" i="2" s="1"/>
  <c r="C101" i="2" s="1"/>
  <c r="E101" i="2" s="1"/>
  <c r="F101" i="2" s="1"/>
  <c r="G101" i="2" s="1"/>
  <c r="C102" i="2" s="1"/>
  <c r="E102" i="2" s="1"/>
  <c r="F102" i="2" s="1"/>
  <c r="G102" i="2" s="1"/>
  <c r="C103" i="2" s="1"/>
  <c r="E103" i="2" s="1"/>
  <c r="F103" i="2" s="1"/>
  <c r="G103" i="2" s="1"/>
  <c r="C104" i="2" s="1"/>
  <c r="E104" i="2" s="1"/>
  <c r="F104" i="2" s="1"/>
  <c r="G104" i="2" s="1"/>
  <c r="C105" i="2" s="1"/>
  <c r="E105" i="2" s="1"/>
  <c r="F105" i="2" s="1"/>
  <c r="G105" i="2" s="1"/>
  <c r="C106" i="2" s="1"/>
  <c r="E106" i="2" s="1"/>
  <c r="F106" i="2" s="1"/>
  <c r="G106" i="2" s="1"/>
  <c r="C107" i="2" s="1"/>
  <c r="E107" i="2" s="1"/>
  <c r="F107" i="2" s="1"/>
  <c r="G107" i="2" s="1"/>
  <c r="C108" i="2" s="1"/>
  <c r="E108" i="2" s="1"/>
  <c r="F108" i="2" s="1"/>
  <c r="G108" i="2" s="1"/>
  <c r="C109" i="2" s="1"/>
  <c r="E109" i="2" s="1"/>
  <c r="F109" i="2" s="1"/>
  <c r="G109" i="2" s="1"/>
  <c r="C110" i="2" s="1"/>
  <c r="E110" i="2" s="1"/>
  <c r="F110" i="2" s="1"/>
  <c r="G110" i="2" s="1"/>
  <c r="C111" i="2" s="1"/>
  <c r="E111" i="2" s="1"/>
  <c r="F111" i="2" s="1"/>
  <c r="G111" i="2" s="1"/>
  <c r="C112" i="2" s="1"/>
  <c r="E112" i="2" s="1"/>
  <c r="F112" i="2" s="1"/>
  <c r="G112" i="2" s="1"/>
  <c r="C113" i="2" s="1"/>
  <c r="E113" i="2" s="1"/>
  <c r="F113" i="2" s="1"/>
  <c r="G113" i="2" s="1"/>
  <c r="C114" i="2" s="1"/>
  <c r="E114" i="2" s="1"/>
  <c r="F114" i="2" s="1"/>
  <c r="G114" i="2" s="1"/>
  <c r="C115" i="2" s="1"/>
  <c r="E115" i="2" s="1"/>
  <c r="F115" i="2" s="1"/>
  <c r="G115" i="2" s="1"/>
  <c r="C116" i="2" s="1"/>
  <c r="E116" i="2" s="1"/>
  <c r="F116" i="2" s="1"/>
  <c r="G116" i="2" s="1"/>
  <c r="C117" i="2" s="1"/>
  <c r="E117" i="2" s="1"/>
  <c r="F117" i="2" s="1"/>
  <c r="G117" i="2" s="1"/>
  <c r="C118" i="2" s="1"/>
  <c r="E118" i="2" s="1"/>
  <c r="F118" i="2" s="1"/>
  <c r="G118" i="2" s="1"/>
  <c r="C119" i="2" s="1"/>
  <c r="E119" i="2" s="1"/>
  <c r="F119" i="2" s="1"/>
  <c r="G119" i="2" s="1"/>
  <c r="C120" i="2" s="1"/>
  <c r="E120" i="2" s="1"/>
  <c r="F120" i="2" s="1"/>
  <c r="G120" i="2" s="1"/>
  <c r="C121" i="2" s="1"/>
  <c r="E121" i="2" s="1"/>
  <c r="F121" i="2" s="1"/>
  <c r="G121" i="2" s="1"/>
  <c r="C122" i="2" s="1"/>
  <c r="E122" i="2" s="1"/>
  <c r="F122" i="2" s="1"/>
  <c r="G122" i="2" s="1"/>
  <c r="C123" i="2" s="1"/>
  <c r="E123" i="2" s="1"/>
  <c r="F123" i="2" s="1"/>
  <c r="G123" i="2" s="1"/>
  <c r="C124" i="2" s="1"/>
  <c r="E124" i="2" s="1"/>
  <c r="F124" i="2" s="1"/>
  <c r="G124" i="2" s="1"/>
  <c r="C125" i="2" s="1"/>
  <c r="E125" i="2" s="1"/>
  <c r="F125" i="2" s="1"/>
  <c r="G125" i="2" s="1"/>
  <c r="C126" i="2" s="1"/>
  <c r="E126" i="2" s="1"/>
  <c r="F126" i="2" s="1"/>
  <c r="G126" i="2" s="1"/>
  <c r="C127" i="2" s="1"/>
  <c r="E127" i="2" s="1"/>
  <c r="F127" i="2" s="1"/>
  <c r="G127" i="2" s="1"/>
  <c r="C128" i="2" s="1"/>
  <c r="E128" i="2" s="1"/>
  <c r="F128" i="2" s="1"/>
  <c r="G128" i="2" s="1"/>
  <c r="C129" i="2" s="1"/>
  <c r="E129" i="2" s="1"/>
  <c r="F129" i="2" s="1"/>
  <c r="G129" i="2" s="1"/>
  <c r="C130" i="2" s="1"/>
  <c r="E130" i="2" s="1"/>
  <c r="F130" i="2" s="1"/>
  <c r="G130" i="2" s="1"/>
  <c r="C131" i="2" s="1"/>
  <c r="E131" i="2" s="1"/>
  <c r="F131" i="2" s="1"/>
  <c r="G131" i="2" s="1"/>
  <c r="C132" i="2" s="1"/>
  <c r="E132" i="2" s="1"/>
  <c r="F132" i="2" s="1"/>
  <c r="G132" i="2" s="1"/>
  <c r="C133" i="2" s="1"/>
  <c r="E133" i="2" s="1"/>
  <c r="F133" i="2" s="1"/>
  <c r="G133" i="2" s="1"/>
  <c r="C134" i="2" s="1"/>
  <c r="E134" i="2" s="1"/>
  <c r="F134" i="2" s="1"/>
  <c r="G134" i="2" s="1"/>
  <c r="C135" i="2" s="1"/>
  <c r="E135" i="2" s="1"/>
  <c r="F135" i="2" s="1"/>
  <c r="G135" i="2" s="1"/>
  <c r="C136" i="2" s="1"/>
  <c r="E136" i="2" s="1"/>
  <c r="F136" i="2" s="1"/>
  <c r="G136" i="2" s="1"/>
  <c r="C137" i="2" s="1"/>
  <c r="E137" i="2" s="1"/>
  <c r="F137" i="2" s="1"/>
  <c r="G137" i="2" s="1"/>
  <c r="C138" i="2" s="1"/>
  <c r="E138" i="2" s="1"/>
  <c r="F138" i="2" s="1"/>
  <c r="G138" i="2" s="1"/>
  <c r="C139" i="2" s="1"/>
  <c r="E139" i="2" s="1"/>
  <c r="F139" i="2" s="1"/>
  <c r="G139" i="2" s="1"/>
  <c r="C140" i="2" s="1"/>
  <c r="E140" i="2" s="1"/>
  <c r="F140" i="2" s="1"/>
  <c r="G140" i="2" s="1"/>
  <c r="C141" i="2" s="1"/>
  <c r="E141" i="2" s="1"/>
  <c r="F141" i="2" s="1"/>
  <c r="G141" i="2" s="1"/>
  <c r="C142" i="2" s="1"/>
  <c r="G12" i="1"/>
  <c r="C13" i="1" s="1"/>
  <c r="E13" i="1" s="1"/>
  <c r="F13" i="1" s="1"/>
  <c r="I13" i="1" s="1"/>
  <c r="E105" i="1"/>
  <c r="F105" i="1" s="1"/>
  <c r="G105" i="1" s="1"/>
  <c r="J64" i="2" l="1"/>
  <c r="E142" i="2"/>
  <c r="F142" i="2" s="1"/>
  <c r="G142" i="2" s="1"/>
  <c r="C143" i="2" s="1"/>
  <c r="E143" i="2" s="1"/>
  <c r="F143" i="2" s="1"/>
  <c r="G143" i="2" s="1"/>
  <c r="C144" i="2" s="1"/>
  <c r="E144" i="2" s="1"/>
  <c r="F144" i="2" s="1"/>
  <c r="G144" i="2" s="1"/>
  <c r="C145" i="2" s="1"/>
  <c r="E145" i="2" s="1"/>
  <c r="F145" i="2" s="1"/>
  <c r="G145" i="2" s="1"/>
  <c r="C146" i="2" s="1"/>
  <c r="E146" i="2" s="1"/>
  <c r="F146" i="2" s="1"/>
  <c r="G146" i="2" s="1"/>
  <c r="C147" i="2" s="1"/>
  <c r="E147" i="2" s="1"/>
  <c r="F147" i="2" s="1"/>
  <c r="G147" i="2" s="1"/>
  <c r="C148" i="2" s="1"/>
  <c r="E148" i="2" s="1"/>
  <c r="F148" i="2" s="1"/>
  <c r="G148" i="2" s="1"/>
  <c r="C149" i="2" s="1"/>
  <c r="E149" i="2" s="1"/>
  <c r="F149" i="2" s="1"/>
  <c r="G149" i="2" s="1"/>
  <c r="C150" i="2" s="1"/>
  <c r="E150" i="2" s="1"/>
  <c r="F150" i="2" s="1"/>
  <c r="G150" i="2" s="1"/>
  <c r="C151" i="2" s="1"/>
  <c r="E151" i="2" s="1"/>
  <c r="F151" i="2" s="1"/>
  <c r="G151" i="2" s="1"/>
  <c r="C152" i="2" s="1"/>
  <c r="E152" i="2" s="1"/>
  <c r="F152" i="2" s="1"/>
  <c r="G152" i="2" s="1"/>
  <c r="C153" i="2" s="1"/>
  <c r="E153" i="2" s="1"/>
  <c r="F153" i="2" s="1"/>
  <c r="G153" i="2" s="1"/>
  <c r="C154" i="2" s="1"/>
  <c r="E154" i="2" s="1"/>
  <c r="F154" i="2" s="1"/>
  <c r="G154" i="2" s="1"/>
  <c r="C155" i="2" s="1"/>
  <c r="E155" i="2" s="1"/>
  <c r="F155" i="2" s="1"/>
  <c r="G155" i="2" s="1"/>
  <c r="C156" i="2" s="1"/>
  <c r="E156" i="2" s="1"/>
  <c r="F156" i="2" s="1"/>
  <c r="G156" i="2" s="1"/>
  <c r="C157" i="2" s="1"/>
  <c r="E157" i="2" s="1"/>
  <c r="F157" i="2" s="1"/>
  <c r="G157" i="2" s="1"/>
  <c r="C158" i="2" s="1"/>
  <c r="E158" i="2" s="1"/>
  <c r="F158" i="2" s="1"/>
  <c r="G158" i="2" s="1"/>
  <c r="C159" i="2" s="1"/>
  <c r="E159" i="2" s="1"/>
  <c r="F159" i="2" s="1"/>
  <c r="G159" i="2" s="1"/>
  <c r="C160" i="2" s="1"/>
  <c r="E160" i="2" s="1"/>
  <c r="F160" i="2" s="1"/>
  <c r="G160" i="2" s="1"/>
  <c r="C161" i="2" s="1"/>
  <c r="E161" i="2" s="1"/>
  <c r="F161" i="2" s="1"/>
  <c r="G161" i="2" s="1"/>
  <c r="C162" i="2" s="1"/>
  <c r="E162" i="2" s="1"/>
  <c r="F162" i="2" s="1"/>
  <c r="G162" i="2" s="1"/>
  <c r="C163" i="2" s="1"/>
  <c r="E163" i="2" s="1"/>
  <c r="F163" i="2" s="1"/>
  <c r="G163" i="2" s="1"/>
  <c r="C164" i="2" s="1"/>
  <c r="E164" i="2" s="1"/>
  <c r="F164" i="2" s="1"/>
  <c r="G164" i="2" s="1"/>
  <c r="C165" i="2" s="1"/>
  <c r="E165" i="2" s="1"/>
  <c r="F165" i="2" s="1"/>
  <c r="G165" i="2" s="1"/>
  <c r="C166" i="2" s="1"/>
  <c r="E166" i="2" s="1"/>
  <c r="F166" i="2" s="1"/>
  <c r="G166" i="2" s="1"/>
  <c r="C167" i="2" s="1"/>
  <c r="E167" i="2" s="1"/>
  <c r="F167" i="2" s="1"/>
  <c r="G167" i="2" s="1"/>
  <c r="C168" i="2" s="1"/>
  <c r="E168" i="2" s="1"/>
  <c r="F168" i="2" s="1"/>
  <c r="G168" i="2" s="1"/>
  <c r="C169" i="2" s="1"/>
  <c r="E169" i="2" s="1"/>
  <c r="F169" i="2" s="1"/>
  <c r="G169" i="2" s="1"/>
  <c r="C170" i="2" s="1"/>
  <c r="E170" i="2" s="1"/>
  <c r="F170" i="2" s="1"/>
  <c r="G170" i="2" s="1"/>
  <c r="C171" i="2" s="1"/>
  <c r="E171" i="2" s="1"/>
  <c r="F171" i="2" s="1"/>
  <c r="G171" i="2" s="1"/>
  <c r="C172" i="2" s="1"/>
  <c r="E172" i="2" s="1"/>
  <c r="F172" i="2" s="1"/>
  <c r="G172" i="2" s="1"/>
  <c r="C173" i="2" s="1"/>
  <c r="E173" i="2" s="1"/>
  <c r="F173" i="2" s="1"/>
  <c r="G173" i="2" s="1"/>
  <c r="C174" i="2" s="1"/>
  <c r="E174" i="2" s="1"/>
  <c r="F174" i="2" s="1"/>
  <c r="G174" i="2" s="1"/>
  <c r="C175" i="2" s="1"/>
  <c r="E175" i="2" s="1"/>
  <c r="F175" i="2" s="1"/>
  <c r="G175" i="2" s="1"/>
  <c r="C176" i="2" s="1"/>
  <c r="E176" i="2" s="1"/>
  <c r="F176" i="2" s="1"/>
  <c r="G176" i="2" s="1"/>
  <c r="C177" i="2" s="1"/>
  <c r="E177" i="2" s="1"/>
  <c r="F177" i="2" s="1"/>
  <c r="G177" i="2" s="1"/>
  <c r="C178" i="2" s="1"/>
  <c r="E178" i="2" s="1"/>
  <c r="F178" i="2" s="1"/>
  <c r="G178" i="2" s="1"/>
  <c r="C179" i="2" s="1"/>
  <c r="E179" i="2" s="1"/>
  <c r="F179" i="2" s="1"/>
  <c r="G179" i="2" s="1"/>
  <c r="C180" i="2" s="1"/>
  <c r="E180" i="2" s="1"/>
  <c r="F180" i="2" s="1"/>
  <c r="G180" i="2" s="1"/>
  <c r="C181" i="2" s="1"/>
  <c r="E181" i="2" s="1"/>
  <c r="F181" i="2" s="1"/>
  <c r="G181" i="2" s="1"/>
  <c r="C182" i="2" s="1"/>
  <c r="E182" i="2" s="1"/>
  <c r="F182" i="2" s="1"/>
  <c r="G182" i="2" s="1"/>
  <c r="C183" i="2" s="1"/>
  <c r="E183" i="2" s="1"/>
  <c r="F183" i="2" s="1"/>
  <c r="G183" i="2" s="1"/>
  <c r="C184" i="2" s="1"/>
  <c r="E184" i="2" s="1"/>
  <c r="F184" i="2" s="1"/>
  <c r="G184" i="2" s="1"/>
  <c r="G13" i="1"/>
  <c r="C14" i="1" s="1"/>
  <c r="E14" i="1" s="1"/>
  <c r="F14" i="1" s="1"/>
  <c r="I14" i="1" s="1"/>
  <c r="C106" i="1"/>
  <c r="G14" i="1" l="1"/>
  <c r="E106" i="1"/>
  <c r="F106" i="1" s="1"/>
  <c r="G106" i="1" s="1"/>
  <c r="C107" i="1" l="1"/>
  <c r="E107" i="1" l="1"/>
  <c r="F107" i="1" s="1"/>
  <c r="G107" i="1" s="1"/>
  <c r="C108" i="1" l="1"/>
  <c r="E108" i="1" l="1"/>
  <c r="F108" i="1" s="1"/>
  <c r="G108" i="1" s="1"/>
  <c r="C109" i="1" l="1"/>
  <c r="E109" i="1" l="1"/>
  <c r="F109" i="1" s="1"/>
  <c r="G109" i="1" s="1"/>
  <c r="C110" i="1" l="1"/>
  <c r="E110" i="1" l="1"/>
  <c r="F110" i="1" s="1"/>
  <c r="G110" i="1" s="1"/>
  <c r="C123" i="1" s="1"/>
  <c r="D129" i="1" s="1"/>
  <c r="C133" i="1" l="1"/>
  <c r="D135" i="1" s="1"/>
  <c r="D137" i="1" s="1"/>
  <c r="C111" i="1"/>
  <c r="E111" i="1" l="1"/>
  <c r="F111" i="1" s="1"/>
  <c r="G111" i="1" s="1"/>
  <c r="C112" i="1" l="1"/>
  <c r="E112" i="1" l="1"/>
  <c r="F112" i="1" s="1"/>
  <c r="G112" i="1" s="1"/>
  <c r="C113" i="1" l="1"/>
  <c r="E113" i="1" l="1"/>
  <c r="F113" i="1" s="1"/>
  <c r="G113" i="1" s="1"/>
  <c r="C114" i="1" l="1"/>
  <c r="E114" i="1" l="1"/>
  <c r="F114" i="1" s="1"/>
  <c r="G114" i="1" s="1"/>
  <c r="C115" i="1" l="1"/>
  <c r="E115" i="1" l="1"/>
  <c r="F115" i="1" s="1"/>
  <c r="G115" i="1" s="1"/>
  <c r="C116" i="1" l="1"/>
  <c r="E116" i="1" l="1"/>
  <c r="F116" i="1" s="1"/>
  <c r="G116" i="1" s="1"/>
  <c r="C117" i="1" l="1"/>
  <c r="E117" i="1" l="1"/>
  <c r="F117" i="1" s="1"/>
  <c r="G117" i="1" s="1"/>
  <c r="C118" i="1" l="1"/>
  <c r="E118" i="1" l="1"/>
  <c r="F118" i="1" s="1"/>
  <c r="G118" i="1" s="1"/>
  <c r="C119" i="1" l="1"/>
  <c r="E119" i="1" l="1"/>
  <c r="F119" i="1" s="1"/>
  <c r="G119" i="1" s="1"/>
  <c r="C120" i="1" l="1"/>
  <c r="E120" i="1" l="1"/>
  <c r="F120" i="1" s="1"/>
  <c r="G120" i="1" s="1"/>
</calcChain>
</file>

<file path=xl/comments1.xml><?xml version="1.0" encoding="utf-8"?>
<comments xmlns="http://schemas.openxmlformats.org/spreadsheetml/2006/main">
  <authors>
    <author>Gabriela Sequeira</author>
  </authors>
  <commentList>
    <comment ref="D191" authorId="0" shapeId="0">
      <text>
        <r>
          <rPr>
            <b/>
            <sz val="9"/>
            <color indexed="81"/>
            <rFont val="Tahoma"/>
            <family val="2"/>
          </rPr>
          <t>Gabriela Sequeira:</t>
        </r>
        <r>
          <rPr>
            <sz val="9"/>
            <color indexed="81"/>
            <rFont val="Tahoma"/>
            <family val="2"/>
          </rPr>
          <t xml:space="preserve">
Igual a UN pues no hay intereses</t>
        </r>
      </text>
    </comment>
  </commentList>
</comments>
</file>

<file path=xl/sharedStrings.xml><?xml version="1.0" encoding="utf-8"?>
<sst xmlns="http://schemas.openxmlformats.org/spreadsheetml/2006/main" count="178" uniqueCount="94">
  <si>
    <t>rate</t>
  </si>
  <si>
    <t>PV</t>
  </si>
  <si>
    <t>Tasa de interés</t>
  </si>
  <si>
    <t>PMT</t>
  </si>
  <si>
    <t>n</t>
  </si>
  <si>
    <t>n años</t>
  </si>
  <si>
    <t>?</t>
  </si>
  <si>
    <t>a</t>
  </si>
  <si>
    <t>b</t>
  </si>
  <si>
    <t>Saldo inicial</t>
  </si>
  <si>
    <t>Cuota</t>
  </si>
  <si>
    <t>Interés</t>
  </si>
  <si>
    <t>Amort. Capital</t>
  </si>
  <si>
    <t>Saldo final</t>
  </si>
  <si>
    <t>Periodo</t>
  </si>
  <si>
    <t>Precio</t>
  </si>
  <si>
    <t>Regalo</t>
  </si>
  <si>
    <t>m</t>
  </si>
  <si>
    <t>n meses</t>
  </si>
  <si>
    <t>Tasa mensual</t>
  </si>
  <si>
    <t>TPA</t>
  </si>
  <si>
    <t>Opción A</t>
  </si>
  <si>
    <t>Opción B</t>
  </si>
  <si>
    <t>Enganche</t>
  </si>
  <si>
    <t>Cuota equivalente anual calculada con TAE</t>
  </si>
  <si>
    <t>TAE</t>
  </si>
  <si>
    <t>Interés mes 61</t>
  </si>
  <si>
    <t>c</t>
  </si>
  <si>
    <t>tasa mensual</t>
  </si>
  <si>
    <t>Tasa cupón</t>
  </si>
  <si>
    <t>Cupón</t>
  </si>
  <si>
    <t>Valor nominal</t>
  </si>
  <si>
    <t>YTM</t>
  </si>
  <si>
    <t>r per</t>
  </si>
  <si>
    <t>PMT mensual</t>
  </si>
  <si>
    <t>Saldo año 10</t>
  </si>
  <si>
    <t>Nuevo pmt</t>
  </si>
  <si>
    <t>Ahorro en pmt</t>
  </si>
  <si>
    <t>Valor presente de ahorros en cuota</t>
  </si>
  <si>
    <t>Costos de cancelar el contrato</t>
  </si>
  <si>
    <t>Ahorro total</t>
  </si>
  <si>
    <t>Valor del terreno</t>
  </si>
  <si>
    <t>Construcción</t>
  </si>
  <si>
    <t>Precio de venta</t>
  </si>
  <si>
    <t>tasa</t>
  </si>
  <si>
    <t>Inversión</t>
  </si>
  <si>
    <t>VPN decisión</t>
  </si>
  <si>
    <t>A</t>
  </si>
  <si>
    <t>B</t>
  </si>
  <si>
    <t>Depreciación</t>
  </si>
  <si>
    <t>Ahorros MOD</t>
  </si>
  <si>
    <t>Ut. Bruta</t>
  </si>
  <si>
    <t>Gastos</t>
  </si>
  <si>
    <t>Ahorro en Mant.</t>
  </si>
  <si>
    <t>Ut. Operativa</t>
  </si>
  <si>
    <t>Impuestos</t>
  </si>
  <si>
    <t>NOPAT</t>
  </si>
  <si>
    <t>I</t>
  </si>
  <si>
    <t>Maquinaria</t>
  </si>
  <si>
    <t>Instalaciones</t>
  </si>
  <si>
    <t>(+) dep</t>
  </si>
  <si>
    <t>(+) var. Capital de trabajo</t>
  </si>
  <si>
    <t>(-) inversión</t>
  </si>
  <si>
    <t>NPV</t>
  </si>
  <si>
    <t>Interes</t>
  </si>
  <si>
    <t>amort</t>
  </si>
  <si>
    <t>Meses</t>
  </si>
  <si>
    <t># de bonos a emitir</t>
  </si>
  <si>
    <t>Recaudación</t>
  </si>
  <si>
    <t>Flujo de Caja Libre</t>
  </si>
  <si>
    <t>Flujo Operativo</t>
  </si>
  <si>
    <t>Otra opción es comparar pagos.  B es mejor pues su pago es menor</t>
  </si>
  <si>
    <t>Una opción era comparar tasas.  B es mejor pues su tasa es menor a la de 6.76% que daba A</t>
  </si>
  <si>
    <t>Saldo al finalizar el periodo 60</t>
  </si>
  <si>
    <t xml:space="preserve">El valor futuro de 12 pagos de 927.01 </t>
  </si>
  <si>
    <t>Es igual a decir:</t>
  </si>
  <si>
    <t>También puede calcularse así:</t>
  </si>
  <si>
    <t>Signos deben ser inversos para obtener el saldo correcto</t>
  </si>
  <si>
    <t>Saldo inicial mes 61</t>
  </si>
  <si>
    <t>PMT equivalente anual con TAE</t>
  </si>
  <si>
    <t>Con fórmula matemática</t>
  </si>
  <si>
    <t>Con fórmula PV de Excel</t>
  </si>
  <si>
    <t>Con fórmula NPV de Excel (tiene que tener cero en periodos donde no hay flujos)</t>
  </si>
  <si>
    <t>Neto se refiere al valor descontando su inversión inicial</t>
  </si>
  <si>
    <t>Infinito</t>
  </si>
  <si>
    <t>No puede usarse fórmula de perpetuidad con crecimiento</t>
  </si>
  <si>
    <t>porque tasa de crecimiento no es constante</t>
  </si>
  <si>
    <t>Es una serie de perpetuidades</t>
  </si>
  <si>
    <t>Con fórmula NPV Excel</t>
  </si>
  <si>
    <t>Con fórmula NPV Excel (debe llevar 0 en periodos donde no hay flujo)</t>
  </si>
  <si>
    <t>Tiene un mayor valor presente y este es superior al monto de inversión</t>
  </si>
  <si>
    <t>Valor presente es menor al monto de inversión</t>
  </si>
  <si>
    <t>Ninguna</t>
  </si>
  <si>
    <t>Con fórmula anualidades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</si>
</sst>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Q&quot;#,##0.00;[Red]\-&quot;Q&quot;#,##0.00"/>
    <numFmt numFmtId="43" formatCode="_-* #,##0.00_-;\-* #,##0.00_-;_-* &quot;-&quot;??_-;_-@_-"/>
    <numFmt numFmtId="164" formatCode="0.0%"/>
    <numFmt numFmtId="165" formatCode="#,##0.0"/>
    <numFmt numFmtId="183" formatCode="0.0000"/>
    <numFmt numFmtId="187" formatCode="#,##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4" fontId="2" fillId="0" borderId="0" xfId="0" applyNumberFormat="1" applyFont="1"/>
    <xf numFmtId="10" fontId="2" fillId="0" borderId="0" xfId="0" applyNumberFormat="1" applyFont="1"/>
    <xf numFmtId="0" fontId="3" fillId="0" borderId="1" xfId="0" applyFont="1" applyBorder="1"/>
    <xf numFmtId="0" fontId="3" fillId="0" borderId="0" xfId="0" applyFont="1" applyBorder="1"/>
    <xf numFmtId="4" fontId="3" fillId="0" borderId="0" xfId="0" applyNumberFormat="1" applyFont="1" applyBorder="1"/>
    <xf numFmtId="10" fontId="3" fillId="0" borderId="0" xfId="0" applyNumberFormat="1" applyFont="1" applyBorder="1"/>
    <xf numFmtId="164" fontId="3" fillId="0" borderId="0" xfId="0" applyNumberFormat="1" applyFont="1" applyBorder="1"/>
    <xf numFmtId="3" fontId="3" fillId="0" borderId="0" xfId="0" applyNumberFormat="1" applyFont="1" applyBorder="1"/>
    <xf numFmtId="9" fontId="3" fillId="0" borderId="0" xfId="0" applyNumberFormat="1" applyFont="1" applyBorder="1"/>
    <xf numFmtId="8" fontId="3" fillId="0" borderId="0" xfId="0" applyNumberFormat="1" applyFont="1" applyBorder="1"/>
    <xf numFmtId="4" fontId="4" fillId="2" borderId="0" xfId="0" applyNumberFormat="1" applyFont="1" applyFill="1" applyBorder="1"/>
    <xf numFmtId="0" fontId="4" fillId="0" borderId="1" xfId="0" applyFont="1" applyBorder="1"/>
    <xf numFmtId="0" fontId="4" fillId="0" borderId="0" xfId="0" applyFont="1" applyBorder="1"/>
    <xf numFmtId="4" fontId="3" fillId="0" borderId="2" xfId="0" applyNumberFormat="1" applyFont="1" applyBorder="1"/>
    <xf numFmtId="0" fontId="3" fillId="0" borderId="3" xfId="0" applyFont="1" applyBorder="1"/>
    <xf numFmtId="4" fontId="3" fillId="0" borderId="4" xfId="0" applyNumberFormat="1" applyFont="1" applyBorder="1"/>
    <xf numFmtId="4" fontId="3" fillId="0" borderId="5" xfId="0" applyNumberFormat="1" applyFont="1" applyBorder="1"/>
    <xf numFmtId="9" fontId="4" fillId="0" borderId="6" xfId="0" applyNumberFormat="1" applyFont="1" applyBorder="1"/>
    <xf numFmtId="9" fontId="4" fillId="0" borderId="7" xfId="0" applyNumberFormat="1" applyFont="1" applyBorder="1"/>
    <xf numFmtId="9" fontId="4" fillId="0" borderId="8" xfId="0" applyNumberFormat="1" applyFont="1" applyBorder="1"/>
    <xf numFmtId="9" fontId="4" fillId="2" borderId="0" xfId="0" applyNumberFormat="1" applyFont="1" applyFill="1" applyBorder="1"/>
    <xf numFmtId="8" fontId="3" fillId="2" borderId="0" xfId="0" applyNumberFormat="1" applyFont="1" applyFill="1" applyBorder="1"/>
    <xf numFmtId="9" fontId="3" fillId="2" borderId="0" xfId="0" applyNumberFormat="1" applyFont="1" applyFill="1" applyBorder="1"/>
    <xf numFmtId="4" fontId="4" fillId="2" borderId="2" xfId="0" applyNumberFormat="1" applyFont="1" applyFill="1" applyBorder="1"/>
    <xf numFmtId="0" fontId="4" fillId="2" borderId="0" xfId="0" applyFont="1" applyFill="1" applyBorder="1"/>
    <xf numFmtId="10" fontId="4" fillId="2" borderId="0" xfId="0" applyNumberFormat="1" applyFont="1" applyFill="1" applyBorder="1"/>
    <xf numFmtId="0" fontId="4" fillId="2" borderId="1" xfId="0" applyFont="1" applyFill="1" applyBorder="1"/>
    <xf numFmtId="3" fontId="4" fillId="0" borderId="0" xfId="0" applyNumberFormat="1" applyFont="1" applyBorder="1"/>
    <xf numFmtId="43" fontId="3" fillId="0" borderId="0" xfId="1" applyFont="1" applyBorder="1"/>
    <xf numFmtId="165" fontId="2" fillId="0" borderId="0" xfId="0" applyNumberFormat="1" applyFont="1"/>
    <xf numFmtId="165" fontId="5" fillId="0" borderId="0" xfId="0" applyNumberFormat="1" applyFont="1"/>
    <xf numFmtId="0" fontId="5" fillId="0" borderId="0" xfId="0" applyFont="1"/>
    <xf numFmtId="43" fontId="3" fillId="0" borderId="0" xfId="0" applyNumberFormat="1" applyFont="1" applyBorder="1"/>
    <xf numFmtId="0" fontId="3" fillId="2" borderId="0" xfId="0" applyFont="1" applyFill="1" applyBorder="1"/>
    <xf numFmtId="43" fontId="4" fillId="2" borderId="0" xfId="0" applyNumberFormat="1" applyFont="1" applyFill="1" applyBorder="1"/>
    <xf numFmtId="183" fontId="4" fillId="0" borderId="0" xfId="0" applyNumberFormat="1" applyFont="1" applyBorder="1"/>
    <xf numFmtId="187" fontId="3" fillId="0" borderId="0" xfId="0" applyNumberFormat="1" applyFont="1" applyBorder="1"/>
    <xf numFmtId="43" fontId="3" fillId="2" borderId="0" xfId="1" applyFont="1" applyFill="1" applyBorder="1"/>
    <xf numFmtId="10" fontId="3" fillId="2" borderId="0" xfId="0" applyNumberFormat="1" applyFont="1" applyFill="1" applyBorder="1"/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183" fontId="4" fillId="2" borderId="0" xfId="0" applyNumberFormat="1" applyFont="1" applyFill="1" applyBorder="1"/>
    <xf numFmtId="183" fontId="4" fillId="0" borderId="0" xfId="0" applyNumberFormat="1" applyFont="1" applyFill="1" applyBorder="1"/>
    <xf numFmtId="0" fontId="4" fillId="3" borderId="0" xfId="0" applyFont="1" applyFill="1" applyBorder="1"/>
    <xf numFmtId="3" fontId="4" fillId="3" borderId="0" xfId="0" applyNumberFormat="1" applyFont="1" applyFill="1" applyBorder="1"/>
    <xf numFmtId="4" fontId="4" fillId="3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'Ejercicio 11'!$E$9</c:f>
              <c:strCache>
                <c:ptCount val="1"/>
                <c:pt idx="0">
                  <c:v>Interés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'Ejercicio 11'!$E$10:$E$14</c:f>
              <c:numCache>
                <c:formatCode>#,##0.00</c:formatCode>
                <c:ptCount val="5"/>
                <c:pt idx="0">
                  <c:v>2500</c:v>
                </c:pt>
                <c:pt idx="1">
                  <c:v>2090.5062980131365</c:v>
                </c:pt>
                <c:pt idx="2">
                  <c:v>1640.0632258275866</c:v>
                </c:pt>
                <c:pt idx="3">
                  <c:v>1144.5758464234818</c:v>
                </c:pt>
                <c:pt idx="4">
                  <c:v>599.53972907896639</c:v>
                </c:pt>
              </c:numCache>
            </c:numRef>
          </c:val>
        </c:ser>
        <c:ser>
          <c:idx val="1"/>
          <c:order val="1"/>
          <c:tx>
            <c:strRef>
              <c:f>'Ejercicio 11'!$F$9</c:f>
              <c:strCache>
                <c:ptCount val="1"/>
                <c:pt idx="0">
                  <c:v>Amort. Capital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'Ejercicio 11'!$F$10:$F$14</c:f>
              <c:numCache>
                <c:formatCode>#,##0.00</c:formatCode>
                <c:ptCount val="5"/>
                <c:pt idx="0">
                  <c:v>4094.9370198686347</c:v>
                </c:pt>
                <c:pt idx="1">
                  <c:v>4504.4307218554986</c:v>
                </c:pt>
                <c:pt idx="2">
                  <c:v>4954.8737940410483</c:v>
                </c:pt>
                <c:pt idx="3">
                  <c:v>5450.3611734451533</c:v>
                </c:pt>
                <c:pt idx="4">
                  <c:v>5995.3972907896687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3178856"/>
        <c:axId val="563180424"/>
      </c:barChart>
      <c:catAx>
        <c:axId val="563178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80424"/>
        <c:crosses val="autoZero"/>
        <c:auto val="1"/>
        <c:lblAlgn val="ctr"/>
        <c:lblOffset val="100"/>
        <c:noMultiLvlLbl val="0"/>
      </c:catAx>
      <c:valAx>
        <c:axId val="56318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7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228599</xdr:colOff>
      <xdr:row>3</xdr:row>
      <xdr:rowOff>52387</xdr:rowOff>
    </xdr:from>
    <xdr:to>
      <xdr:col>16</xdr:col>
      <xdr:colOff>352424</xdr:colOff>
      <xdr:row>15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Y206"/>
  <sheetViews>
    <sheetView tabSelected="1" zoomScale="130" zoomScaleNormal="130" workbookViewId="0">
      <selection activeCell="F5" sqref="F5"/>
    </sheetView>
  </sheetViews>
  <sheetFormatPr defaultRowHeight="13.5" x14ac:dyDescent="0.25"/>
  <cols>
    <col min="1" max="1" width="9.140625" style="4"/>
    <col min="2" max="2" width="16.7109375" style="5" customWidth="1"/>
    <col min="3" max="3" width="21.42578125" style="5" bestFit="1" customWidth="1"/>
    <col min="4" max="4" width="11.28515625" style="5" bestFit="1" customWidth="1"/>
    <col min="5" max="5" width="10.85546875" style="5" bestFit="1" customWidth="1"/>
    <col min="6" max="6" width="10.42578125" style="5" bestFit="1" customWidth="1"/>
    <col min="7" max="7" width="11" style="5" bestFit="1" customWidth="1"/>
    <col min="8" max="9" width="10.140625" style="5" bestFit="1" customWidth="1"/>
    <col min="10" max="10" width="10.7109375" style="5" bestFit="1" customWidth="1"/>
    <col min="11" max="11" width="12.28515625" style="5" bestFit="1" customWidth="1"/>
    <col min="12" max="15" width="10.140625" style="5" bestFit="1" customWidth="1"/>
    <col min="16" max="16384" width="9.140625" style="5"/>
  </cols>
  <sheetData>
    <row r="3" spans="1:9" x14ac:dyDescent="0.25">
      <c r="A3" s="13">
        <v>1</v>
      </c>
      <c r="B3" s="5" t="s">
        <v>1</v>
      </c>
      <c r="C3" s="6">
        <v>25000</v>
      </c>
    </row>
    <row r="4" spans="1:9" x14ac:dyDescent="0.25">
      <c r="B4" s="6" t="s">
        <v>2</v>
      </c>
      <c r="C4" s="10">
        <v>0.1</v>
      </c>
      <c r="D4" s="6"/>
    </row>
    <row r="5" spans="1:9" x14ac:dyDescent="0.25">
      <c r="B5" s="5" t="s">
        <v>5</v>
      </c>
      <c r="C5" s="5">
        <v>5</v>
      </c>
    </row>
    <row r="6" spans="1:9" x14ac:dyDescent="0.25">
      <c r="A6" s="13" t="s">
        <v>7</v>
      </c>
      <c r="B6" s="27" t="s">
        <v>3</v>
      </c>
      <c r="C6" s="26" t="s">
        <v>6</v>
      </c>
      <c r="D6" s="12">
        <f>PMT(C4,C5,C3)</f>
        <v>-6594.9370198686347</v>
      </c>
    </row>
    <row r="7" spans="1:9" x14ac:dyDescent="0.25">
      <c r="B7" s="8"/>
      <c r="E7" s="9"/>
    </row>
    <row r="8" spans="1:9" x14ac:dyDescent="0.25">
      <c r="B8" s="6"/>
      <c r="E8" s="6"/>
    </row>
    <row r="9" spans="1:9" x14ac:dyDescent="0.25">
      <c r="A9" s="13" t="s">
        <v>8</v>
      </c>
      <c r="B9" s="19" t="s">
        <v>14</v>
      </c>
      <c r="C9" s="20" t="s">
        <v>9</v>
      </c>
      <c r="D9" s="20" t="s">
        <v>10</v>
      </c>
      <c r="E9" s="20" t="s">
        <v>11</v>
      </c>
      <c r="F9" s="20" t="s">
        <v>12</v>
      </c>
      <c r="G9" s="21" t="s">
        <v>13</v>
      </c>
    </row>
    <row r="10" spans="1:9" x14ac:dyDescent="0.25">
      <c r="B10" s="4">
        <v>1</v>
      </c>
      <c r="C10" s="6">
        <f>$C$3</f>
        <v>25000</v>
      </c>
      <c r="D10" s="6">
        <f>-$D$6</f>
        <v>6594.9370198686347</v>
      </c>
      <c r="E10" s="6">
        <f>C10*$C$4</f>
        <v>2500</v>
      </c>
      <c r="F10" s="6">
        <f>D10-E10</f>
        <v>4094.9370198686347</v>
      </c>
      <c r="G10" s="15">
        <f>C10-F10</f>
        <v>20905.062980131366</v>
      </c>
      <c r="I10" s="10">
        <f>F10/D10</f>
        <v>0.62092132305915515</v>
      </c>
    </row>
    <row r="11" spans="1:9" x14ac:dyDescent="0.25">
      <c r="B11" s="4">
        <f>B10+1</f>
        <v>2</v>
      </c>
      <c r="C11" s="6">
        <f>G10</f>
        <v>20905.062980131366</v>
      </c>
      <c r="D11" s="6">
        <f t="shared" ref="D11:D14" si="0">-$D$6</f>
        <v>6594.9370198686347</v>
      </c>
      <c r="E11" s="6">
        <f t="shared" ref="E11:E14" si="1">C11*$C$4</f>
        <v>2090.5062980131365</v>
      </c>
      <c r="F11" s="6">
        <f t="shared" ref="F11:F14" si="2">D11-E11</f>
        <v>4504.4307218554986</v>
      </c>
      <c r="G11" s="15">
        <f t="shared" ref="G11:G14" si="3">C11-F11</f>
        <v>16400.632258275866</v>
      </c>
      <c r="I11" s="10">
        <f t="shared" ref="I11:I13" si="4">F11/D11</f>
        <v>0.68301345536507074</v>
      </c>
    </row>
    <row r="12" spans="1:9" x14ac:dyDescent="0.25">
      <c r="B12" s="4">
        <f t="shared" ref="B12:B14" si="5">B11+1</f>
        <v>3</v>
      </c>
      <c r="C12" s="6">
        <f t="shared" ref="C12:C14" si="6">G11</f>
        <v>16400.632258275866</v>
      </c>
      <c r="D12" s="6">
        <f t="shared" si="0"/>
        <v>6594.9370198686347</v>
      </c>
      <c r="E12" s="6">
        <f t="shared" si="1"/>
        <v>1640.0632258275866</v>
      </c>
      <c r="F12" s="6">
        <f t="shared" si="2"/>
        <v>4954.8737940410483</v>
      </c>
      <c r="G12" s="15">
        <f t="shared" si="3"/>
        <v>11445.758464234817</v>
      </c>
      <c r="I12" s="10">
        <f t="shared" si="4"/>
        <v>0.75131480090157787</v>
      </c>
    </row>
    <row r="13" spans="1:9" x14ac:dyDescent="0.25">
      <c r="B13" s="4">
        <f t="shared" si="5"/>
        <v>4</v>
      </c>
      <c r="C13" s="6">
        <f t="shared" si="6"/>
        <v>11445.758464234817</v>
      </c>
      <c r="D13" s="6">
        <f t="shared" si="0"/>
        <v>6594.9370198686347</v>
      </c>
      <c r="E13" s="6">
        <f t="shared" si="1"/>
        <v>1144.5758464234818</v>
      </c>
      <c r="F13" s="6">
        <f t="shared" si="2"/>
        <v>5450.3611734451533</v>
      </c>
      <c r="G13" s="15">
        <f t="shared" si="3"/>
        <v>5995.3972907896641</v>
      </c>
      <c r="I13" s="10">
        <f t="shared" si="4"/>
        <v>0.82644628099173567</v>
      </c>
    </row>
    <row r="14" spans="1:9" x14ac:dyDescent="0.25">
      <c r="B14" s="16">
        <f t="shared" si="5"/>
        <v>5</v>
      </c>
      <c r="C14" s="17">
        <f t="shared" si="6"/>
        <v>5995.3972907896641</v>
      </c>
      <c r="D14" s="17">
        <f t="shared" si="0"/>
        <v>6594.9370198686347</v>
      </c>
      <c r="E14" s="17">
        <f t="shared" si="1"/>
        <v>599.53972907896639</v>
      </c>
      <c r="F14" s="17">
        <f t="shared" si="2"/>
        <v>5995.3972907896687</v>
      </c>
      <c r="G14" s="18">
        <f t="shared" si="3"/>
        <v>0</v>
      </c>
      <c r="I14" s="22">
        <f>F14/D14</f>
        <v>0.90909090909090917</v>
      </c>
    </row>
    <row r="19" spans="1:8" x14ac:dyDescent="0.25">
      <c r="A19" s="13">
        <v>2</v>
      </c>
      <c r="B19" s="5" t="s">
        <v>15</v>
      </c>
      <c r="C19" s="6">
        <v>160000</v>
      </c>
    </row>
    <row r="20" spans="1:8" x14ac:dyDescent="0.25">
      <c r="B20" s="5" t="s">
        <v>16</v>
      </c>
      <c r="C20" s="6">
        <v>30000</v>
      </c>
    </row>
    <row r="21" spans="1:8" x14ac:dyDescent="0.25">
      <c r="B21" s="5" t="s">
        <v>1</v>
      </c>
      <c r="C21" s="6">
        <f>C19-C20</f>
        <v>130000</v>
      </c>
    </row>
    <row r="23" spans="1:8" x14ac:dyDescent="0.25">
      <c r="B23" s="14" t="s">
        <v>21</v>
      </c>
      <c r="F23" s="26" t="s">
        <v>22</v>
      </c>
    </row>
    <row r="24" spans="1:8" x14ac:dyDescent="0.25">
      <c r="B24" s="5" t="s">
        <v>5</v>
      </c>
      <c r="C24" s="5">
        <v>3</v>
      </c>
      <c r="F24" s="23" t="s">
        <v>20</v>
      </c>
      <c r="G24" s="24">
        <v>0.05</v>
      </c>
      <c r="H24" s="5" t="s">
        <v>72</v>
      </c>
    </row>
    <row r="25" spans="1:8" x14ac:dyDescent="0.25">
      <c r="B25" s="5" t="s">
        <v>17</v>
      </c>
      <c r="C25" s="5">
        <v>12</v>
      </c>
      <c r="G25" s="7">
        <f>G24/C25</f>
        <v>4.1666666666666666E-3</v>
      </c>
    </row>
    <row r="26" spans="1:8" x14ac:dyDescent="0.25">
      <c r="B26" s="5" t="s">
        <v>18</v>
      </c>
      <c r="C26" s="5">
        <f>C24*C25</f>
        <v>36</v>
      </c>
      <c r="F26" s="35" t="s">
        <v>3</v>
      </c>
      <c r="G26" s="39">
        <f>PMT(G25,C26,C21)</f>
        <v>-3896.2166236065118</v>
      </c>
      <c r="H26" s="5" t="s">
        <v>71</v>
      </c>
    </row>
    <row r="27" spans="1:8" x14ac:dyDescent="0.25">
      <c r="B27" s="5" t="s">
        <v>3</v>
      </c>
      <c r="C27" s="5">
        <v>-4000</v>
      </c>
    </row>
    <row r="28" spans="1:8" x14ac:dyDescent="0.25">
      <c r="B28" s="5" t="s">
        <v>19</v>
      </c>
      <c r="C28" s="5" t="s">
        <v>6</v>
      </c>
      <c r="D28" s="7">
        <f>RATE(C26,C27,C21)</f>
        <v>5.6365248480379363E-3</v>
      </c>
    </row>
    <row r="29" spans="1:8" x14ac:dyDescent="0.25">
      <c r="B29" s="35" t="s">
        <v>20</v>
      </c>
      <c r="C29" s="35" t="s">
        <v>6</v>
      </c>
      <c r="D29" s="40">
        <f>D28*C25</f>
        <v>6.7638298176455239E-2</v>
      </c>
    </row>
    <row r="32" spans="1:8" x14ac:dyDescent="0.25">
      <c r="A32" s="13">
        <v>3</v>
      </c>
      <c r="B32" s="5" t="s">
        <v>15</v>
      </c>
      <c r="C32" s="6">
        <v>125000</v>
      </c>
    </row>
    <row r="33" spans="1:7" x14ac:dyDescent="0.25">
      <c r="B33" s="5" t="s">
        <v>23</v>
      </c>
      <c r="C33" s="6">
        <v>25000</v>
      </c>
    </row>
    <row r="34" spans="1:7" x14ac:dyDescent="0.25">
      <c r="B34" s="5" t="s">
        <v>1</v>
      </c>
      <c r="C34" s="6">
        <f>C32-C33</f>
        <v>100000</v>
      </c>
    </row>
    <row r="35" spans="1:7" x14ac:dyDescent="0.25">
      <c r="B35" s="5" t="s">
        <v>20</v>
      </c>
      <c r="C35" s="7">
        <v>7.4999999999999997E-2</v>
      </c>
    </row>
    <row r="36" spans="1:7" x14ac:dyDescent="0.25">
      <c r="B36" s="5" t="s">
        <v>19</v>
      </c>
      <c r="C36" s="7">
        <f>C35/C37</f>
        <v>6.2499999999999995E-3</v>
      </c>
    </row>
    <row r="37" spans="1:7" x14ac:dyDescent="0.25">
      <c r="B37" s="5" t="s">
        <v>17</v>
      </c>
      <c r="C37" s="5">
        <v>12</v>
      </c>
    </row>
    <row r="38" spans="1:7" x14ac:dyDescent="0.25">
      <c r="B38" s="5" t="s">
        <v>5</v>
      </c>
      <c r="C38" s="5">
        <v>15</v>
      </c>
    </row>
    <row r="39" spans="1:7" x14ac:dyDescent="0.25">
      <c r="B39" s="5" t="s">
        <v>18</v>
      </c>
      <c r="C39" s="5">
        <f>C37*C38</f>
        <v>180</v>
      </c>
    </row>
    <row r="40" spans="1:7" x14ac:dyDescent="0.25">
      <c r="A40" s="13" t="s">
        <v>7</v>
      </c>
      <c r="B40" s="26" t="s">
        <v>3</v>
      </c>
      <c r="C40" s="26" t="s">
        <v>6</v>
      </c>
      <c r="D40" s="12">
        <f>PMT(C36,C39,C34)</f>
        <v>-927.01236000273809</v>
      </c>
    </row>
    <row r="43" spans="1:7" x14ac:dyDescent="0.25">
      <c r="A43" s="13" t="s">
        <v>8</v>
      </c>
      <c r="B43" s="5" t="s">
        <v>25</v>
      </c>
      <c r="C43" s="7">
        <f>EFFECT(C35,C37)</f>
        <v>7.7632598856030688E-2</v>
      </c>
      <c r="F43" s="5">
        <f>C37</f>
        <v>12</v>
      </c>
    </row>
    <row r="44" spans="1:7" x14ac:dyDescent="0.25">
      <c r="A44" s="5"/>
      <c r="B44" s="5" t="s">
        <v>24</v>
      </c>
      <c r="C44" s="6">
        <f>PMT(C43,C38,C34)</f>
        <v>-11514.620588587934</v>
      </c>
      <c r="D44" s="5" t="s">
        <v>75</v>
      </c>
      <c r="F44" s="6">
        <f>FV(C36,F43,D40)</f>
        <v>11514.620588587981</v>
      </c>
      <c r="G44" s="5" t="s">
        <v>74</v>
      </c>
    </row>
    <row r="45" spans="1:7" x14ac:dyDescent="0.25">
      <c r="A45" s="5"/>
      <c r="C45" s="6"/>
      <c r="F45" s="6"/>
    </row>
    <row r="46" spans="1:7" x14ac:dyDescent="0.25">
      <c r="B46" s="19" t="s">
        <v>14</v>
      </c>
      <c r="C46" s="20" t="s">
        <v>9</v>
      </c>
      <c r="D46" s="20" t="s">
        <v>10</v>
      </c>
      <c r="E46" s="20" t="s">
        <v>11</v>
      </c>
      <c r="F46" s="20" t="s">
        <v>12</v>
      </c>
      <c r="G46" s="21" t="s">
        <v>13</v>
      </c>
    </row>
    <row r="47" spans="1:7" x14ac:dyDescent="0.25">
      <c r="B47" s="4">
        <v>1</v>
      </c>
      <c r="C47" s="6">
        <f>$C$34</f>
        <v>100000</v>
      </c>
      <c r="D47" s="6">
        <f>-$C$44</f>
        <v>11514.620588587934</v>
      </c>
      <c r="E47" s="6">
        <f>C47*$C$43</f>
        <v>7763.2598856030691</v>
      </c>
      <c r="F47" s="6">
        <f>D47-E47</f>
        <v>3751.3607029848645</v>
      </c>
      <c r="G47" s="15">
        <f>C47-F47</f>
        <v>96248.639297015136</v>
      </c>
    </row>
    <row r="48" spans="1:7" x14ac:dyDescent="0.25">
      <c r="B48" s="4">
        <f>B47+1</f>
        <v>2</v>
      </c>
      <c r="C48" s="6">
        <f>G47</f>
        <v>96248.639297015136</v>
      </c>
      <c r="D48" s="6">
        <f t="shared" ref="D48:D61" si="7">-$C$44</f>
        <v>11514.620588587934</v>
      </c>
      <c r="E48" s="6">
        <f t="shared" ref="E48:E61" si="8">C48*$C$43</f>
        <v>7472.0320049839675</v>
      </c>
      <c r="F48" s="6">
        <f t="shared" ref="F48:F61" si="9">D48-E48</f>
        <v>4042.5885836039661</v>
      </c>
      <c r="G48" s="15">
        <f t="shared" ref="G48:G61" si="10">C48-F48</f>
        <v>92206.050713411169</v>
      </c>
    </row>
    <row r="49" spans="1:12" x14ac:dyDescent="0.25">
      <c r="B49" s="4">
        <f t="shared" ref="B49:B61" si="11">B48+1</f>
        <v>3</v>
      </c>
      <c r="C49" s="6">
        <f t="shared" ref="C49:C61" si="12">G48</f>
        <v>92206.050713411169</v>
      </c>
      <c r="D49" s="6">
        <f t="shared" si="7"/>
        <v>11514.620588587934</v>
      </c>
      <c r="E49" s="6">
        <f t="shared" si="8"/>
        <v>7158.1953471330717</v>
      </c>
      <c r="F49" s="6">
        <f t="shared" si="9"/>
        <v>4356.4252414548619</v>
      </c>
      <c r="G49" s="15">
        <f t="shared" si="10"/>
        <v>87849.6254719563</v>
      </c>
    </row>
    <row r="50" spans="1:12" x14ac:dyDescent="0.25">
      <c r="B50" s="4">
        <f t="shared" si="11"/>
        <v>4</v>
      </c>
      <c r="C50" s="6">
        <f t="shared" si="12"/>
        <v>87849.6254719563</v>
      </c>
      <c r="D50" s="6">
        <f t="shared" si="7"/>
        <v>11514.620588587934</v>
      </c>
      <c r="E50" s="6">
        <f t="shared" si="8"/>
        <v>6819.9947339169194</v>
      </c>
      <c r="F50" s="6">
        <f t="shared" si="9"/>
        <v>4694.6258546710142</v>
      </c>
      <c r="G50" s="15">
        <f t="shared" si="10"/>
        <v>83154.999617285284</v>
      </c>
    </row>
    <row r="51" spans="1:12" x14ac:dyDescent="0.25">
      <c r="B51" s="4">
        <f t="shared" si="11"/>
        <v>5</v>
      </c>
      <c r="C51" s="6">
        <f t="shared" si="12"/>
        <v>83154.999617285284</v>
      </c>
      <c r="D51" s="6">
        <f t="shared" si="7"/>
        <v>11514.620588587934</v>
      </c>
      <c r="E51" s="6">
        <f t="shared" si="8"/>
        <v>6455.5387281620942</v>
      </c>
      <c r="F51" s="6">
        <f t="shared" si="9"/>
        <v>5059.0818604258393</v>
      </c>
      <c r="G51" s="25">
        <f t="shared" si="10"/>
        <v>78095.917756859446</v>
      </c>
      <c r="H51" s="14" t="s">
        <v>73</v>
      </c>
      <c r="K51" s="5" t="s">
        <v>76</v>
      </c>
    </row>
    <row r="52" spans="1:12" x14ac:dyDescent="0.25">
      <c r="B52" s="4">
        <f t="shared" si="11"/>
        <v>6</v>
      </c>
      <c r="C52" s="6">
        <f t="shared" si="12"/>
        <v>78095.917756859446</v>
      </c>
      <c r="D52" s="6">
        <f t="shared" si="7"/>
        <v>11514.620588587934</v>
      </c>
      <c r="E52" s="6">
        <f t="shared" si="8"/>
        <v>6062.7890555118329</v>
      </c>
      <c r="F52" s="6">
        <f t="shared" si="9"/>
        <v>5451.8315330761006</v>
      </c>
      <c r="G52" s="15">
        <f t="shared" si="10"/>
        <v>72644.08622378335</v>
      </c>
      <c r="J52" s="5">
        <f>B51*C37</f>
        <v>60</v>
      </c>
      <c r="K52" s="6">
        <f>FV(C36,J52,D40,C34)</f>
        <v>-78095.917756859155</v>
      </c>
      <c r="L52" s="5" t="s">
        <v>77</v>
      </c>
    </row>
    <row r="53" spans="1:12" x14ac:dyDescent="0.25">
      <c r="B53" s="4">
        <f t="shared" si="11"/>
        <v>7</v>
      </c>
      <c r="C53" s="6">
        <f t="shared" si="12"/>
        <v>72644.08622378335</v>
      </c>
      <c r="D53" s="6">
        <f t="shared" si="7"/>
        <v>11514.620588587934</v>
      </c>
      <c r="E53" s="6">
        <f t="shared" si="8"/>
        <v>5639.5492050738776</v>
      </c>
      <c r="F53" s="6">
        <f t="shared" si="9"/>
        <v>5875.0713835140559</v>
      </c>
      <c r="G53" s="15">
        <f t="shared" si="10"/>
        <v>66769.014840269287</v>
      </c>
      <c r="K53" s="6"/>
    </row>
    <row r="54" spans="1:12" x14ac:dyDescent="0.25">
      <c r="B54" s="4">
        <f t="shared" si="11"/>
        <v>8</v>
      </c>
      <c r="C54" s="6">
        <f t="shared" si="12"/>
        <v>66769.014840269287</v>
      </c>
      <c r="D54" s="6">
        <f t="shared" si="7"/>
        <v>11514.620588587934</v>
      </c>
      <c r="E54" s="6">
        <f t="shared" si="8"/>
        <v>5183.4521451069859</v>
      </c>
      <c r="F54" s="6">
        <f t="shared" si="9"/>
        <v>6331.1684434809476</v>
      </c>
      <c r="G54" s="15">
        <f t="shared" si="10"/>
        <v>60437.846396788336</v>
      </c>
      <c r="K54" s="6"/>
    </row>
    <row r="55" spans="1:12" x14ac:dyDescent="0.25">
      <c r="B55" s="4">
        <f t="shared" si="11"/>
        <v>9</v>
      </c>
      <c r="C55" s="6">
        <f t="shared" si="12"/>
        <v>60437.846396788336</v>
      </c>
      <c r="D55" s="6">
        <f t="shared" si="7"/>
        <v>11514.620588587934</v>
      </c>
      <c r="E55" s="6">
        <f t="shared" si="8"/>
        <v>4691.9470850442685</v>
      </c>
      <c r="F55" s="6">
        <f t="shared" si="9"/>
        <v>6822.673503543665</v>
      </c>
      <c r="G55" s="15">
        <f t="shared" si="10"/>
        <v>53615.172893244671</v>
      </c>
    </row>
    <row r="56" spans="1:12" x14ac:dyDescent="0.25">
      <c r="B56" s="4">
        <f t="shared" si="11"/>
        <v>10</v>
      </c>
      <c r="C56" s="6">
        <f t="shared" si="12"/>
        <v>53615.172893244671</v>
      </c>
      <c r="D56" s="6">
        <f t="shared" si="7"/>
        <v>11514.620588587934</v>
      </c>
      <c r="E56" s="6">
        <f t="shared" si="8"/>
        <v>4162.2852098179937</v>
      </c>
      <c r="F56" s="6">
        <f t="shared" si="9"/>
        <v>7352.3353787699398</v>
      </c>
      <c r="G56" s="15">
        <f t="shared" si="10"/>
        <v>46262.837514474733</v>
      </c>
    </row>
    <row r="57" spans="1:12" x14ac:dyDescent="0.25">
      <c r="B57" s="4">
        <f t="shared" si="11"/>
        <v>11</v>
      </c>
      <c r="C57" s="6">
        <f t="shared" si="12"/>
        <v>46262.837514474733</v>
      </c>
      <c r="D57" s="6">
        <f t="shared" si="7"/>
        <v>11514.620588587934</v>
      </c>
      <c r="E57" s="6">
        <f t="shared" si="8"/>
        <v>3591.5043067029446</v>
      </c>
      <c r="F57" s="6">
        <f t="shared" si="9"/>
        <v>7923.1162818849889</v>
      </c>
      <c r="G57" s="15">
        <f t="shared" si="10"/>
        <v>38339.721232589742</v>
      </c>
    </row>
    <row r="58" spans="1:12" x14ac:dyDescent="0.25">
      <c r="B58" s="4">
        <f t="shared" si="11"/>
        <v>12</v>
      </c>
      <c r="C58" s="6">
        <f t="shared" si="12"/>
        <v>38339.721232589742</v>
      </c>
      <c r="D58" s="6">
        <f t="shared" si="7"/>
        <v>11514.620588587934</v>
      </c>
      <c r="E58" s="6">
        <f t="shared" si="8"/>
        <v>2976.412198701682</v>
      </c>
      <c r="F58" s="6">
        <f t="shared" si="9"/>
        <v>8538.2083898862511</v>
      </c>
      <c r="G58" s="15">
        <f t="shared" si="10"/>
        <v>29801.512842703491</v>
      </c>
    </row>
    <row r="59" spans="1:12" x14ac:dyDescent="0.25">
      <c r="B59" s="4">
        <f t="shared" si="11"/>
        <v>13</v>
      </c>
      <c r="C59" s="6">
        <f t="shared" si="12"/>
        <v>29801.512842703491</v>
      </c>
      <c r="D59" s="6">
        <f t="shared" si="7"/>
        <v>11514.620588587934</v>
      </c>
      <c r="E59" s="6">
        <f t="shared" si="8"/>
        <v>2313.5688918204469</v>
      </c>
      <c r="F59" s="6">
        <f t="shared" si="9"/>
        <v>9201.0516967674866</v>
      </c>
      <c r="G59" s="15">
        <f t="shared" si="10"/>
        <v>20600.461145936002</v>
      </c>
    </row>
    <row r="60" spans="1:12" x14ac:dyDescent="0.25">
      <c r="B60" s="4">
        <f t="shared" si="11"/>
        <v>14</v>
      </c>
      <c r="C60" s="6">
        <f t="shared" si="12"/>
        <v>20600.461145936002</v>
      </c>
      <c r="D60" s="6">
        <f t="shared" si="7"/>
        <v>11514.620588587934</v>
      </c>
      <c r="E60" s="6">
        <f t="shared" si="8"/>
        <v>1599.2673363916958</v>
      </c>
      <c r="F60" s="6">
        <f t="shared" si="9"/>
        <v>9915.353252196237</v>
      </c>
      <c r="G60" s="15">
        <f t="shared" si="10"/>
        <v>10685.107893739765</v>
      </c>
    </row>
    <row r="61" spans="1:12" x14ac:dyDescent="0.25">
      <c r="B61" s="16">
        <f t="shared" si="11"/>
        <v>15</v>
      </c>
      <c r="C61" s="17">
        <f t="shared" si="12"/>
        <v>10685.107893739765</v>
      </c>
      <c r="D61" s="17">
        <f t="shared" si="7"/>
        <v>11514.620588587934</v>
      </c>
      <c r="E61" s="17">
        <f t="shared" si="8"/>
        <v>829.51269484810621</v>
      </c>
      <c r="F61" s="17">
        <f t="shared" si="9"/>
        <v>10685.107893739827</v>
      </c>
      <c r="G61" s="18">
        <f t="shared" si="10"/>
        <v>-6.184563972055912E-11</v>
      </c>
    </row>
    <row r="64" spans="1:12" x14ac:dyDescent="0.25">
      <c r="A64" s="13" t="s">
        <v>27</v>
      </c>
      <c r="B64" s="5" t="s">
        <v>78</v>
      </c>
      <c r="C64" s="6">
        <f>G51</f>
        <v>78095.917756859446</v>
      </c>
    </row>
    <row r="65" spans="1:3" x14ac:dyDescent="0.25">
      <c r="B65" s="5" t="s">
        <v>19</v>
      </c>
      <c r="C65" s="7">
        <f>C36</f>
        <v>6.2499999999999995E-3</v>
      </c>
    </row>
    <row r="66" spans="1:3" x14ac:dyDescent="0.25">
      <c r="B66" s="26" t="s">
        <v>26</v>
      </c>
      <c r="C66" s="12">
        <f>C64*C65</f>
        <v>488.09948598037147</v>
      </c>
    </row>
    <row r="69" spans="1:3" x14ac:dyDescent="0.25">
      <c r="A69" s="13">
        <v>4</v>
      </c>
      <c r="B69" s="5" t="s">
        <v>1</v>
      </c>
      <c r="C69" s="6">
        <v>120000</v>
      </c>
    </row>
    <row r="70" spans="1:3" x14ac:dyDescent="0.25">
      <c r="B70" s="5" t="s">
        <v>4</v>
      </c>
      <c r="C70" s="5">
        <v>36</v>
      </c>
    </row>
    <row r="71" spans="1:3" x14ac:dyDescent="0.25">
      <c r="B71" s="5" t="s">
        <v>3</v>
      </c>
      <c r="C71" s="5">
        <v>-4762</v>
      </c>
    </row>
    <row r="72" spans="1:3" x14ac:dyDescent="0.25">
      <c r="B72" s="5" t="s">
        <v>28</v>
      </c>
      <c r="C72" s="10">
        <f>RATE(C70,C71,C69)</f>
        <v>2.0712745957276419E-2</v>
      </c>
    </row>
    <row r="73" spans="1:3" x14ac:dyDescent="0.25">
      <c r="B73" s="5" t="s">
        <v>17</v>
      </c>
      <c r="C73" s="6">
        <v>12</v>
      </c>
    </row>
    <row r="74" spans="1:3" x14ac:dyDescent="0.25">
      <c r="B74" s="26" t="s">
        <v>20</v>
      </c>
      <c r="C74" s="27">
        <f>C72*C73</f>
        <v>0.24855295148731704</v>
      </c>
    </row>
    <row r="77" spans="1:3" x14ac:dyDescent="0.25">
      <c r="A77" s="13">
        <v>5</v>
      </c>
      <c r="B77" s="5" t="s">
        <v>4</v>
      </c>
      <c r="C77" s="5">
        <v>10</v>
      </c>
    </row>
    <row r="78" spans="1:3" x14ac:dyDescent="0.25">
      <c r="B78" s="5" t="s">
        <v>29</v>
      </c>
      <c r="C78" s="7">
        <v>7.4999999999999997E-2</v>
      </c>
    </row>
    <row r="79" spans="1:3" x14ac:dyDescent="0.25">
      <c r="B79" s="5" t="s">
        <v>31</v>
      </c>
      <c r="C79" s="5">
        <v>1000</v>
      </c>
    </row>
    <row r="80" spans="1:3" x14ac:dyDescent="0.25">
      <c r="B80" s="5" t="s">
        <v>30</v>
      </c>
      <c r="C80" s="5">
        <f>C79*C78</f>
        <v>75</v>
      </c>
    </row>
    <row r="81" spans="1:4" x14ac:dyDescent="0.25">
      <c r="B81" s="5" t="s">
        <v>32</v>
      </c>
      <c r="C81" s="10">
        <v>7.0000000000000007E-2</v>
      </c>
    </row>
    <row r="82" spans="1:4" x14ac:dyDescent="0.25">
      <c r="A82" s="13" t="s">
        <v>7</v>
      </c>
      <c r="B82" s="26" t="s">
        <v>1</v>
      </c>
      <c r="C82" s="12">
        <f>PV(C81,C77,C80,C79)</f>
        <v>-1035.1179077046629</v>
      </c>
    </row>
    <row r="83" spans="1:4" x14ac:dyDescent="0.25">
      <c r="A83" s="13"/>
    </row>
    <row r="84" spans="1:4" x14ac:dyDescent="0.25">
      <c r="A84" s="13"/>
    </row>
    <row r="85" spans="1:4" x14ac:dyDescent="0.25">
      <c r="A85" s="13" t="s">
        <v>8</v>
      </c>
      <c r="B85" s="5" t="s">
        <v>45</v>
      </c>
      <c r="C85" s="30">
        <v>50000000</v>
      </c>
    </row>
    <row r="86" spans="1:4" x14ac:dyDescent="0.25">
      <c r="A86" s="13"/>
      <c r="B86" s="5" t="s">
        <v>67</v>
      </c>
      <c r="C86" s="34">
        <f>C85/C79</f>
        <v>50000</v>
      </c>
    </row>
    <row r="87" spans="1:4" x14ac:dyDescent="0.25">
      <c r="A87" s="13"/>
      <c r="B87" s="26" t="s">
        <v>68</v>
      </c>
      <c r="C87" s="36">
        <f>-C86*C82</f>
        <v>51755895.385233149</v>
      </c>
    </row>
    <row r="89" spans="1:4" x14ac:dyDescent="0.25">
      <c r="A89" s="13">
        <v>6</v>
      </c>
      <c r="B89" s="5" t="s">
        <v>1</v>
      </c>
      <c r="C89" s="6">
        <v>180000</v>
      </c>
    </row>
    <row r="90" spans="1:4" x14ac:dyDescent="0.25">
      <c r="B90" s="5" t="s">
        <v>0</v>
      </c>
      <c r="C90" s="10">
        <v>0.08</v>
      </c>
    </row>
    <row r="91" spans="1:4" x14ac:dyDescent="0.25">
      <c r="B91" s="5" t="s">
        <v>17</v>
      </c>
      <c r="C91" s="6">
        <v>12</v>
      </c>
    </row>
    <row r="92" spans="1:4" x14ac:dyDescent="0.25">
      <c r="B92" s="5" t="s">
        <v>33</v>
      </c>
      <c r="C92" s="10">
        <f>C90/C91</f>
        <v>6.6666666666666671E-3</v>
      </c>
    </row>
    <row r="93" spans="1:4" x14ac:dyDescent="0.25">
      <c r="B93" s="5" t="s">
        <v>5</v>
      </c>
      <c r="C93" s="5">
        <v>20</v>
      </c>
    </row>
    <row r="94" spans="1:4" x14ac:dyDescent="0.25">
      <c r="B94" s="5" t="s">
        <v>18</v>
      </c>
      <c r="C94" s="5">
        <f>C93*C91</f>
        <v>240</v>
      </c>
    </row>
    <row r="95" spans="1:4" x14ac:dyDescent="0.25">
      <c r="B95" s="5" t="s">
        <v>34</v>
      </c>
      <c r="C95" s="5" t="s">
        <v>6</v>
      </c>
      <c r="D95" s="6">
        <f>PMT(C92,C94,C89)</f>
        <v>-1505.5921241882331</v>
      </c>
    </row>
    <row r="96" spans="1:4" x14ac:dyDescent="0.25">
      <c r="B96" s="5" t="s">
        <v>25</v>
      </c>
      <c r="C96" s="5" t="s">
        <v>6</v>
      </c>
      <c r="D96" s="7">
        <f>EFFECT(C90,C91)</f>
        <v>8.2999506807510004E-2</v>
      </c>
    </row>
    <row r="97" spans="2:7" x14ac:dyDescent="0.25">
      <c r="B97" s="5" t="s">
        <v>79</v>
      </c>
      <c r="C97" s="5" t="s">
        <v>6</v>
      </c>
      <c r="D97" s="6">
        <f>PMT(D96,C93,C89)</f>
        <v>-18744.510564134271</v>
      </c>
    </row>
    <row r="100" spans="2:7" x14ac:dyDescent="0.25">
      <c r="B100" s="19" t="s">
        <v>14</v>
      </c>
      <c r="C100" s="20" t="s">
        <v>9</v>
      </c>
      <c r="D100" s="20" t="s">
        <v>10</v>
      </c>
      <c r="E100" s="20" t="s">
        <v>11</v>
      </c>
      <c r="F100" s="20" t="s">
        <v>12</v>
      </c>
      <c r="G100" s="21" t="s">
        <v>13</v>
      </c>
    </row>
    <row r="101" spans="2:7" x14ac:dyDescent="0.25">
      <c r="B101" s="4">
        <v>1</v>
      </c>
      <c r="C101" s="6">
        <f>$C$89</f>
        <v>180000</v>
      </c>
      <c r="D101" s="6">
        <f>-$D$97</f>
        <v>18744.510564134271</v>
      </c>
      <c r="E101" s="6">
        <f>$D$96*C101</f>
        <v>14939.911225351801</v>
      </c>
      <c r="F101" s="6">
        <f>D101-E101</f>
        <v>3804.5993387824692</v>
      </c>
      <c r="G101" s="15">
        <f>C101-F101</f>
        <v>176195.40066121754</v>
      </c>
    </row>
    <row r="102" spans="2:7" x14ac:dyDescent="0.25">
      <c r="B102" s="4">
        <f>B101+1</f>
        <v>2</v>
      </c>
      <c r="C102" s="6">
        <f>G101</f>
        <v>176195.40066121754</v>
      </c>
      <c r="D102" s="6">
        <f t="shared" ref="D102:D120" si="13">-$D$97</f>
        <v>18744.510564134271</v>
      </c>
      <c r="E102" s="6">
        <f t="shared" ref="E102:E120" si="14">$D$96*C102</f>
        <v>14624.131356632679</v>
      </c>
      <c r="F102" s="6">
        <f t="shared" ref="F102:F120" si="15">D102-E102</f>
        <v>4120.3792075015917</v>
      </c>
      <c r="G102" s="15">
        <f t="shared" ref="G102:G120" si="16">C102-F102</f>
        <v>172075.02145371595</v>
      </c>
    </row>
    <row r="103" spans="2:7" x14ac:dyDescent="0.25">
      <c r="B103" s="4">
        <f t="shared" ref="B103:B120" si="17">B102+1</f>
        <v>3</v>
      </c>
      <c r="C103" s="6">
        <f t="shared" ref="C103:C120" si="18">G102</f>
        <v>172075.02145371595</v>
      </c>
      <c r="D103" s="6">
        <f t="shared" si="13"/>
        <v>18744.510564134271</v>
      </c>
      <c r="E103" s="6">
        <f t="shared" si="14"/>
        <v>14282.141914550128</v>
      </c>
      <c r="F103" s="6">
        <f t="shared" si="15"/>
        <v>4462.368649584143</v>
      </c>
      <c r="G103" s="15">
        <f t="shared" si="16"/>
        <v>167612.65280413179</v>
      </c>
    </row>
    <row r="104" spans="2:7" x14ac:dyDescent="0.25">
      <c r="B104" s="4">
        <f t="shared" si="17"/>
        <v>4</v>
      </c>
      <c r="C104" s="6">
        <f t="shared" si="18"/>
        <v>167612.65280413179</v>
      </c>
      <c r="D104" s="6">
        <f t="shared" si="13"/>
        <v>18744.510564134271</v>
      </c>
      <c r="E104" s="6">
        <f t="shared" si="14"/>
        <v>13911.767517441347</v>
      </c>
      <c r="F104" s="6">
        <f t="shared" si="15"/>
        <v>4832.7430466929236</v>
      </c>
      <c r="G104" s="15">
        <f t="shared" si="16"/>
        <v>162779.90975743887</v>
      </c>
    </row>
    <row r="105" spans="2:7" x14ac:dyDescent="0.25">
      <c r="B105" s="4">
        <f t="shared" si="17"/>
        <v>5</v>
      </c>
      <c r="C105" s="6">
        <f t="shared" si="18"/>
        <v>162779.90975743887</v>
      </c>
      <c r="D105" s="6">
        <f t="shared" si="13"/>
        <v>18744.510564134271</v>
      </c>
      <c r="E105" s="6">
        <f t="shared" si="14"/>
        <v>13510.652228038412</v>
      </c>
      <c r="F105" s="6">
        <f t="shared" si="15"/>
        <v>5233.8583360958582</v>
      </c>
      <c r="G105" s="15">
        <f t="shared" si="16"/>
        <v>157546.051421343</v>
      </c>
    </row>
    <row r="106" spans="2:7" x14ac:dyDescent="0.25">
      <c r="B106" s="4">
        <f t="shared" si="17"/>
        <v>6</v>
      </c>
      <c r="C106" s="6">
        <f t="shared" si="18"/>
        <v>157546.051421343</v>
      </c>
      <c r="D106" s="6">
        <f t="shared" si="13"/>
        <v>18744.510564134271</v>
      </c>
      <c r="E106" s="6">
        <f t="shared" si="14"/>
        <v>13076.24456744208</v>
      </c>
      <c r="F106" s="6">
        <f t="shared" si="15"/>
        <v>5668.265996692191</v>
      </c>
      <c r="G106" s="15">
        <f t="shared" si="16"/>
        <v>151877.78542465082</v>
      </c>
    </row>
    <row r="107" spans="2:7" x14ac:dyDescent="0.25">
      <c r="B107" s="4">
        <f t="shared" si="17"/>
        <v>7</v>
      </c>
      <c r="C107" s="6">
        <f t="shared" si="18"/>
        <v>151877.78542465082</v>
      </c>
      <c r="D107" s="6">
        <f t="shared" si="13"/>
        <v>18744.510564134271</v>
      </c>
      <c r="E107" s="6">
        <f t="shared" si="14"/>
        <v>12605.78128526285</v>
      </c>
      <c r="F107" s="6">
        <f t="shared" si="15"/>
        <v>6138.7292788714203</v>
      </c>
      <c r="G107" s="15">
        <f t="shared" si="16"/>
        <v>145739.05614577941</v>
      </c>
    </row>
    <row r="108" spans="2:7" x14ac:dyDescent="0.25">
      <c r="B108" s="4">
        <f t="shared" si="17"/>
        <v>8</v>
      </c>
      <c r="C108" s="6">
        <f t="shared" si="18"/>
        <v>145739.05614577941</v>
      </c>
      <c r="D108" s="6">
        <f t="shared" si="13"/>
        <v>18744.510564134271</v>
      </c>
      <c r="E108" s="6">
        <f t="shared" si="14"/>
        <v>12096.269782691701</v>
      </c>
      <c r="F108" s="6">
        <f t="shared" si="15"/>
        <v>6648.2407814425696</v>
      </c>
      <c r="G108" s="15">
        <f t="shared" si="16"/>
        <v>139090.81536433683</v>
      </c>
    </row>
    <row r="109" spans="2:7" x14ac:dyDescent="0.25">
      <c r="B109" s="4">
        <f t="shared" si="17"/>
        <v>9</v>
      </c>
      <c r="C109" s="6">
        <f t="shared" si="18"/>
        <v>139090.81536433683</v>
      </c>
      <c r="D109" s="6">
        <f t="shared" si="13"/>
        <v>18744.510564134271</v>
      </c>
      <c r="E109" s="6">
        <f t="shared" si="14"/>
        <v>11544.469076694391</v>
      </c>
      <c r="F109" s="6">
        <f t="shared" si="15"/>
        <v>7200.0414874398793</v>
      </c>
      <c r="G109" s="15">
        <f t="shared" si="16"/>
        <v>131890.77387689694</v>
      </c>
    </row>
    <row r="110" spans="2:7" x14ac:dyDescent="0.25">
      <c r="B110" s="4">
        <f t="shared" si="17"/>
        <v>10</v>
      </c>
      <c r="C110" s="6">
        <f t="shared" si="18"/>
        <v>131890.77387689694</v>
      </c>
      <c r="D110" s="6">
        <f t="shared" si="13"/>
        <v>18744.510564134271</v>
      </c>
      <c r="E110" s="6">
        <f t="shared" si="14"/>
        <v>10946.869184243271</v>
      </c>
      <c r="F110" s="6">
        <f t="shared" si="15"/>
        <v>7797.6413798909998</v>
      </c>
      <c r="G110" s="25">
        <f t="shared" si="16"/>
        <v>124093.13249700595</v>
      </c>
    </row>
    <row r="111" spans="2:7" x14ac:dyDescent="0.25">
      <c r="B111" s="4">
        <f t="shared" si="17"/>
        <v>11</v>
      </c>
      <c r="C111" s="6">
        <f t="shared" si="18"/>
        <v>124093.13249700595</v>
      </c>
      <c r="D111" s="6">
        <f t="shared" si="13"/>
        <v>18744.510564134271</v>
      </c>
      <c r="E111" s="6">
        <f t="shared" si="14"/>
        <v>10299.668795450487</v>
      </c>
      <c r="F111" s="6">
        <f t="shared" si="15"/>
        <v>8444.8417686837838</v>
      </c>
      <c r="G111" s="15">
        <f t="shared" si="16"/>
        <v>115648.29072832217</v>
      </c>
    </row>
    <row r="112" spans="2:7" x14ac:dyDescent="0.25">
      <c r="B112" s="4">
        <f t="shared" si="17"/>
        <v>12</v>
      </c>
      <c r="C112" s="6">
        <f t="shared" si="18"/>
        <v>115648.29072832217</v>
      </c>
      <c r="D112" s="6">
        <f t="shared" si="13"/>
        <v>18744.510564134271</v>
      </c>
      <c r="E112" s="6">
        <f t="shared" si="14"/>
        <v>9598.751093582272</v>
      </c>
      <c r="F112" s="6">
        <f t="shared" si="15"/>
        <v>9145.7594705519987</v>
      </c>
      <c r="G112" s="15">
        <f t="shared" si="16"/>
        <v>106502.53125777017</v>
      </c>
    </row>
    <row r="113" spans="2:7" x14ac:dyDescent="0.25">
      <c r="B113" s="4">
        <f t="shared" si="17"/>
        <v>13</v>
      </c>
      <c r="C113" s="6">
        <f t="shared" si="18"/>
        <v>106502.53125777017</v>
      </c>
      <c r="D113" s="6">
        <f t="shared" si="13"/>
        <v>18744.510564134271</v>
      </c>
      <c r="E113" s="6">
        <f t="shared" si="14"/>
        <v>8839.6575681463419</v>
      </c>
      <c r="F113" s="6">
        <f t="shared" si="15"/>
        <v>9904.8529959879288</v>
      </c>
      <c r="G113" s="15">
        <f t="shared" si="16"/>
        <v>96597.678261782246</v>
      </c>
    </row>
    <row r="114" spans="2:7" x14ac:dyDescent="0.25">
      <c r="B114" s="4">
        <f t="shared" si="17"/>
        <v>14</v>
      </c>
      <c r="C114" s="6">
        <f t="shared" si="18"/>
        <v>96597.678261782246</v>
      </c>
      <c r="D114" s="6">
        <f t="shared" si="13"/>
        <v>18744.510564134271</v>
      </c>
      <c r="E114" s="6">
        <f t="shared" si="14"/>
        <v>8017.5596544784567</v>
      </c>
      <c r="F114" s="6">
        <f t="shared" si="15"/>
        <v>10726.950909655814</v>
      </c>
      <c r="G114" s="15">
        <f t="shared" si="16"/>
        <v>85870.727352126429</v>
      </c>
    </row>
    <row r="115" spans="2:7" x14ac:dyDescent="0.25">
      <c r="B115" s="4">
        <f t="shared" si="17"/>
        <v>15</v>
      </c>
      <c r="C115" s="6">
        <f t="shared" si="18"/>
        <v>85870.727352126429</v>
      </c>
      <c r="D115" s="6">
        <f t="shared" si="13"/>
        <v>18744.510564134271</v>
      </c>
      <c r="E115" s="6">
        <f t="shared" si="14"/>
        <v>7127.2280194286532</v>
      </c>
      <c r="F115" s="6">
        <f t="shared" si="15"/>
        <v>11617.282544705617</v>
      </c>
      <c r="G115" s="15">
        <f t="shared" si="16"/>
        <v>74253.444807420805</v>
      </c>
    </row>
    <row r="116" spans="2:7" x14ac:dyDescent="0.25">
      <c r="B116" s="4">
        <f t="shared" si="17"/>
        <v>16</v>
      </c>
      <c r="C116" s="6">
        <f t="shared" si="18"/>
        <v>74253.444807420805</v>
      </c>
      <c r="D116" s="6">
        <f t="shared" si="13"/>
        <v>18744.510564134271</v>
      </c>
      <c r="E116" s="6">
        <f t="shared" si="14"/>
        <v>6162.9992977745915</v>
      </c>
      <c r="F116" s="6">
        <f t="shared" si="15"/>
        <v>12581.511266359679</v>
      </c>
      <c r="G116" s="15">
        <f t="shared" si="16"/>
        <v>61671.933541061124</v>
      </c>
    </row>
    <row r="117" spans="2:7" x14ac:dyDescent="0.25">
      <c r="B117" s="4">
        <f t="shared" si="17"/>
        <v>17</v>
      </c>
      <c r="C117" s="6">
        <f t="shared" si="18"/>
        <v>61671.933541061124</v>
      </c>
      <c r="D117" s="6">
        <f t="shared" si="13"/>
        <v>18744.510564134271</v>
      </c>
      <c r="E117" s="6">
        <f t="shared" si="14"/>
        <v>5118.7400677736077</v>
      </c>
      <c r="F117" s="6">
        <f t="shared" si="15"/>
        <v>13625.770496360663</v>
      </c>
      <c r="G117" s="15">
        <f t="shared" si="16"/>
        <v>48046.163044700457</v>
      </c>
    </row>
    <row r="118" spans="2:7" x14ac:dyDescent="0.25">
      <c r="B118" s="4">
        <f t="shared" si="17"/>
        <v>18</v>
      </c>
      <c r="C118" s="6">
        <f t="shared" si="18"/>
        <v>48046.163044700457</v>
      </c>
      <c r="D118" s="6">
        <f t="shared" si="13"/>
        <v>18744.510564134271</v>
      </c>
      <c r="E118" s="6">
        <f t="shared" si="14"/>
        <v>3987.8078367033513</v>
      </c>
      <c r="F118" s="6">
        <f t="shared" si="15"/>
        <v>14756.702727430918</v>
      </c>
      <c r="G118" s="15">
        <f t="shared" si="16"/>
        <v>33289.460317269535</v>
      </c>
    </row>
    <row r="119" spans="2:7" x14ac:dyDescent="0.25">
      <c r="B119" s="4">
        <f t="shared" si="17"/>
        <v>19</v>
      </c>
      <c r="C119" s="6">
        <f t="shared" si="18"/>
        <v>33289.460317269535</v>
      </c>
      <c r="D119" s="6">
        <f t="shared" si="13"/>
        <v>18744.510564134271</v>
      </c>
      <c r="E119" s="6">
        <f t="shared" si="14"/>
        <v>2763.0087882215471</v>
      </c>
      <c r="F119" s="6">
        <f t="shared" si="15"/>
        <v>15981.501775912724</v>
      </c>
      <c r="G119" s="15">
        <f t="shared" si="16"/>
        <v>17307.958541356813</v>
      </c>
    </row>
    <row r="120" spans="2:7" x14ac:dyDescent="0.25">
      <c r="B120" s="16">
        <f t="shared" si="17"/>
        <v>20</v>
      </c>
      <c r="C120" s="17">
        <f t="shared" si="18"/>
        <v>17307.958541356813</v>
      </c>
      <c r="D120" s="17">
        <f t="shared" si="13"/>
        <v>18744.510564134271</v>
      </c>
      <c r="E120" s="17">
        <f t="shared" si="14"/>
        <v>1436.5520227774457</v>
      </c>
      <c r="F120" s="17">
        <f t="shared" si="15"/>
        <v>17307.958541356824</v>
      </c>
      <c r="G120" s="18">
        <f t="shared" si="16"/>
        <v>0</v>
      </c>
    </row>
    <row r="123" spans="2:7" x14ac:dyDescent="0.25">
      <c r="B123" s="5" t="s">
        <v>35</v>
      </c>
      <c r="C123" s="6">
        <f>G110</f>
        <v>124093.13249700595</v>
      </c>
    </row>
    <row r="124" spans="2:7" x14ac:dyDescent="0.25">
      <c r="B124" s="5" t="s">
        <v>5</v>
      </c>
      <c r="C124" s="5">
        <v>10</v>
      </c>
    </row>
    <row r="125" spans="2:7" x14ac:dyDescent="0.25">
      <c r="B125" s="5" t="s">
        <v>17</v>
      </c>
      <c r="C125" s="5">
        <v>12</v>
      </c>
    </row>
    <row r="126" spans="2:7" x14ac:dyDescent="0.25">
      <c r="B126" s="5" t="s">
        <v>18</v>
      </c>
      <c r="C126" s="5">
        <f>C124*C125</f>
        <v>120</v>
      </c>
    </row>
    <row r="127" spans="2:7" x14ac:dyDescent="0.25">
      <c r="B127" s="5" t="s">
        <v>0</v>
      </c>
      <c r="C127" s="7">
        <v>6.5000000000000002E-2</v>
      </c>
    </row>
    <row r="128" spans="2:7" x14ac:dyDescent="0.25">
      <c r="B128" s="5" t="s">
        <v>33</v>
      </c>
      <c r="C128" s="7">
        <f>C127/C125</f>
        <v>5.4166666666666669E-3</v>
      </c>
    </row>
    <row r="129" spans="1:8" x14ac:dyDescent="0.25">
      <c r="B129" s="5" t="s">
        <v>36</v>
      </c>
      <c r="C129" s="5" t="s">
        <v>6</v>
      </c>
      <c r="D129" s="6">
        <f>PMT(C128,C126,C123)</f>
        <v>-1409.0524181931701</v>
      </c>
    </row>
    <row r="132" spans="1:8" x14ac:dyDescent="0.25">
      <c r="B132" s="5" t="s">
        <v>4</v>
      </c>
      <c r="C132" s="5">
        <f>C126</f>
        <v>120</v>
      </c>
    </row>
    <row r="133" spans="1:8" x14ac:dyDescent="0.25">
      <c r="B133" s="5" t="s">
        <v>37</v>
      </c>
      <c r="C133" s="6">
        <f>D129-D95</f>
        <v>96.539705995063059</v>
      </c>
    </row>
    <row r="134" spans="1:8" x14ac:dyDescent="0.25">
      <c r="B134" s="5" t="s">
        <v>0</v>
      </c>
      <c r="C134" s="7">
        <f>C128</f>
        <v>5.4166666666666669E-3</v>
      </c>
    </row>
    <row r="135" spans="1:8" x14ac:dyDescent="0.25">
      <c r="B135" s="5" t="s">
        <v>1</v>
      </c>
      <c r="C135" s="5" t="s">
        <v>6</v>
      </c>
      <c r="D135" s="6">
        <f>PV(C134,C132,C133)</f>
        <v>-8502.1070703878613</v>
      </c>
      <c r="E135" s="5" t="s">
        <v>38</v>
      </c>
    </row>
    <row r="136" spans="1:8" x14ac:dyDescent="0.25">
      <c r="D136" s="6">
        <v>3000</v>
      </c>
      <c r="E136" s="5" t="s">
        <v>39</v>
      </c>
    </row>
    <row r="137" spans="1:8" x14ac:dyDescent="0.25">
      <c r="D137" s="12">
        <f>-D135-D136</f>
        <v>5502.1070703878613</v>
      </c>
      <c r="E137" s="14" t="s">
        <v>40</v>
      </c>
    </row>
    <row r="140" spans="1:8" x14ac:dyDescent="0.25">
      <c r="A140" s="13">
        <v>7</v>
      </c>
      <c r="B140" s="5" t="s">
        <v>41</v>
      </c>
      <c r="C140" s="6">
        <v>50000</v>
      </c>
      <c r="E140" s="5">
        <v>0</v>
      </c>
      <c r="F140" s="5">
        <v>1</v>
      </c>
      <c r="G140" s="5">
        <v>2</v>
      </c>
    </row>
    <row r="141" spans="1:8" x14ac:dyDescent="0.25">
      <c r="B141" s="5" t="s">
        <v>42</v>
      </c>
      <c r="C141" s="6">
        <v>150000</v>
      </c>
      <c r="E141" s="6">
        <f>-C141-C140</f>
        <v>-200000</v>
      </c>
      <c r="F141" s="5">
        <v>0</v>
      </c>
      <c r="G141" s="6">
        <f>C142</f>
        <v>315000</v>
      </c>
    </row>
    <row r="142" spans="1:8" x14ac:dyDescent="0.25">
      <c r="B142" s="5" t="s">
        <v>43</v>
      </c>
      <c r="C142" s="6">
        <v>315000</v>
      </c>
      <c r="G142" s="5">
        <f>(1+$C$143)^-G140</f>
        <v>0.8116224332440547</v>
      </c>
    </row>
    <row r="143" spans="1:8" x14ac:dyDescent="0.25">
      <c r="B143" s="5" t="s">
        <v>44</v>
      </c>
      <c r="C143" s="10">
        <v>0.11</v>
      </c>
      <c r="G143" s="6">
        <f>G141*G142</f>
        <v>255661.06647187722</v>
      </c>
      <c r="H143" s="5" t="s">
        <v>80</v>
      </c>
    </row>
    <row r="146" spans="1:11" x14ac:dyDescent="0.25">
      <c r="A146" s="13" t="s">
        <v>7</v>
      </c>
      <c r="B146" s="26" t="s">
        <v>1</v>
      </c>
      <c r="C146" s="12">
        <f>-PV(C143,2,0,G141)</f>
        <v>255661.06647187725</v>
      </c>
      <c r="D146" s="5" t="s">
        <v>81</v>
      </c>
    </row>
    <row r="147" spans="1:11" x14ac:dyDescent="0.25">
      <c r="A147" s="13"/>
      <c r="C147" s="41">
        <f>NPV(C143,F141:G141)</f>
        <v>255661.06647187728</v>
      </c>
      <c r="D147" s="5" t="s">
        <v>82</v>
      </c>
    </row>
    <row r="148" spans="1:11" x14ac:dyDescent="0.25">
      <c r="A148" s="13"/>
      <c r="C148" s="42"/>
    </row>
    <row r="149" spans="1:11" x14ac:dyDescent="0.25">
      <c r="B149" s="5" t="s">
        <v>45</v>
      </c>
      <c r="C149" s="6">
        <f>-(C141+C140)</f>
        <v>-200000</v>
      </c>
    </row>
    <row r="150" spans="1:11" x14ac:dyDescent="0.25">
      <c r="A150" s="28" t="s">
        <v>8</v>
      </c>
      <c r="B150" s="26" t="s">
        <v>46</v>
      </c>
      <c r="C150" s="12">
        <f>C147+C149</f>
        <v>55661.066471877275</v>
      </c>
      <c r="D150" s="5" t="s">
        <v>83</v>
      </c>
    </row>
    <row r="151" spans="1:11" x14ac:dyDescent="0.25">
      <c r="C151" s="7"/>
    </row>
    <row r="152" spans="1:11" x14ac:dyDescent="0.25">
      <c r="C152" s="7"/>
    </row>
    <row r="153" spans="1:11" x14ac:dyDescent="0.25">
      <c r="A153" s="13">
        <v>8</v>
      </c>
      <c r="E153" s="5">
        <v>0</v>
      </c>
      <c r="F153" s="5">
        <v>1</v>
      </c>
      <c r="G153" s="5">
        <v>2</v>
      </c>
      <c r="H153" s="5">
        <v>3</v>
      </c>
      <c r="I153" s="5">
        <v>4</v>
      </c>
      <c r="J153" s="5">
        <v>5</v>
      </c>
      <c r="K153" s="5" t="s">
        <v>84</v>
      </c>
    </row>
    <row r="154" spans="1:11" x14ac:dyDescent="0.25">
      <c r="B154" s="5" t="s">
        <v>0</v>
      </c>
      <c r="C154" s="10">
        <v>0.06</v>
      </c>
      <c r="E154" s="6">
        <f>F154/C154</f>
        <v>200000</v>
      </c>
      <c r="F154" s="5">
        <v>12000</v>
      </c>
      <c r="G154" s="5">
        <v>12000</v>
      </c>
      <c r="H154" s="5">
        <v>12000</v>
      </c>
      <c r="I154" s="5">
        <v>12000</v>
      </c>
      <c r="J154" s="5">
        <v>12000</v>
      </c>
      <c r="K154" s="5">
        <v>12000</v>
      </c>
    </row>
    <row r="155" spans="1:11" x14ac:dyDescent="0.25">
      <c r="B155" s="5" t="s">
        <v>85</v>
      </c>
      <c r="G155" s="5">
        <v>1000</v>
      </c>
      <c r="H155" s="5">
        <v>1000</v>
      </c>
      <c r="I155" s="5">
        <v>1000</v>
      </c>
      <c r="J155" s="5">
        <v>1000</v>
      </c>
      <c r="K155" s="5">
        <v>1000</v>
      </c>
    </row>
    <row r="156" spans="1:11" x14ac:dyDescent="0.25">
      <c r="B156" s="5" t="s">
        <v>86</v>
      </c>
      <c r="H156" s="5">
        <v>1000</v>
      </c>
      <c r="I156" s="5">
        <v>1000</v>
      </c>
      <c r="J156" s="5">
        <v>1000</v>
      </c>
      <c r="K156" s="5">
        <v>1000</v>
      </c>
    </row>
    <row r="157" spans="1:11" x14ac:dyDescent="0.25">
      <c r="I157" s="5">
        <v>1000</v>
      </c>
      <c r="J157" s="5">
        <v>1000</v>
      </c>
      <c r="K157" s="5">
        <v>1000</v>
      </c>
    </row>
    <row r="158" spans="1:11" x14ac:dyDescent="0.25">
      <c r="H158" s="6"/>
      <c r="J158" s="5">
        <v>1000</v>
      </c>
      <c r="K158" s="5">
        <v>1000</v>
      </c>
    </row>
    <row r="159" spans="1:11" x14ac:dyDescent="0.25">
      <c r="E159" s="6">
        <f>F159/$C$154</f>
        <v>277777.77777777781</v>
      </c>
      <c r="F159" s="6">
        <f>G155/$C$154</f>
        <v>16666.666666666668</v>
      </c>
      <c r="G159" s="6">
        <f>H156/$C$154</f>
        <v>16666.666666666668</v>
      </c>
      <c r="H159" s="6">
        <f>I157/$C$154</f>
        <v>16666.666666666668</v>
      </c>
      <c r="I159" s="6">
        <f>J157/$C$154</f>
        <v>16666.666666666668</v>
      </c>
    </row>
    <row r="160" spans="1:11" x14ac:dyDescent="0.25">
      <c r="B160" s="5" t="s">
        <v>87</v>
      </c>
      <c r="E160" s="12">
        <f>E154+E159</f>
        <v>477777.77777777781</v>
      </c>
    </row>
    <row r="162" spans="1:9" x14ac:dyDescent="0.25">
      <c r="A162" s="13">
        <v>9</v>
      </c>
    </row>
    <row r="163" spans="1:9" x14ac:dyDescent="0.25">
      <c r="B163" s="5" t="s">
        <v>0</v>
      </c>
      <c r="C163" s="10">
        <v>0.08</v>
      </c>
      <c r="D163" s="14" t="s">
        <v>47</v>
      </c>
      <c r="E163" s="14">
        <v>0</v>
      </c>
      <c r="F163" s="14">
        <f>E163+1</f>
        <v>1</v>
      </c>
      <c r="G163" s="14">
        <f t="shared" ref="G163:H163" si="19">F163+1</f>
        <v>2</v>
      </c>
      <c r="H163" s="14">
        <f t="shared" si="19"/>
        <v>3</v>
      </c>
    </row>
    <row r="164" spans="1:9" x14ac:dyDescent="0.25">
      <c r="E164" s="5">
        <v>-12</v>
      </c>
      <c r="F164" s="5">
        <v>5.5</v>
      </c>
      <c r="G164" s="5">
        <v>4</v>
      </c>
      <c r="H164" s="5">
        <v>4.8</v>
      </c>
    </row>
    <row r="165" spans="1:9" x14ac:dyDescent="0.25">
      <c r="C165" s="6"/>
      <c r="F165" s="5">
        <f>(1+$C$163)^-F163</f>
        <v>0.92592592592592582</v>
      </c>
      <c r="G165" s="5">
        <f>(1+$C$163)^-G163</f>
        <v>0.85733882030178321</v>
      </c>
      <c r="H165" s="5">
        <f>(1+$C$163)^-H163</f>
        <v>0.79383224102016958</v>
      </c>
    </row>
    <row r="166" spans="1:9" x14ac:dyDescent="0.25">
      <c r="C166" s="6"/>
      <c r="E166" s="43">
        <f>SUM(F166:H166)</f>
        <v>12.332342630696539</v>
      </c>
      <c r="F166" s="5">
        <f>F164*F165</f>
        <v>5.0925925925925917</v>
      </c>
      <c r="G166" s="5">
        <f t="shared" ref="G166:H166" si="20">G164*G165</f>
        <v>3.4293552812071328</v>
      </c>
      <c r="H166" s="5">
        <f t="shared" si="20"/>
        <v>3.8103947568968137</v>
      </c>
      <c r="I166" s="5" t="s">
        <v>80</v>
      </c>
    </row>
    <row r="167" spans="1:9" x14ac:dyDescent="0.25">
      <c r="C167" s="6"/>
      <c r="E167" s="38">
        <f>NPV(C163,F164:H164)</f>
        <v>12.332342630696537</v>
      </c>
      <c r="F167" s="5" t="s">
        <v>88</v>
      </c>
    </row>
    <row r="168" spans="1:9" x14ac:dyDescent="0.25">
      <c r="B168" s="14" t="s">
        <v>7</v>
      </c>
      <c r="C168" s="6"/>
      <c r="E168" s="43" t="s">
        <v>21</v>
      </c>
      <c r="F168" s="44" t="s">
        <v>90</v>
      </c>
    </row>
    <row r="169" spans="1:9" x14ac:dyDescent="0.25">
      <c r="C169" s="6"/>
    </row>
    <row r="170" spans="1:9" x14ac:dyDescent="0.25">
      <c r="C170" s="6"/>
      <c r="D170" s="14" t="s">
        <v>48</v>
      </c>
      <c r="E170" s="14">
        <v>0</v>
      </c>
      <c r="F170" s="14">
        <f>E170+1</f>
        <v>1</v>
      </c>
      <c r="G170" s="14">
        <f t="shared" ref="G170:H170" si="21">F170+1</f>
        <v>2</v>
      </c>
      <c r="H170" s="14">
        <f t="shared" si="21"/>
        <v>3</v>
      </c>
    </row>
    <row r="171" spans="1:9" x14ac:dyDescent="0.25">
      <c r="E171" s="5">
        <v>-12</v>
      </c>
      <c r="F171" s="5">
        <v>0</v>
      </c>
      <c r="G171" s="5">
        <v>0</v>
      </c>
      <c r="H171" s="5">
        <v>15.3</v>
      </c>
    </row>
    <row r="172" spans="1:9" x14ac:dyDescent="0.25">
      <c r="C172" s="6"/>
      <c r="F172" s="5">
        <f>(1+$C$163)^-F170</f>
        <v>0.92592592592592582</v>
      </c>
      <c r="G172" s="5">
        <f t="shared" ref="G172" si="22">(1+$C$163)^-G170</f>
        <v>0.85733882030178321</v>
      </c>
      <c r="H172" s="5">
        <f>(1+$C$163)^-H170</f>
        <v>0.79383224102016958</v>
      </c>
    </row>
    <row r="173" spans="1:9" x14ac:dyDescent="0.25">
      <c r="C173" s="6"/>
      <c r="E173" s="37">
        <f>SUM(F173:H173)</f>
        <v>12.145633287608595</v>
      </c>
      <c r="F173" s="5">
        <f>F171*F172</f>
        <v>0</v>
      </c>
      <c r="G173" s="5">
        <f t="shared" ref="G173" si="23">G171*G172</f>
        <v>0</v>
      </c>
      <c r="H173" s="5">
        <f t="shared" ref="H173" si="24">H171*H172</f>
        <v>12.145633287608595</v>
      </c>
      <c r="I173" s="5" t="s">
        <v>80</v>
      </c>
    </row>
    <row r="174" spans="1:9" x14ac:dyDescent="0.25">
      <c r="C174" s="6"/>
      <c r="E174" s="38">
        <f>NPV(C163,F171:H171)</f>
        <v>12.145633287608595</v>
      </c>
      <c r="F174" s="5" t="s">
        <v>89</v>
      </c>
    </row>
    <row r="176" spans="1:9" x14ac:dyDescent="0.25">
      <c r="B176" s="5" t="s">
        <v>0</v>
      </c>
      <c r="C176" s="10">
        <v>0.1</v>
      </c>
      <c r="E176" s="5">
        <v>0</v>
      </c>
      <c r="F176" s="5">
        <f>E176+1</f>
        <v>1</v>
      </c>
      <c r="G176" s="5">
        <f t="shared" ref="G176:H176" si="25">F176+1</f>
        <v>2</v>
      </c>
      <c r="H176" s="5">
        <f t="shared" si="25"/>
        <v>3</v>
      </c>
    </row>
    <row r="177" spans="1:25" x14ac:dyDescent="0.25">
      <c r="C177" s="6">
        <f>NPV(C176,F177:H177)</f>
        <v>11.912096168294514</v>
      </c>
      <c r="D177" s="5" t="s">
        <v>47</v>
      </c>
      <c r="E177" s="5">
        <v>-12</v>
      </c>
      <c r="F177" s="5">
        <v>5.5</v>
      </c>
      <c r="G177" s="5">
        <v>4</v>
      </c>
      <c r="H177" s="5">
        <v>4.8</v>
      </c>
    </row>
    <row r="178" spans="1:25" x14ac:dyDescent="0.25">
      <c r="C178" s="6">
        <f>NPV(C176,F178:H178)</f>
        <v>11.495116453794138</v>
      </c>
      <c r="D178" s="5" t="s">
        <v>48</v>
      </c>
      <c r="E178" s="5">
        <v>-12</v>
      </c>
      <c r="F178" s="5">
        <v>0</v>
      </c>
      <c r="G178" s="5">
        <v>0</v>
      </c>
      <c r="H178" s="5">
        <v>15.3</v>
      </c>
    </row>
    <row r="179" spans="1:25" x14ac:dyDescent="0.25">
      <c r="C179" s="6"/>
    </row>
    <row r="180" spans="1:25" x14ac:dyDescent="0.25">
      <c r="B180" s="14" t="s">
        <v>8</v>
      </c>
      <c r="C180" s="6"/>
      <c r="E180" s="26" t="s">
        <v>92</v>
      </c>
      <c r="F180" s="14" t="s">
        <v>91</v>
      </c>
    </row>
    <row r="181" spans="1:25" x14ac:dyDescent="0.25">
      <c r="C181" s="6"/>
    </row>
    <row r="182" spans="1:25" x14ac:dyDescent="0.25">
      <c r="C182" s="6"/>
    </row>
    <row r="183" spans="1:25" x14ac:dyDescent="0.25">
      <c r="A183" s="13">
        <v>10</v>
      </c>
      <c r="B183" s="5" t="s">
        <v>57</v>
      </c>
      <c r="E183" s="5">
        <v>0</v>
      </c>
      <c r="F183" s="5">
        <f>E183+1</f>
        <v>1</v>
      </c>
      <c r="G183" s="5">
        <f t="shared" ref="G183:O183" si="26">F183+1</f>
        <v>2</v>
      </c>
      <c r="H183" s="5">
        <f t="shared" si="26"/>
        <v>3</v>
      </c>
      <c r="I183" s="5">
        <f t="shared" si="26"/>
        <v>4</v>
      </c>
      <c r="J183" s="5">
        <f t="shared" si="26"/>
        <v>5</v>
      </c>
      <c r="K183" s="5">
        <f t="shared" si="26"/>
        <v>6</v>
      </c>
      <c r="L183" s="5">
        <f t="shared" si="26"/>
        <v>7</v>
      </c>
      <c r="M183" s="5">
        <f t="shared" si="26"/>
        <v>8</v>
      </c>
      <c r="N183" s="5">
        <f t="shared" si="26"/>
        <v>9</v>
      </c>
      <c r="O183" s="5">
        <f t="shared" si="26"/>
        <v>10</v>
      </c>
    </row>
    <row r="184" spans="1:25" x14ac:dyDescent="0.25">
      <c r="B184" s="5" t="s">
        <v>58</v>
      </c>
      <c r="C184" s="6">
        <v>450000</v>
      </c>
      <c r="D184" s="5" t="s">
        <v>50</v>
      </c>
      <c r="F184" s="9">
        <v>165000</v>
      </c>
      <c r="G184" s="9">
        <v>165000</v>
      </c>
      <c r="H184" s="9">
        <v>165000</v>
      </c>
      <c r="I184" s="9">
        <v>165000</v>
      </c>
      <c r="J184" s="9">
        <v>165000</v>
      </c>
      <c r="K184" s="9">
        <v>165000</v>
      </c>
      <c r="L184" s="9">
        <v>165000</v>
      </c>
      <c r="M184" s="9">
        <v>165000</v>
      </c>
      <c r="N184" s="9">
        <v>165000</v>
      </c>
      <c r="O184" s="9">
        <v>165000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5">
      <c r="B185" s="5" t="s">
        <v>59</v>
      </c>
      <c r="C185" s="6">
        <v>150000</v>
      </c>
      <c r="D185" s="5" t="s">
        <v>53</v>
      </c>
      <c r="F185" s="9">
        <v>15000</v>
      </c>
      <c r="G185" s="9">
        <v>15000</v>
      </c>
      <c r="H185" s="9">
        <v>15000</v>
      </c>
      <c r="I185" s="9">
        <v>15000</v>
      </c>
      <c r="J185" s="9">
        <v>15000</v>
      </c>
      <c r="K185" s="9">
        <v>15000</v>
      </c>
      <c r="L185" s="9">
        <v>15000</v>
      </c>
      <c r="M185" s="9">
        <v>15000</v>
      </c>
      <c r="N185" s="9">
        <v>15000</v>
      </c>
      <c r="O185" s="9">
        <v>15000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5">
      <c r="B186" s="5" t="s">
        <v>45</v>
      </c>
      <c r="C186" s="6">
        <f>C184+C185</f>
        <v>600000</v>
      </c>
      <c r="D186" s="5" t="s">
        <v>49</v>
      </c>
      <c r="F186" s="9">
        <f>-$C$186/5</f>
        <v>-120000</v>
      </c>
      <c r="G186" s="9">
        <f t="shared" ref="G186:J186" si="27">-$C$186/5</f>
        <v>-120000</v>
      </c>
      <c r="H186" s="9">
        <f t="shared" si="27"/>
        <v>-120000</v>
      </c>
      <c r="I186" s="9">
        <f t="shared" si="27"/>
        <v>-120000</v>
      </c>
      <c r="J186" s="9">
        <f t="shared" si="27"/>
        <v>-120000</v>
      </c>
    </row>
    <row r="187" spans="1:25" x14ac:dyDescent="0.25">
      <c r="B187" s="5" t="s">
        <v>55</v>
      </c>
      <c r="C187" s="10">
        <v>0.25</v>
      </c>
      <c r="D187" s="14" t="s">
        <v>51</v>
      </c>
      <c r="F187" s="29">
        <f>SUM(F184:F186)</f>
        <v>60000</v>
      </c>
      <c r="G187" s="29">
        <f t="shared" ref="G187:O187" si="28">SUM(G184:G186)</f>
        <v>60000</v>
      </c>
      <c r="H187" s="29">
        <f t="shared" si="28"/>
        <v>60000</v>
      </c>
      <c r="I187" s="29">
        <f t="shared" si="28"/>
        <v>60000</v>
      </c>
      <c r="J187" s="29">
        <f t="shared" si="28"/>
        <v>60000</v>
      </c>
      <c r="K187" s="29">
        <f t="shared" si="28"/>
        <v>180000</v>
      </c>
      <c r="L187" s="29">
        <f t="shared" si="28"/>
        <v>180000</v>
      </c>
      <c r="M187" s="29">
        <f t="shared" si="28"/>
        <v>180000</v>
      </c>
      <c r="N187" s="29">
        <f t="shared" si="28"/>
        <v>180000</v>
      </c>
      <c r="O187" s="29">
        <f t="shared" si="28"/>
        <v>180000</v>
      </c>
    </row>
    <row r="188" spans="1:25" x14ac:dyDescent="0.25">
      <c r="B188" s="5" t="s">
        <v>0</v>
      </c>
      <c r="C188" s="10">
        <v>0.1</v>
      </c>
      <c r="D188" s="5" t="s">
        <v>52</v>
      </c>
      <c r="F188" s="5">
        <v>0</v>
      </c>
    </row>
    <row r="189" spans="1:25" x14ac:dyDescent="0.25">
      <c r="D189" s="14" t="s">
        <v>54</v>
      </c>
      <c r="F189" s="29">
        <f>F187-F188</f>
        <v>60000</v>
      </c>
      <c r="G189" s="29">
        <f t="shared" ref="G189:O189" si="29">G187-G188</f>
        <v>60000</v>
      </c>
      <c r="H189" s="29">
        <f t="shared" si="29"/>
        <v>60000</v>
      </c>
      <c r="I189" s="29">
        <f t="shared" si="29"/>
        <v>60000</v>
      </c>
      <c r="J189" s="29">
        <f t="shared" si="29"/>
        <v>60000</v>
      </c>
      <c r="K189" s="29">
        <f t="shared" si="29"/>
        <v>180000</v>
      </c>
      <c r="L189" s="29">
        <f t="shared" si="29"/>
        <v>180000</v>
      </c>
      <c r="M189" s="29">
        <f t="shared" si="29"/>
        <v>180000</v>
      </c>
      <c r="N189" s="29">
        <f t="shared" si="29"/>
        <v>180000</v>
      </c>
      <c r="O189" s="29">
        <f t="shared" si="29"/>
        <v>180000</v>
      </c>
    </row>
    <row r="190" spans="1:25" x14ac:dyDescent="0.25">
      <c r="D190" s="5" t="s">
        <v>55</v>
      </c>
      <c r="F190" s="9">
        <f>$C$187*F189</f>
        <v>15000</v>
      </c>
      <c r="G190" s="9">
        <f t="shared" ref="G190:O190" si="30">$C$187*G189</f>
        <v>15000</v>
      </c>
      <c r="H190" s="9">
        <f t="shared" si="30"/>
        <v>15000</v>
      </c>
      <c r="I190" s="9">
        <f t="shared" si="30"/>
        <v>15000</v>
      </c>
      <c r="J190" s="9">
        <f t="shared" si="30"/>
        <v>15000</v>
      </c>
      <c r="K190" s="9">
        <f t="shared" si="30"/>
        <v>45000</v>
      </c>
      <c r="L190" s="9">
        <f t="shared" si="30"/>
        <v>45000</v>
      </c>
      <c r="M190" s="9">
        <f t="shared" si="30"/>
        <v>45000</v>
      </c>
      <c r="N190" s="9">
        <f t="shared" si="30"/>
        <v>45000</v>
      </c>
      <c r="O190" s="9">
        <f t="shared" si="30"/>
        <v>45000</v>
      </c>
    </row>
    <row r="191" spans="1:25" x14ac:dyDescent="0.25">
      <c r="D191" s="14" t="s">
        <v>56</v>
      </c>
      <c r="E191" s="14"/>
      <c r="F191" s="29">
        <f>F189-F190</f>
        <v>45000</v>
      </c>
      <c r="G191" s="29">
        <f t="shared" ref="G191:O191" si="31">G189-G190</f>
        <v>45000</v>
      </c>
      <c r="H191" s="29">
        <f t="shared" si="31"/>
        <v>45000</v>
      </c>
      <c r="I191" s="29">
        <f t="shared" si="31"/>
        <v>45000</v>
      </c>
      <c r="J191" s="29">
        <f t="shared" si="31"/>
        <v>45000</v>
      </c>
      <c r="K191" s="29">
        <f t="shared" si="31"/>
        <v>135000</v>
      </c>
      <c r="L191" s="29">
        <f t="shared" si="31"/>
        <v>135000</v>
      </c>
      <c r="M191" s="29">
        <f t="shared" si="31"/>
        <v>135000</v>
      </c>
      <c r="N191" s="29">
        <f t="shared" si="31"/>
        <v>135000</v>
      </c>
      <c r="O191" s="29">
        <f t="shared" si="31"/>
        <v>135000</v>
      </c>
    </row>
    <row r="192" spans="1:25" x14ac:dyDescent="0.25">
      <c r="D192" s="5" t="s">
        <v>60</v>
      </c>
      <c r="F192" s="9">
        <f>-F186</f>
        <v>120000</v>
      </c>
      <c r="G192" s="9">
        <f t="shared" ref="G192:O192" si="32">-G186</f>
        <v>120000</v>
      </c>
      <c r="H192" s="9">
        <f t="shared" si="32"/>
        <v>120000</v>
      </c>
      <c r="I192" s="9">
        <f t="shared" si="32"/>
        <v>120000</v>
      </c>
      <c r="J192" s="9">
        <f t="shared" si="32"/>
        <v>120000</v>
      </c>
      <c r="K192" s="9">
        <f t="shared" si="32"/>
        <v>0</v>
      </c>
      <c r="L192" s="9">
        <f t="shared" si="32"/>
        <v>0</v>
      </c>
      <c r="M192" s="9">
        <f t="shared" si="32"/>
        <v>0</v>
      </c>
      <c r="N192" s="9">
        <f t="shared" si="32"/>
        <v>0</v>
      </c>
      <c r="O192" s="9">
        <f t="shared" si="32"/>
        <v>0</v>
      </c>
    </row>
    <row r="193" spans="1:15" x14ac:dyDescent="0.25">
      <c r="D193" s="5" t="s">
        <v>61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</row>
    <row r="194" spans="1:15" x14ac:dyDescent="0.25">
      <c r="D194" s="14" t="s">
        <v>70</v>
      </c>
      <c r="F194" s="29">
        <f>SUM(F191:F193)</f>
        <v>165000</v>
      </c>
      <c r="G194" s="29">
        <f t="shared" ref="G194:O194" si="33">SUM(G191:G193)</f>
        <v>165000</v>
      </c>
      <c r="H194" s="29">
        <f t="shared" si="33"/>
        <v>165000</v>
      </c>
      <c r="I194" s="29">
        <f t="shared" si="33"/>
        <v>165000</v>
      </c>
      <c r="J194" s="29">
        <f t="shared" si="33"/>
        <v>165000</v>
      </c>
      <c r="K194" s="29">
        <f t="shared" si="33"/>
        <v>135000</v>
      </c>
      <c r="L194" s="29">
        <f t="shared" si="33"/>
        <v>135000</v>
      </c>
      <c r="M194" s="29">
        <f t="shared" si="33"/>
        <v>135000</v>
      </c>
      <c r="N194" s="29">
        <f t="shared" si="33"/>
        <v>135000</v>
      </c>
      <c r="O194" s="29">
        <f t="shared" si="33"/>
        <v>135000</v>
      </c>
    </row>
    <row r="195" spans="1:15" x14ac:dyDescent="0.25">
      <c r="D195" s="5" t="s">
        <v>62</v>
      </c>
      <c r="E195" s="6">
        <f>-C186</f>
        <v>-600000</v>
      </c>
    </row>
    <row r="196" spans="1:15" x14ac:dyDescent="0.25">
      <c r="A196" s="14" t="s">
        <v>7</v>
      </c>
      <c r="D196" s="45" t="s">
        <v>69</v>
      </c>
      <c r="E196" s="46">
        <f>SUM(E194:E195)</f>
        <v>-600000</v>
      </c>
      <c r="F196" s="46">
        <f t="shared" ref="F196:O196" si="34">SUM(F194:F195)</f>
        <v>165000</v>
      </c>
      <c r="G196" s="46">
        <f t="shared" si="34"/>
        <v>165000</v>
      </c>
      <c r="H196" s="46">
        <f t="shared" si="34"/>
        <v>165000</v>
      </c>
      <c r="I196" s="46">
        <f t="shared" si="34"/>
        <v>165000</v>
      </c>
      <c r="J196" s="46">
        <f t="shared" si="34"/>
        <v>165000</v>
      </c>
      <c r="K196" s="46">
        <f t="shared" si="34"/>
        <v>135000</v>
      </c>
      <c r="L196" s="46">
        <f t="shared" si="34"/>
        <v>135000</v>
      </c>
      <c r="M196" s="46">
        <f t="shared" si="34"/>
        <v>135000</v>
      </c>
      <c r="N196" s="46">
        <f t="shared" si="34"/>
        <v>135000</v>
      </c>
      <c r="O196" s="46">
        <f t="shared" si="34"/>
        <v>135000</v>
      </c>
    </row>
    <row r="197" spans="1:15" x14ac:dyDescent="0.25">
      <c r="D197" s="14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spans="1:15" x14ac:dyDescent="0.25">
      <c r="D198" s="14"/>
      <c r="E198" s="9" t="s">
        <v>4</v>
      </c>
      <c r="F198" s="9">
        <v>5</v>
      </c>
      <c r="G198" s="29"/>
      <c r="H198" s="29"/>
      <c r="I198" s="29"/>
      <c r="J198" s="9" t="s">
        <v>4</v>
      </c>
      <c r="K198" s="9">
        <v>5</v>
      </c>
      <c r="L198" s="29"/>
      <c r="M198" s="29"/>
      <c r="N198" s="29"/>
      <c r="O198" s="29"/>
    </row>
    <row r="199" spans="1:15" x14ac:dyDescent="0.25">
      <c r="D199" s="14"/>
      <c r="E199" s="6">
        <f>-PV($C$188,F198,F196)</f>
        <v>625479.81695239432</v>
      </c>
      <c r="F199" s="29"/>
      <c r="G199" s="29"/>
      <c r="H199" s="29"/>
      <c r="I199" s="29"/>
      <c r="K199" s="29"/>
      <c r="L199" s="29"/>
      <c r="M199" s="29"/>
      <c r="N199" s="29"/>
      <c r="O199" s="29"/>
    </row>
    <row r="200" spans="1:15" x14ac:dyDescent="0.25">
      <c r="D200" s="14"/>
      <c r="E200" s="6">
        <f>J200*(1+$C$188)^-F198</f>
        <v>317760.34539999167</v>
      </c>
      <c r="F200" s="29"/>
      <c r="G200" s="29"/>
      <c r="H200" s="29"/>
      <c r="I200" s="29"/>
      <c r="J200" s="6">
        <f>-PV($C$188,K198,K196)</f>
        <v>511756.21387014078</v>
      </c>
      <c r="K200" s="29"/>
      <c r="L200" s="29"/>
      <c r="M200" s="29"/>
      <c r="N200" s="29"/>
      <c r="O200" s="29"/>
    </row>
    <row r="201" spans="1:15" x14ac:dyDescent="0.25">
      <c r="A201" s="13" t="s">
        <v>8</v>
      </c>
      <c r="D201" s="14"/>
      <c r="E201" s="47">
        <f>E199+E200</f>
        <v>943240.16235238593</v>
      </c>
      <c r="F201" s="9" t="s">
        <v>93</v>
      </c>
      <c r="G201" s="29"/>
      <c r="H201" s="29"/>
      <c r="I201" s="29"/>
      <c r="J201" s="6"/>
      <c r="K201" s="29"/>
      <c r="L201" s="29"/>
      <c r="M201" s="29"/>
      <c r="N201" s="29"/>
      <c r="O201" s="29"/>
    </row>
    <row r="202" spans="1:15" x14ac:dyDescent="0.25">
      <c r="D202" s="14"/>
      <c r="E202" s="6">
        <f>NPV(C188,F196:O196)</f>
        <v>943240.16235238523</v>
      </c>
      <c r="F202" s="5" t="s">
        <v>88</v>
      </c>
      <c r="G202" s="29"/>
      <c r="H202" s="29"/>
      <c r="I202" s="29"/>
      <c r="J202" s="6"/>
      <c r="K202" s="29"/>
      <c r="L202" s="29"/>
      <c r="M202" s="29"/>
      <c r="N202" s="29"/>
      <c r="O202" s="29"/>
    </row>
    <row r="204" spans="1:15" x14ac:dyDescent="0.25">
      <c r="A204" s="13"/>
      <c r="C204" s="6"/>
    </row>
    <row r="205" spans="1:15" x14ac:dyDescent="0.25">
      <c r="A205" s="13"/>
      <c r="C205" s="6"/>
    </row>
    <row r="206" spans="1:15" x14ac:dyDescent="0.25">
      <c r="A206" s="13" t="s">
        <v>27</v>
      </c>
      <c r="B206" s="14" t="s">
        <v>63</v>
      </c>
      <c r="C206" s="47">
        <f>E202+E196</f>
        <v>343240.16235238523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5"/>
  <sheetViews>
    <sheetView workbookViewId="0">
      <selection activeCell="A2" sqref="A2"/>
    </sheetView>
  </sheetViews>
  <sheetFormatPr defaultRowHeight="16.5" x14ac:dyDescent="0.3"/>
  <cols>
    <col min="1" max="2" width="9.140625" style="1"/>
    <col min="3" max="3" width="14.28515625" style="1" customWidth="1"/>
    <col min="4" max="6" width="9.140625" style="1"/>
    <col min="7" max="7" width="10.140625" style="1" bestFit="1" customWidth="1"/>
    <col min="8" max="8" width="9.140625" style="1"/>
    <col min="9" max="9" width="14" style="1" customWidth="1"/>
    <col min="10" max="10" width="11.28515625" style="1" customWidth="1"/>
    <col min="11" max="16384" width="9.140625" style="1"/>
  </cols>
  <sheetData>
    <row r="1" spans="2:11" x14ac:dyDescent="0.3">
      <c r="B1" s="1" t="s">
        <v>19</v>
      </c>
      <c r="C1" s="3">
        <f>'Ejercicio 11'!C36</f>
        <v>6.2499999999999995E-3</v>
      </c>
      <c r="I1" s="5"/>
      <c r="J1" s="6"/>
      <c r="K1" s="5"/>
    </row>
    <row r="2" spans="2:11" x14ac:dyDescent="0.3">
      <c r="B2" s="1" t="s">
        <v>66</v>
      </c>
      <c r="C2" s="3"/>
      <c r="I2" s="5"/>
      <c r="J2" s="6"/>
      <c r="K2" s="5"/>
    </row>
    <row r="3" spans="2:11" x14ac:dyDescent="0.3">
      <c r="I3" s="5"/>
      <c r="J3" s="11"/>
      <c r="K3" s="5"/>
    </row>
    <row r="4" spans="2:11" x14ac:dyDescent="0.3">
      <c r="C4" s="33" t="s">
        <v>9</v>
      </c>
      <c r="D4" s="33" t="s">
        <v>10</v>
      </c>
      <c r="E4" s="33" t="s">
        <v>64</v>
      </c>
      <c r="F4" s="33" t="s">
        <v>65</v>
      </c>
      <c r="G4" s="33" t="s">
        <v>13</v>
      </c>
      <c r="K4" s="5"/>
    </row>
    <row r="5" spans="2:11" x14ac:dyDescent="0.3">
      <c r="B5" s="1">
        <v>1</v>
      </c>
      <c r="C5" s="31">
        <f>'Ejercicio 11'!$C$34</f>
        <v>100000</v>
      </c>
      <c r="D5" s="31">
        <f>-'Ejercicio 11'!$D$40</f>
        <v>927.01236000273809</v>
      </c>
      <c r="E5" s="31">
        <f>C5*$C$1</f>
        <v>625</v>
      </c>
      <c r="F5" s="31">
        <f>D5-E5</f>
        <v>302.01236000273809</v>
      </c>
      <c r="G5" s="31">
        <f>C5-F5</f>
        <v>99697.987639997256</v>
      </c>
    </row>
    <row r="6" spans="2:11" x14ac:dyDescent="0.3">
      <c r="B6" s="1">
        <f>B5+1</f>
        <v>2</v>
      </c>
      <c r="C6" s="31">
        <f>G5</f>
        <v>99697.987639997256</v>
      </c>
      <c r="D6" s="31">
        <f>-'Ejercicio 11'!$D$40</f>
        <v>927.01236000273809</v>
      </c>
      <c r="E6" s="31">
        <f>C6*$C$1</f>
        <v>623.11242274998278</v>
      </c>
      <c r="F6" s="31">
        <f>D6-E6</f>
        <v>303.89993725275531</v>
      </c>
      <c r="G6" s="31">
        <f>C6-F6</f>
        <v>99394.087702744495</v>
      </c>
    </row>
    <row r="7" spans="2:11" x14ac:dyDescent="0.3">
      <c r="B7" s="1">
        <f t="shared" ref="B7:B70" si="0">B6+1</f>
        <v>3</v>
      </c>
      <c r="C7" s="31">
        <f t="shared" ref="C7:C70" si="1">G6</f>
        <v>99394.087702744495</v>
      </c>
      <c r="D7" s="31">
        <f>-'Ejercicio 11'!$D$40</f>
        <v>927.01236000273809</v>
      </c>
      <c r="E7" s="31">
        <f t="shared" ref="E7:E70" si="2">C7*$C$1</f>
        <v>621.21304814215307</v>
      </c>
      <c r="F7" s="31">
        <f t="shared" ref="F7:F70" si="3">D7-E7</f>
        <v>305.79931186058502</v>
      </c>
      <c r="G7" s="31">
        <f t="shared" ref="G7:G70" si="4">C7-F7</f>
        <v>99088.288390883914</v>
      </c>
    </row>
    <row r="8" spans="2:11" x14ac:dyDescent="0.3">
      <c r="B8" s="1">
        <f t="shared" si="0"/>
        <v>4</v>
      </c>
      <c r="C8" s="31">
        <f t="shared" si="1"/>
        <v>99088.288390883914</v>
      </c>
      <c r="D8" s="31">
        <f>-'Ejercicio 11'!$D$40</f>
        <v>927.01236000273809</v>
      </c>
      <c r="E8" s="31">
        <f t="shared" si="2"/>
        <v>619.30180244302437</v>
      </c>
      <c r="F8" s="31">
        <f t="shared" si="3"/>
        <v>307.71055755971372</v>
      </c>
      <c r="G8" s="31">
        <f t="shared" si="4"/>
        <v>98780.577833324205</v>
      </c>
    </row>
    <row r="9" spans="2:11" x14ac:dyDescent="0.3">
      <c r="B9" s="1">
        <f t="shared" si="0"/>
        <v>5</v>
      </c>
      <c r="C9" s="31">
        <f t="shared" si="1"/>
        <v>98780.577833324205</v>
      </c>
      <c r="D9" s="31">
        <f>-'Ejercicio 11'!$D$40</f>
        <v>927.01236000273809</v>
      </c>
      <c r="E9" s="31">
        <f t="shared" si="2"/>
        <v>617.37861145827628</v>
      </c>
      <c r="F9" s="31">
        <f t="shared" si="3"/>
        <v>309.63374854446181</v>
      </c>
      <c r="G9" s="31">
        <f t="shared" si="4"/>
        <v>98470.944084779738</v>
      </c>
    </row>
    <row r="10" spans="2:11" x14ac:dyDescent="0.3">
      <c r="B10" s="1">
        <f t="shared" si="0"/>
        <v>6</v>
      </c>
      <c r="C10" s="31">
        <f t="shared" si="1"/>
        <v>98470.944084779738</v>
      </c>
      <c r="D10" s="31">
        <f>-'Ejercicio 11'!$D$40</f>
        <v>927.01236000273809</v>
      </c>
      <c r="E10" s="31">
        <f t="shared" si="2"/>
        <v>615.44340052987332</v>
      </c>
      <c r="F10" s="31">
        <f t="shared" si="3"/>
        <v>311.56895947286478</v>
      </c>
      <c r="G10" s="31">
        <f t="shared" si="4"/>
        <v>98159.375125306877</v>
      </c>
    </row>
    <row r="11" spans="2:11" x14ac:dyDescent="0.3">
      <c r="B11" s="1">
        <f t="shared" si="0"/>
        <v>7</v>
      </c>
      <c r="C11" s="31">
        <f t="shared" si="1"/>
        <v>98159.375125306877</v>
      </c>
      <c r="D11" s="31">
        <f>-'Ejercicio 11'!$D$40</f>
        <v>927.01236000273809</v>
      </c>
      <c r="E11" s="31">
        <f t="shared" si="2"/>
        <v>613.49609453316793</v>
      </c>
      <c r="F11" s="31">
        <f t="shared" si="3"/>
        <v>313.51626546957016</v>
      </c>
      <c r="G11" s="31">
        <f t="shared" si="4"/>
        <v>97845.858859837303</v>
      </c>
    </row>
    <row r="12" spans="2:11" x14ac:dyDescent="0.3">
      <c r="B12" s="1">
        <f t="shared" si="0"/>
        <v>8</v>
      </c>
      <c r="C12" s="31">
        <f t="shared" si="1"/>
        <v>97845.858859837303</v>
      </c>
      <c r="D12" s="31">
        <f>-'Ejercicio 11'!$D$40</f>
        <v>927.01236000273809</v>
      </c>
      <c r="E12" s="31">
        <f t="shared" si="2"/>
        <v>611.53661787398312</v>
      </c>
      <c r="F12" s="31">
        <f t="shared" si="3"/>
        <v>315.47574212875497</v>
      </c>
      <c r="G12" s="31">
        <f t="shared" si="4"/>
        <v>97530.383117708552</v>
      </c>
    </row>
    <row r="13" spans="2:11" x14ac:dyDescent="0.3">
      <c r="B13" s="1">
        <f t="shared" si="0"/>
        <v>9</v>
      </c>
      <c r="C13" s="31">
        <f t="shared" si="1"/>
        <v>97530.383117708552</v>
      </c>
      <c r="D13" s="31">
        <f>-'Ejercicio 11'!$D$40</f>
        <v>927.01236000273809</v>
      </c>
      <c r="E13" s="31">
        <f t="shared" si="2"/>
        <v>609.56489448567845</v>
      </c>
      <c r="F13" s="31">
        <f t="shared" si="3"/>
        <v>317.44746551705964</v>
      </c>
      <c r="G13" s="31">
        <f t="shared" si="4"/>
        <v>97212.935652191489</v>
      </c>
    </row>
    <row r="14" spans="2:11" x14ac:dyDescent="0.3">
      <c r="B14" s="1">
        <f t="shared" si="0"/>
        <v>10</v>
      </c>
      <c r="C14" s="31">
        <f t="shared" si="1"/>
        <v>97212.935652191489</v>
      </c>
      <c r="D14" s="31">
        <f>-'Ejercicio 11'!$D$40</f>
        <v>927.01236000273809</v>
      </c>
      <c r="E14" s="31">
        <f t="shared" si="2"/>
        <v>607.58084782619676</v>
      </c>
      <c r="F14" s="31">
        <f t="shared" si="3"/>
        <v>319.43151217654133</v>
      </c>
      <c r="G14" s="31">
        <f t="shared" si="4"/>
        <v>96893.504140014949</v>
      </c>
    </row>
    <row r="15" spans="2:11" x14ac:dyDescent="0.3">
      <c r="B15" s="1">
        <f t="shared" si="0"/>
        <v>11</v>
      </c>
      <c r="C15" s="31">
        <f t="shared" si="1"/>
        <v>96893.504140014949</v>
      </c>
      <c r="D15" s="31">
        <f>-'Ejercicio 11'!$D$40</f>
        <v>927.01236000273809</v>
      </c>
      <c r="E15" s="31">
        <f t="shared" si="2"/>
        <v>605.58440087509337</v>
      </c>
      <c r="F15" s="31">
        <f t="shared" si="3"/>
        <v>321.42795912764473</v>
      </c>
      <c r="G15" s="31">
        <f t="shared" si="4"/>
        <v>96572.076180887307</v>
      </c>
    </row>
    <row r="16" spans="2:11" x14ac:dyDescent="0.3">
      <c r="B16" s="1">
        <f t="shared" si="0"/>
        <v>12</v>
      </c>
      <c r="C16" s="31">
        <f t="shared" si="1"/>
        <v>96572.076180887307</v>
      </c>
      <c r="D16" s="31">
        <f>-'Ejercicio 11'!$D$40</f>
        <v>927.01236000273809</v>
      </c>
      <c r="E16" s="31">
        <f t="shared" si="2"/>
        <v>603.57547613054567</v>
      </c>
      <c r="F16" s="31">
        <f t="shared" si="3"/>
        <v>323.43688387219242</v>
      </c>
      <c r="G16" s="31">
        <f t="shared" si="4"/>
        <v>96248.639297015121</v>
      </c>
    </row>
    <row r="17" spans="2:7" x14ac:dyDescent="0.3">
      <c r="B17" s="1">
        <f t="shared" si="0"/>
        <v>13</v>
      </c>
      <c r="C17" s="31">
        <f t="shared" si="1"/>
        <v>96248.639297015121</v>
      </c>
      <c r="D17" s="31">
        <f>-'Ejercicio 11'!$D$40</f>
        <v>927.01236000273809</v>
      </c>
      <c r="E17" s="31">
        <f t="shared" si="2"/>
        <v>601.55399560634442</v>
      </c>
      <c r="F17" s="31">
        <f t="shared" si="3"/>
        <v>325.45836439639368</v>
      </c>
      <c r="G17" s="31">
        <f t="shared" si="4"/>
        <v>95923.180932618721</v>
      </c>
    </row>
    <row r="18" spans="2:7" x14ac:dyDescent="0.3">
      <c r="B18" s="1">
        <f t="shared" si="0"/>
        <v>14</v>
      </c>
      <c r="C18" s="31">
        <f t="shared" si="1"/>
        <v>95923.180932618721</v>
      </c>
      <c r="D18" s="31">
        <f>-'Ejercicio 11'!$D$40</f>
        <v>927.01236000273809</v>
      </c>
      <c r="E18" s="31">
        <f t="shared" si="2"/>
        <v>599.51988082886692</v>
      </c>
      <c r="F18" s="31">
        <f t="shared" si="3"/>
        <v>327.49247917387117</v>
      </c>
      <c r="G18" s="31">
        <f t="shared" si="4"/>
        <v>95595.688453444847</v>
      </c>
    </row>
    <row r="19" spans="2:7" x14ac:dyDescent="0.3">
      <c r="B19" s="1">
        <f t="shared" si="0"/>
        <v>15</v>
      </c>
      <c r="C19" s="31">
        <f t="shared" si="1"/>
        <v>95595.688453444847</v>
      </c>
      <c r="D19" s="31">
        <f>-'Ejercicio 11'!$D$40</f>
        <v>927.01236000273809</v>
      </c>
      <c r="E19" s="31">
        <f t="shared" si="2"/>
        <v>597.47305283403023</v>
      </c>
      <c r="F19" s="31">
        <f t="shared" si="3"/>
        <v>329.53930716870786</v>
      </c>
      <c r="G19" s="31">
        <f t="shared" si="4"/>
        <v>95266.149146276133</v>
      </c>
    </row>
    <row r="20" spans="2:7" x14ac:dyDescent="0.3">
      <c r="B20" s="1">
        <f t="shared" si="0"/>
        <v>16</v>
      </c>
      <c r="C20" s="31">
        <f t="shared" si="1"/>
        <v>95266.149146276133</v>
      </c>
      <c r="D20" s="31">
        <f>-'Ejercicio 11'!$D$40</f>
        <v>927.01236000273809</v>
      </c>
      <c r="E20" s="31">
        <f t="shared" si="2"/>
        <v>595.41343216422581</v>
      </c>
      <c r="F20" s="31">
        <f t="shared" si="3"/>
        <v>331.59892783851228</v>
      </c>
      <c r="G20" s="31">
        <f t="shared" si="4"/>
        <v>94934.550218437624</v>
      </c>
    </row>
    <row r="21" spans="2:7" x14ac:dyDescent="0.3">
      <c r="B21" s="1">
        <f t="shared" si="0"/>
        <v>17</v>
      </c>
      <c r="C21" s="31">
        <f t="shared" si="1"/>
        <v>94934.550218437624</v>
      </c>
      <c r="D21" s="31">
        <f>-'Ejercicio 11'!$D$40</f>
        <v>927.01236000273809</v>
      </c>
      <c r="E21" s="31">
        <f t="shared" si="2"/>
        <v>593.3409388652351</v>
      </c>
      <c r="F21" s="31">
        <f t="shared" si="3"/>
        <v>333.67142113750299</v>
      </c>
      <c r="G21" s="31">
        <f t="shared" si="4"/>
        <v>94600.878797300116</v>
      </c>
    </row>
    <row r="22" spans="2:7" x14ac:dyDescent="0.3">
      <c r="B22" s="1">
        <f t="shared" si="0"/>
        <v>18</v>
      </c>
      <c r="C22" s="31">
        <f t="shared" si="1"/>
        <v>94600.878797300116</v>
      </c>
      <c r="D22" s="31">
        <f>-'Ejercicio 11'!$D$40</f>
        <v>927.01236000273809</v>
      </c>
      <c r="E22" s="31">
        <f t="shared" si="2"/>
        <v>591.25549248312564</v>
      </c>
      <c r="F22" s="31">
        <f t="shared" si="3"/>
        <v>335.75686751961246</v>
      </c>
      <c r="G22" s="31">
        <f t="shared" si="4"/>
        <v>94265.121929780507</v>
      </c>
    </row>
    <row r="23" spans="2:7" x14ac:dyDescent="0.3">
      <c r="B23" s="1">
        <f t="shared" si="0"/>
        <v>19</v>
      </c>
      <c r="C23" s="31">
        <f t="shared" si="1"/>
        <v>94265.121929780507</v>
      </c>
      <c r="D23" s="31">
        <f>-'Ejercicio 11'!$D$40</f>
        <v>927.01236000273809</v>
      </c>
      <c r="E23" s="31">
        <f t="shared" si="2"/>
        <v>589.15701206112817</v>
      </c>
      <c r="F23" s="31">
        <f t="shared" si="3"/>
        <v>337.85534794160992</v>
      </c>
      <c r="G23" s="31">
        <f t="shared" si="4"/>
        <v>93927.266581838892</v>
      </c>
    </row>
    <row r="24" spans="2:7" x14ac:dyDescent="0.3">
      <c r="B24" s="1">
        <f t="shared" si="0"/>
        <v>20</v>
      </c>
      <c r="C24" s="31">
        <f t="shared" si="1"/>
        <v>93927.266581838892</v>
      </c>
      <c r="D24" s="31">
        <f>-'Ejercicio 11'!$D$40</f>
        <v>927.01236000273809</v>
      </c>
      <c r="E24" s="31">
        <f t="shared" si="2"/>
        <v>587.04541613649303</v>
      </c>
      <c r="F24" s="31">
        <f t="shared" si="3"/>
        <v>339.96694386624506</v>
      </c>
      <c r="G24" s="31">
        <f t="shared" si="4"/>
        <v>93587.299637972654</v>
      </c>
    </row>
    <row r="25" spans="2:7" x14ac:dyDescent="0.3">
      <c r="B25" s="1">
        <f t="shared" si="0"/>
        <v>21</v>
      </c>
      <c r="C25" s="31">
        <f t="shared" si="1"/>
        <v>93587.299637972654</v>
      </c>
      <c r="D25" s="31">
        <f>-'Ejercicio 11'!$D$40</f>
        <v>927.01236000273809</v>
      </c>
      <c r="E25" s="31">
        <f t="shared" si="2"/>
        <v>584.92062273732904</v>
      </c>
      <c r="F25" s="31">
        <f t="shared" si="3"/>
        <v>342.09173726540905</v>
      </c>
      <c r="G25" s="31">
        <f t="shared" si="4"/>
        <v>93245.207900707246</v>
      </c>
    </row>
    <row r="26" spans="2:7" x14ac:dyDescent="0.3">
      <c r="B26" s="1">
        <f t="shared" si="0"/>
        <v>22</v>
      </c>
      <c r="C26" s="31">
        <f t="shared" si="1"/>
        <v>93245.207900707246</v>
      </c>
      <c r="D26" s="31">
        <f>-'Ejercicio 11'!$D$40</f>
        <v>927.01236000273809</v>
      </c>
      <c r="E26" s="31">
        <f t="shared" si="2"/>
        <v>582.78254937942029</v>
      </c>
      <c r="F26" s="31">
        <f t="shared" si="3"/>
        <v>344.2298106233178</v>
      </c>
      <c r="G26" s="31">
        <f t="shared" si="4"/>
        <v>92900.978090083925</v>
      </c>
    </row>
    <row r="27" spans="2:7" x14ac:dyDescent="0.3">
      <c r="B27" s="1">
        <f t="shared" si="0"/>
        <v>23</v>
      </c>
      <c r="C27" s="31">
        <f t="shared" si="1"/>
        <v>92900.978090083925</v>
      </c>
      <c r="D27" s="31">
        <f>-'Ejercicio 11'!$D$40</f>
        <v>927.01236000273809</v>
      </c>
      <c r="E27" s="31">
        <f t="shared" si="2"/>
        <v>580.63111306302449</v>
      </c>
      <c r="F27" s="31">
        <f t="shared" si="3"/>
        <v>346.38124693971361</v>
      </c>
      <c r="G27" s="31">
        <f t="shared" si="4"/>
        <v>92554.596843144216</v>
      </c>
    </row>
    <row r="28" spans="2:7" x14ac:dyDescent="0.3">
      <c r="B28" s="1">
        <f t="shared" si="0"/>
        <v>24</v>
      </c>
      <c r="C28" s="31">
        <f t="shared" si="1"/>
        <v>92554.596843144216</v>
      </c>
      <c r="D28" s="31">
        <f>-'Ejercicio 11'!$D$40</f>
        <v>927.01236000273809</v>
      </c>
      <c r="E28" s="31">
        <f t="shared" si="2"/>
        <v>578.46623026965131</v>
      </c>
      <c r="F28" s="31">
        <f t="shared" si="3"/>
        <v>348.54612973308679</v>
      </c>
      <c r="G28" s="31">
        <f t="shared" si="4"/>
        <v>92206.050713411125</v>
      </c>
    </row>
    <row r="29" spans="2:7" x14ac:dyDescent="0.3">
      <c r="B29" s="1">
        <f t="shared" si="0"/>
        <v>25</v>
      </c>
      <c r="C29" s="31">
        <f t="shared" si="1"/>
        <v>92206.050713411125</v>
      </c>
      <c r="D29" s="31">
        <f>-'Ejercicio 11'!$D$40</f>
        <v>927.01236000273809</v>
      </c>
      <c r="E29" s="31">
        <f t="shared" si="2"/>
        <v>576.28781695881946</v>
      </c>
      <c r="F29" s="31">
        <f t="shared" si="3"/>
        <v>350.72454304391863</v>
      </c>
      <c r="G29" s="31">
        <f t="shared" si="4"/>
        <v>91855.326170367203</v>
      </c>
    </row>
    <row r="30" spans="2:7" x14ac:dyDescent="0.3">
      <c r="B30" s="1">
        <f t="shared" si="0"/>
        <v>26</v>
      </c>
      <c r="C30" s="31">
        <f t="shared" si="1"/>
        <v>91855.326170367203</v>
      </c>
      <c r="D30" s="31">
        <f>-'Ejercicio 11'!$D$40</f>
        <v>927.01236000273809</v>
      </c>
      <c r="E30" s="31">
        <f t="shared" si="2"/>
        <v>574.09578856479493</v>
      </c>
      <c r="F30" s="31">
        <f t="shared" si="3"/>
        <v>352.91657143794316</v>
      </c>
      <c r="G30" s="31">
        <f t="shared" si="4"/>
        <v>91502.409598929255</v>
      </c>
    </row>
    <row r="31" spans="2:7" x14ac:dyDescent="0.3">
      <c r="B31" s="1">
        <f t="shared" si="0"/>
        <v>27</v>
      </c>
      <c r="C31" s="31">
        <f t="shared" si="1"/>
        <v>91502.409598929255</v>
      </c>
      <c r="D31" s="31">
        <f>-'Ejercicio 11'!$D$40</f>
        <v>927.01236000273809</v>
      </c>
      <c r="E31" s="31">
        <f t="shared" si="2"/>
        <v>571.89005999330777</v>
      </c>
      <c r="F31" s="31">
        <f t="shared" si="3"/>
        <v>355.12230000943032</v>
      </c>
      <c r="G31" s="31">
        <f t="shared" si="4"/>
        <v>91147.287298919822</v>
      </c>
    </row>
    <row r="32" spans="2:7" x14ac:dyDescent="0.3">
      <c r="B32" s="1">
        <f t="shared" si="0"/>
        <v>28</v>
      </c>
      <c r="C32" s="31">
        <f t="shared" si="1"/>
        <v>91147.287298919822</v>
      </c>
      <c r="D32" s="31">
        <f>-'Ejercicio 11'!$D$40</f>
        <v>927.01236000273809</v>
      </c>
      <c r="E32" s="31">
        <f t="shared" si="2"/>
        <v>569.67054561824887</v>
      </c>
      <c r="F32" s="31">
        <f t="shared" si="3"/>
        <v>357.34181438448923</v>
      </c>
      <c r="G32" s="31">
        <f t="shared" si="4"/>
        <v>90789.945484535332</v>
      </c>
    </row>
    <row r="33" spans="2:7" x14ac:dyDescent="0.3">
      <c r="B33" s="1">
        <f t="shared" si="0"/>
        <v>29</v>
      </c>
      <c r="C33" s="31">
        <f t="shared" si="1"/>
        <v>90789.945484535332</v>
      </c>
      <c r="D33" s="31">
        <f>-'Ejercicio 11'!$D$40</f>
        <v>927.01236000273809</v>
      </c>
      <c r="E33" s="31">
        <f t="shared" si="2"/>
        <v>567.4371592783458</v>
      </c>
      <c r="F33" s="31">
        <f t="shared" si="3"/>
        <v>359.57520072439229</v>
      </c>
      <c r="G33" s="31">
        <f t="shared" si="4"/>
        <v>90430.370283810946</v>
      </c>
    </row>
    <row r="34" spans="2:7" x14ac:dyDescent="0.3">
      <c r="B34" s="1">
        <f t="shared" si="0"/>
        <v>30</v>
      </c>
      <c r="C34" s="31">
        <f t="shared" si="1"/>
        <v>90430.370283810946</v>
      </c>
      <c r="D34" s="31">
        <f>-'Ejercicio 11'!$D$40</f>
        <v>927.01236000273809</v>
      </c>
      <c r="E34" s="31">
        <f t="shared" si="2"/>
        <v>565.18981427381834</v>
      </c>
      <c r="F34" s="31">
        <f t="shared" si="3"/>
        <v>361.82254572891975</v>
      </c>
      <c r="G34" s="31">
        <f t="shared" si="4"/>
        <v>90068.547738082023</v>
      </c>
    </row>
    <row r="35" spans="2:7" x14ac:dyDescent="0.3">
      <c r="B35" s="1">
        <f t="shared" si="0"/>
        <v>31</v>
      </c>
      <c r="C35" s="31">
        <f t="shared" si="1"/>
        <v>90068.547738082023</v>
      </c>
      <c r="D35" s="31">
        <f>-'Ejercicio 11'!$D$40</f>
        <v>927.01236000273809</v>
      </c>
      <c r="E35" s="31">
        <f t="shared" si="2"/>
        <v>562.9284233630126</v>
      </c>
      <c r="F35" s="31">
        <f t="shared" si="3"/>
        <v>364.08393663972549</v>
      </c>
      <c r="G35" s="31">
        <f t="shared" si="4"/>
        <v>89704.463801442296</v>
      </c>
    </row>
    <row r="36" spans="2:7" x14ac:dyDescent="0.3">
      <c r="B36" s="1">
        <f t="shared" si="0"/>
        <v>32</v>
      </c>
      <c r="C36" s="31">
        <f t="shared" si="1"/>
        <v>89704.463801442296</v>
      </c>
      <c r="D36" s="31">
        <f>-'Ejercicio 11'!$D$40</f>
        <v>927.01236000273809</v>
      </c>
      <c r="E36" s="31">
        <f t="shared" si="2"/>
        <v>560.65289875901431</v>
      </c>
      <c r="F36" s="31">
        <f t="shared" si="3"/>
        <v>366.35946124372379</v>
      </c>
      <c r="G36" s="31">
        <f t="shared" si="4"/>
        <v>89338.104340198566</v>
      </c>
    </row>
    <row r="37" spans="2:7" x14ac:dyDescent="0.3">
      <c r="B37" s="1">
        <f t="shared" si="0"/>
        <v>33</v>
      </c>
      <c r="C37" s="31">
        <f t="shared" si="1"/>
        <v>89338.104340198566</v>
      </c>
      <c r="D37" s="31">
        <f>-'Ejercicio 11'!$D$40</f>
        <v>927.01236000273809</v>
      </c>
      <c r="E37" s="31">
        <f t="shared" si="2"/>
        <v>558.36315212624095</v>
      </c>
      <c r="F37" s="31">
        <f t="shared" si="3"/>
        <v>368.64920787649714</v>
      </c>
      <c r="G37" s="31">
        <f t="shared" si="4"/>
        <v>88969.455132322066</v>
      </c>
    </row>
    <row r="38" spans="2:7" x14ac:dyDescent="0.3">
      <c r="B38" s="1">
        <f t="shared" si="0"/>
        <v>34</v>
      </c>
      <c r="C38" s="31">
        <f t="shared" si="1"/>
        <v>88969.455132322066</v>
      </c>
      <c r="D38" s="31">
        <f>-'Ejercicio 11'!$D$40</f>
        <v>927.01236000273809</v>
      </c>
      <c r="E38" s="31">
        <f t="shared" si="2"/>
        <v>556.05909457701284</v>
      </c>
      <c r="F38" s="31">
        <f t="shared" si="3"/>
        <v>370.95326542572525</v>
      </c>
      <c r="G38" s="31">
        <f t="shared" si="4"/>
        <v>88598.501866896346</v>
      </c>
    </row>
    <row r="39" spans="2:7" x14ac:dyDescent="0.3">
      <c r="B39" s="1">
        <f t="shared" si="0"/>
        <v>35</v>
      </c>
      <c r="C39" s="31">
        <f t="shared" si="1"/>
        <v>88598.501866896346</v>
      </c>
      <c r="D39" s="31">
        <f>-'Ejercicio 11'!$D$40</f>
        <v>927.01236000273809</v>
      </c>
      <c r="E39" s="31">
        <f t="shared" si="2"/>
        <v>553.74063666810207</v>
      </c>
      <c r="F39" s="31">
        <f t="shared" si="3"/>
        <v>373.27172333463602</v>
      </c>
      <c r="G39" s="31">
        <f t="shared" si="4"/>
        <v>88225.230143561712</v>
      </c>
    </row>
    <row r="40" spans="2:7" x14ac:dyDescent="0.3">
      <c r="B40" s="1">
        <f t="shared" si="0"/>
        <v>36</v>
      </c>
      <c r="C40" s="31">
        <f t="shared" si="1"/>
        <v>88225.230143561712</v>
      </c>
      <c r="D40" s="31">
        <f>-'Ejercicio 11'!$D$40</f>
        <v>927.01236000273809</v>
      </c>
      <c r="E40" s="31">
        <f t="shared" si="2"/>
        <v>551.4076883972607</v>
      </c>
      <c r="F40" s="31">
        <f t="shared" si="3"/>
        <v>375.60467160547739</v>
      </c>
      <c r="G40" s="31">
        <f t="shared" si="4"/>
        <v>87849.625471956228</v>
      </c>
    </row>
    <row r="41" spans="2:7" x14ac:dyDescent="0.3">
      <c r="B41" s="1">
        <f t="shared" si="0"/>
        <v>37</v>
      </c>
      <c r="C41" s="31">
        <f t="shared" si="1"/>
        <v>87849.625471956228</v>
      </c>
      <c r="D41" s="31">
        <f>-'Ejercicio 11'!$D$40</f>
        <v>927.01236000273809</v>
      </c>
      <c r="E41" s="31">
        <f t="shared" si="2"/>
        <v>549.0601591997264</v>
      </c>
      <c r="F41" s="31">
        <f t="shared" si="3"/>
        <v>377.95220080301169</v>
      </c>
      <c r="G41" s="31">
        <f t="shared" si="4"/>
        <v>87471.673271153209</v>
      </c>
    </row>
    <row r="42" spans="2:7" x14ac:dyDescent="0.3">
      <c r="B42" s="1">
        <f t="shared" si="0"/>
        <v>38</v>
      </c>
      <c r="C42" s="31">
        <f t="shared" si="1"/>
        <v>87471.673271153209</v>
      </c>
      <c r="D42" s="31">
        <f>-'Ejercicio 11'!$D$40</f>
        <v>927.01236000273809</v>
      </c>
      <c r="E42" s="31">
        <f t="shared" si="2"/>
        <v>546.69795794470747</v>
      </c>
      <c r="F42" s="31">
        <f t="shared" si="3"/>
        <v>380.31440205803062</v>
      </c>
      <c r="G42" s="31">
        <f t="shared" si="4"/>
        <v>87091.358869095173</v>
      </c>
    </row>
    <row r="43" spans="2:7" x14ac:dyDescent="0.3">
      <c r="B43" s="1">
        <f t="shared" si="0"/>
        <v>39</v>
      </c>
      <c r="C43" s="31">
        <f t="shared" si="1"/>
        <v>87091.358869095173</v>
      </c>
      <c r="D43" s="31">
        <f>-'Ejercicio 11'!$D$40</f>
        <v>927.01236000273809</v>
      </c>
      <c r="E43" s="31">
        <f t="shared" si="2"/>
        <v>544.32099293184478</v>
      </c>
      <c r="F43" s="31">
        <f t="shared" si="3"/>
        <v>382.69136707089331</v>
      </c>
      <c r="G43" s="31">
        <f t="shared" si="4"/>
        <v>86708.667502024284</v>
      </c>
    </row>
    <row r="44" spans="2:7" x14ac:dyDescent="0.3">
      <c r="B44" s="1">
        <f t="shared" si="0"/>
        <v>40</v>
      </c>
      <c r="C44" s="31">
        <f t="shared" si="1"/>
        <v>86708.667502024284</v>
      </c>
      <c r="D44" s="31">
        <f>-'Ejercicio 11'!$D$40</f>
        <v>927.01236000273809</v>
      </c>
      <c r="E44" s="31">
        <f t="shared" si="2"/>
        <v>541.92917188765171</v>
      </c>
      <c r="F44" s="31">
        <f t="shared" si="3"/>
        <v>385.08318811508639</v>
      </c>
      <c r="G44" s="31">
        <f t="shared" si="4"/>
        <v>86323.584313909203</v>
      </c>
    </row>
    <row r="45" spans="2:7" x14ac:dyDescent="0.3">
      <c r="B45" s="1">
        <f t="shared" si="0"/>
        <v>41</v>
      </c>
      <c r="C45" s="31">
        <f t="shared" si="1"/>
        <v>86323.584313909203</v>
      </c>
      <c r="D45" s="31">
        <f>-'Ejercicio 11'!$D$40</f>
        <v>927.01236000273809</v>
      </c>
      <c r="E45" s="31">
        <f t="shared" si="2"/>
        <v>539.52240196193247</v>
      </c>
      <c r="F45" s="31">
        <f t="shared" si="3"/>
        <v>387.48995804080562</v>
      </c>
      <c r="G45" s="31">
        <f t="shared" si="4"/>
        <v>85936.094355868394</v>
      </c>
    </row>
    <row r="46" spans="2:7" x14ac:dyDescent="0.3">
      <c r="B46" s="1">
        <f t="shared" si="0"/>
        <v>42</v>
      </c>
      <c r="C46" s="31">
        <f t="shared" si="1"/>
        <v>85936.094355868394</v>
      </c>
      <c r="D46" s="31">
        <f>-'Ejercicio 11'!$D$40</f>
        <v>927.01236000273809</v>
      </c>
      <c r="E46" s="31">
        <f t="shared" si="2"/>
        <v>537.10058972417744</v>
      </c>
      <c r="F46" s="31">
        <f t="shared" si="3"/>
        <v>389.91177027856065</v>
      </c>
      <c r="G46" s="31">
        <f t="shared" si="4"/>
        <v>85546.182585589835</v>
      </c>
    </row>
    <row r="47" spans="2:7" x14ac:dyDescent="0.3">
      <c r="B47" s="1">
        <f t="shared" si="0"/>
        <v>43</v>
      </c>
      <c r="C47" s="31">
        <f t="shared" si="1"/>
        <v>85546.182585589835</v>
      </c>
      <c r="D47" s="31">
        <f>-'Ejercicio 11'!$D$40</f>
        <v>927.01236000273809</v>
      </c>
      <c r="E47" s="31">
        <f t="shared" si="2"/>
        <v>534.66364115993645</v>
      </c>
      <c r="F47" s="31">
        <f t="shared" si="3"/>
        <v>392.34871884280165</v>
      </c>
      <c r="G47" s="31">
        <f t="shared" si="4"/>
        <v>85153.833866747038</v>
      </c>
    </row>
    <row r="48" spans="2:7" x14ac:dyDescent="0.3">
      <c r="B48" s="1">
        <f t="shared" si="0"/>
        <v>44</v>
      </c>
      <c r="C48" s="31">
        <f t="shared" si="1"/>
        <v>85153.833866747038</v>
      </c>
      <c r="D48" s="31">
        <f>-'Ejercicio 11'!$D$40</f>
        <v>927.01236000273809</v>
      </c>
      <c r="E48" s="31">
        <f t="shared" si="2"/>
        <v>532.21146166716892</v>
      </c>
      <c r="F48" s="31">
        <f t="shared" si="3"/>
        <v>394.80089833556917</v>
      </c>
      <c r="G48" s="31">
        <f t="shared" si="4"/>
        <v>84759.032968411469</v>
      </c>
    </row>
    <row r="49" spans="2:10" x14ac:dyDescent="0.3">
      <c r="B49" s="1">
        <f t="shared" si="0"/>
        <v>45</v>
      </c>
      <c r="C49" s="31">
        <f t="shared" si="1"/>
        <v>84759.032968411469</v>
      </c>
      <c r="D49" s="31">
        <f>-'Ejercicio 11'!$D$40</f>
        <v>927.01236000273809</v>
      </c>
      <c r="E49" s="31">
        <f t="shared" si="2"/>
        <v>529.74395605257166</v>
      </c>
      <c r="F49" s="31">
        <f t="shared" si="3"/>
        <v>397.26840395016643</v>
      </c>
      <c r="G49" s="31">
        <f t="shared" si="4"/>
        <v>84361.764564461308</v>
      </c>
    </row>
    <row r="50" spans="2:10" x14ac:dyDescent="0.3">
      <c r="B50" s="1">
        <f t="shared" si="0"/>
        <v>46</v>
      </c>
      <c r="C50" s="31">
        <f t="shared" si="1"/>
        <v>84361.764564461308</v>
      </c>
      <c r="D50" s="31">
        <f>-'Ejercicio 11'!$D$40</f>
        <v>927.01236000273809</v>
      </c>
      <c r="E50" s="31">
        <f t="shared" si="2"/>
        <v>527.26102852788313</v>
      </c>
      <c r="F50" s="31">
        <f t="shared" si="3"/>
        <v>399.75133147485496</v>
      </c>
      <c r="G50" s="31">
        <f t="shared" si="4"/>
        <v>83962.013232986457</v>
      </c>
    </row>
    <row r="51" spans="2:10" x14ac:dyDescent="0.3">
      <c r="B51" s="1">
        <f t="shared" si="0"/>
        <v>47</v>
      </c>
      <c r="C51" s="31">
        <f t="shared" si="1"/>
        <v>83962.013232986457</v>
      </c>
      <c r="D51" s="31">
        <f>-'Ejercicio 11'!$D$40</f>
        <v>927.01236000273809</v>
      </c>
      <c r="E51" s="31">
        <f t="shared" si="2"/>
        <v>524.76258270616529</v>
      </c>
      <c r="F51" s="31">
        <f t="shared" si="3"/>
        <v>402.2497772965728</v>
      </c>
      <c r="G51" s="31">
        <f t="shared" si="4"/>
        <v>83559.763455689885</v>
      </c>
    </row>
    <row r="52" spans="2:10" x14ac:dyDescent="0.3">
      <c r="B52" s="1">
        <f t="shared" si="0"/>
        <v>48</v>
      </c>
      <c r="C52" s="31">
        <f t="shared" si="1"/>
        <v>83559.763455689885</v>
      </c>
      <c r="D52" s="31">
        <f>-'Ejercicio 11'!$D$40</f>
        <v>927.01236000273809</v>
      </c>
      <c r="E52" s="31">
        <f t="shared" si="2"/>
        <v>522.24852159806176</v>
      </c>
      <c r="F52" s="31">
        <f t="shared" si="3"/>
        <v>404.76383840467633</v>
      </c>
      <c r="G52" s="31">
        <f t="shared" si="4"/>
        <v>83154.999617285212</v>
      </c>
    </row>
    <row r="53" spans="2:10" x14ac:dyDescent="0.3">
      <c r="B53" s="1">
        <f t="shared" si="0"/>
        <v>49</v>
      </c>
      <c r="C53" s="31">
        <f t="shared" si="1"/>
        <v>83154.999617285212</v>
      </c>
      <c r="D53" s="31">
        <f>-'Ejercicio 11'!$D$40</f>
        <v>927.01236000273809</v>
      </c>
      <c r="E53" s="31">
        <f t="shared" si="2"/>
        <v>519.71874760803257</v>
      </c>
      <c r="F53" s="31">
        <f t="shared" si="3"/>
        <v>407.29361239470552</v>
      </c>
      <c r="G53" s="31">
        <f t="shared" si="4"/>
        <v>82747.706004890511</v>
      </c>
    </row>
    <row r="54" spans="2:10" x14ac:dyDescent="0.3">
      <c r="B54" s="1">
        <f t="shared" si="0"/>
        <v>50</v>
      </c>
      <c r="C54" s="31">
        <f t="shared" si="1"/>
        <v>82747.706004890511</v>
      </c>
      <c r="D54" s="31">
        <f>-'Ejercicio 11'!$D$40</f>
        <v>927.01236000273809</v>
      </c>
      <c r="E54" s="31">
        <f t="shared" si="2"/>
        <v>517.17316253056561</v>
      </c>
      <c r="F54" s="31">
        <f t="shared" si="3"/>
        <v>409.83919747217249</v>
      </c>
      <c r="G54" s="31">
        <f t="shared" si="4"/>
        <v>82337.866807418337</v>
      </c>
    </row>
    <row r="55" spans="2:10" x14ac:dyDescent="0.3">
      <c r="B55" s="1">
        <f t="shared" si="0"/>
        <v>51</v>
      </c>
      <c r="C55" s="31">
        <f t="shared" si="1"/>
        <v>82337.866807418337</v>
      </c>
      <c r="D55" s="31">
        <f>-'Ejercicio 11'!$D$40</f>
        <v>927.01236000273809</v>
      </c>
      <c r="E55" s="31">
        <f t="shared" si="2"/>
        <v>514.61166754636452</v>
      </c>
      <c r="F55" s="31">
        <f t="shared" si="3"/>
        <v>412.40069245637358</v>
      </c>
      <c r="G55" s="31">
        <f t="shared" si="4"/>
        <v>81925.466114961964</v>
      </c>
    </row>
    <row r="56" spans="2:10" x14ac:dyDescent="0.3">
      <c r="B56" s="1">
        <f t="shared" si="0"/>
        <v>52</v>
      </c>
      <c r="C56" s="31">
        <f t="shared" si="1"/>
        <v>81925.466114961964</v>
      </c>
      <c r="D56" s="31">
        <f>-'Ejercicio 11'!$D$40</f>
        <v>927.01236000273809</v>
      </c>
      <c r="E56" s="31">
        <f t="shared" si="2"/>
        <v>512.03416321851228</v>
      </c>
      <c r="F56" s="31">
        <f t="shared" si="3"/>
        <v>414.97819678422582</v>
      </c>
      <c r="G56" s="31">
        <f t="shared" si="4"/>
        <v>81510.487918177736</v>
      </c>
    </row>
    <row r="57" spans="2:10" x14ac:dyDescent="0.3">
      <c r="B57" s="1">
        <f t="shared" si="0"/>
        <v>53</v>
      </c>
      <c r="C57" s="31">
        <f t="shared" si="1"/>
        <v>81510.487918177736</v>
      </c>
      <c r="D57" s="31">
        <f>-'Ejercicio 11'!$D$40</f>
        <v>927.01236000273809</v>
      </c>
      <c r="E57" s="31">
        <f t="shared" si="2"/>
        <v>509.44054948861083</v>
      </c>
      <c r="F57" s="31">
        <f t="shared" si="3"/>
        <v>417.57181051412726</v>
      </c>
      <c r="G57" s="31">
        <f t="shared" si="4"/>
        <v>81092.916107663608</v>
      </c>
    </row>
    <row r="58" spans="2:10" x14ac:dyDescent="0.3">
      <c r="B58" s="1">
        <f t="shared" si="0"/>
        <v>54</v>
      </c>
      <c r="C58" s="31">
        <f t="shared" si="1"/>
        <v>81092.916107663608</v>
      </c>
      <c r="D58" s="31">
        <f>-'Ejercicio 11'!$D$40</f>
        <v>927.01236000273809</v>
      </c>
      <c r="E58" s="31">
        <f t="shared" si="2"/>
        <v>506.83072567289753</v>
      </c>
      <c r="F58" s="31">
        <f t="shared" si="3"/>
        <v>420.18163432984056</v>
      </c>
      <c r="G58" s="31">
        <f t="shared" si="4"/>
        <v>80672.734473333767</v>
      </c>
    </row>
    <row r="59" spans="2:10" x14ac:dyDescent="0.3">
      <c r="B59" s="1">
        <f t="shared" si="0"/>
        <v>55</v>
      </c>
      <c r="C59" s="31">
        <f t="shared" si="1"/>
        <v>80672.734473333767</v>
      </c>
      <c r="D59" s="31">
        <f>-'Ejercicio 11'!$D$40</f>
        <v>927.01236000273809</v>
      </c>
      <c r="E59" s="31">
        <f t="shared" si="2"/>
        <v>504.20459045833599</v>
      </c>
      <c r="F59" s="31">
        <f t="shared" si="3"/>
        <v>422.80776954440211</v>
      </c>
      <c r="G59" s="31">
        <f t="shared" si="4"/>
        <v>80249.926703789359</v>
      </c>
    </row>
    <row r="60" spans="2:10" x14ac:dyDescent="0.3">
      <c r="B60" s="1">
        <f t="shared" si="0"/>
        <v>56</v>
      </c>
      <c r="C60" s="31">
        <f t="shared" si="1"/>
        <v>80249.926703789359</v>
      </c>
      <c r="D60" s="31">
        <f>-'Ejercicio 11'!$D$40</f>
        <v>927.01236000273809</v>
      </c>
      <c r="E60" s="31">
        <f t="shared" si="2"/>
        <v>501.56204189868345</v>
      </c>
      <c r="F60" s="31">
        <f t="shared" si="3"/>
        <v>425.45031810405465</v>
      </c>
      <c r="G60" s="31">
        <f t="shared" si="4"/>
        <v>79824.47638568531</v>
      </c>
    </row>
    <row r="61" spans="2:10" x14ac:dyDescent="0.3">
      <c r="B61" s="1">
        <f t="shared" si="0"/>
        <v>57</v>
      </c>
      <c r="C61" s="31">
        <f t="shared" si="1"/>
        <v>79824.47638568531</v>
      </c>
      <c r="D61" s="31">
        <f>-'Ejercicio 11'!$D$40</f>
        <v>927.01236000273809</v>
      </c>
      <c r="E61" s="31">
        <f t="shared" si="2"/>
        <v>498.90297741053314</v>
      </c>
      <c r="F61" s="31">
        <f t="shared" si="3"/>
        <v>428.10938259220495</v>
      </c>
      <c r="G61" s="31">
        <f t="shared" si="4"/>
        <v>79396.36700309311</v>
      </c>
    </row>
    <row r="62" spans="2:10" x14ac:dyDescent="0.3">
      <c r="B62" s="1">
        <f t="shared" si="0"/>
        <v>58</v>
      </c>
      <c r="C62" s="31">
        <f t="shared" si="1"/>
        <v>79396.36700309311</v>
      </c>
      <c r="D62" s="31">
        <f>-'Ejercicio 11'!$D$40</f>
        <v>927.01236000273809</v>
      </c>
      <c r="E62" s="31">
        <f t="shared" si="2"/>
        <v>496.22729376933188</v>
      </c>
      <c r="F62" s="31">
        <f t="shared" si="3"/>
        <v>430.78506623340621</v>
      </c>
      <c r="G62" s="31">
        <f t="shared" si="4"/>
        <v>78965.5819368597</v>
      </c>
    </row>
    <row r="63" spans="2:10" x14ac:dyDescent="0.3">
      <c r="B63" s="1">
        <f t="shared" si="0"/>
        <v>59</v>
      </c>
      <c r="C63" s="31">
        <f t="shared" si="1"/>
        <v>78965.5819368597</v>
      </c>
      <c r="D63" s="31">
        <f>-'Ejercicio 11'!$D$40</f>
        <v>927.01236000273809</v>
      </c>
      <c r="E63" s="31">
        <f t="shared" si="2"/>
        <v>493.53488710537306</v>
      </c>
      <c r="F63" s="31">
        <f t="shared" si="3"/>
        <v>433.47747289736503</v>
      </c>
      <c r="G63" s="31">
        <f t="shared" si="4"/>
        <v>78532.104463962329</v>
      </c>
    </row>
    <row r="64" spans="2:10" x14ac:dyDescent="0.3">
      <c r="B64" s="1">
        <f t="shared" si="0"/>
        <v>60</v>
      </c>
      <c r="C64" s="31">
        <f t="shared" si="1"/>
        <v>78532.104463962329</v>
      </c>
      <c r="D64" s="31">
        <f>-'Ejercicio 11'!$D$40</f>
        <v>927.01236000273809</v>
      </c>
      <c r="E64" s="31">
        <f t="shared" si="2"/>
        <v>490.82565289976452</v>
      </c>
      <c r="F64" s="31">
        <f t="shared" si="3"/>
        <v>436.18670710297357</v>
      </c>
      <c r="G64" s="32">
        <f t="shared" si="4"/>
        <v>78095.917756859359</v>
      </c>
      <c r="I64" s="3">
        <f>C1</f>
        <v>6.2499999999999995E-3</v>
      </c>
      <c r="J64" s="1">
        <f>G64*I64</f>
        <v>488.09948598037096</v>
      </c>
    </row>
    <row r="65" spans="2:7" x14ac:dyDescent="0.3">
      <c r="B65" s="1">
        <f t="shared" si="0"/>
        <v>61</v>
      </c>
      <c r="C65" s="31">
        <f t="shared" si="1"/>
        <v>78095.917756859359</v>
      </c>
      <c r="D65" s="31">
        <f>-'Ejercicio 11'!$D$40</f>
        <v>927.01236000273809</v>
      </c>
      <c r="E65" s="31">
        <f t="shared" si="2"/>
        <v>488.09948598037096</v>
      </c>
      <c r="F65" s="31">
        <f t="shared" si="3"/>
        <v>438.91287402236713</v>
      </c>
      <c r="G65" s="31">
        <f t="shared" si="4"/>
        <v>77657.004882836991</v>
      </c>
    </row>
    <row r="66" spans="2:7" x14ac:dyDescent="0.3">
      <c r="B66" s="1">
        <f t="shared" si="0"/>
        <v>62</v>
      </c>
      <c r="C66" s="31">
        <f t="shared" si="1"/>
        <v>77657.004882836991</v>
      </c>
      <c r="D66" s="31">
        <f>-'Ejercicio 11'!$D$40</f>
        <v>927.01236000273809</v>
      </c>
      <c r="E66" s="31">
        <f t="shared" si="2"/>
        <v>485.35628051773114</v>
      </c>
      <c r="F66" s="31">
        <f t="shared" si="3"/>
        <v>441.65607948500696</v>
      </c>
      <c r="G66" s="31">
        <f t="shared" si="4"/>
        <v>77215.348803351982</v>
      </c>
    </row>
    <row r="67" spans="2:7" x14ac:dyDescent="0.3">
      <c r="B67" s="1">
        <f t="shared" si="0"/>
        <v>63</v>
      </c>
      <c r="C67" s="31">
        <f t="shared" si="1"/>
        <v>77215.348803351982</v>
      </c>
      <c r="D67" s="31">
        <f>-'Ejercicio 11'!$D$40</f>
        <v>927.01236000273809</v>
      </c>
      <c r="E67" s="31">
        <f t="shared" si="2"/>
        <v>482.59593002094982</v>
      </c>
      <c r="F67" s="31">
        <f t="shared" si="3"/>
        <v>444.41642998178827</v>
      </c>
      <c r="G67" s="31">
        <f t="shared" si="4"/>
        <v>76770.932373370189</v>
      </c>
    </row>
    <row r="68" spans="2:7" x14ac:dyDescent="0.3">
      <c r="B68" s="1">
        <f t="shared" si="0"/>
        <v>64</v>
      </c>
      <c r="C68" s="31">
        <f t="shared" si="1"/>
        <v>76770.932373370189</v>
      </c>
      <c r="D68" s="31">
        <f>-'Ejercicio 11'!$D$40</f>
        <v>927.01236000273809</v>
      </c>
      <c r="E68" s="31">
        <f t="shared" si="2"/>
        <v>479.81832733356362</v>
      </c>
      <c r="F68" s="31">
        <f t="shared" si="3"/>
        <v>447.19403266917448</v>
      </c>
      <c r="G68" s="31">
        <f t="shared" si="4"/>
        <v>76323.73834070102</v>
      </c>
    </row>
    <row r="69" spans="2:7" x14ac:dyDescent="0.3">
      <c r="B69" s="1">
        <f t="shared" si="0"/>
        <v>65</v>
      </c>
      <c r="C69" s="31">
        <f t="shared" si="1"/>
        <v>76323.73834070102</v>
      </c>
      <c r="D69" s="31">
        <f>-'Ejercicio 11'!$D$40</f>
        <v>927.01236000273809</v>
      </c>
      <c r="E69" s="31">
        <f t="shared" si="2"/>
        <v>477.02336462938132</v>
      </c>
      <c r="F69" s="31">
        <f t="shared" si="3"/>
        <v>449.98899537335677</v>
      </c>
      <c r="G69" s="31">
        <f t="shared" si="4"/>
        <v>75873.749345327669</v>
      </c>
    </row>
    <row r="70" spans="2:7" x14ac:dyDescent="0.3">
      <c r="B70" s="1">
        <f t="shared" si="0"/>
        <v>66</v>
      </c>
      <c r="C70" s="31">
        <f t="shared" si="1"/>
        <v>75873.749345327669</v>
      </c>
      <c r="D70" s="31">
        <f>-'Ejercicio 11'!$D$40</f>
        <v>927.01236000273809</v>
      </c>
      <c r="E70" s="31">
        <f t="shared" si="2"/>
        <v>474.21093340829788</v>
      </c>
      <c r="F70" s="31">
        <f t="shared" si="3"/>
        <v>452.80142659444022</v>
      </c>
      <c r="G70" s="31">
        <f t="shared" si="4"/>
        <v>75420.947918733233</v>
      </c>
    </row>
    <row r="71" spans="2:7" x14ac:dyDescent="0.3">
      <c r="B71" s="1">
        <f t="shared" ref="B71:B134" si="5">B70+1</f>
        <v>67</v>
      </c>
      <c r="C71" s="31">
        <f t="shared" ref="C71:C134" si="6">G70</f>
        <v>75420.947918733233</v>
      </c>
      <c r="D71" s="31">
        <f>-'Ejercicio 11'!$D$40</f>
        <v>927.01236000273809</v>
      </c>
      <c r="E71" s="31">
        <f t="shared" ref="E71:E134" si="7">C71*$C$1</f>
        <v>471.38092449208267</v>
      </c>
      <c r="F71" s="31">
        <f t="shared" ref="F71:F134" si="8">D71-E71</f>
        <v>455.63143551065542</v>
      </c>
      <c r="G71" s="31">
        <f t="shared" ref="G71:G134" si="9">C71-F71</f>
        <v>74965.316483222574</v>
      </c>
    </row>
    <row r="72" spans="2:7" x14ac:dyDescent="0.3">
      <c r="B72" s="1">
        <f t="shared" si="5"/>
        <v>68</v>
      </c>
      <c r="C72" s="31">
        <f t="shared" si="6"/>
        <v>74965.316483222574</v>
      </c>
      <c r="D72" s="31">
        <f>-'Ejercicio 11'!$D$40</f>
        <v>927.01236000273809</v>
      </c>
      <c r="E72" s="31">
        <f t="shared" si="7"/>
        <v>468.53322802014105</v>
      </c>
      <c r="F72" s="31">
        <f t="shared" si="8"/>
        <v>458.47913198259704</v>
      </c>
      <c r="G72" s="31">
        <f t="shared" si="9"/>
        <v>74506.83735123997</v>
      </c>
    </row>
    <row r="73" spans="2:7" x14ac:dyDescent="0.3">
      <c r="B73" s="1">
        <f t="shared" si="5"/>
        <v>69</v>
      </c>
      <c r="C73" s="31">
        <f t="shared" si="6"/>
        <v>74506.83735123997</v>
      </c>
      <c r="D73" s="31">
        <f>-'Ejercicio 11'!$D$40</f>
        <v>927.01236000273809</v>
      </c>
      <c r="E73" s="31">
        <f t="shared" si="7"/>
        <v>465.66773344524978</v>
      </c>
      <c r="F73" s="31">
        <f t="shared" si="8"/>
        <v>461.34462655748831</v>
      </c>
      <c r="G73" s="31">
        <f t="shared" si="9"/>
        <v>74045.492724682481</v>
      </c>
    </row>
    <row r="74" spans="2:7" x14ac:dyDescent="0.3">
      <c r="B74" s="1">
        <f t="shared" si="5"/>
        <v>70</v>
      </c>
      <c r="C74" s="31">
        <f t="shared" si="6"/>
        <v>74045.492724682481</v>
      </c>
      <c r="D74" s="31">
        <f>-'Ejercicio 11'!$D$40</f>
        <v>927.01236000273809</v>
      </c>
      <c r="E74" s="31">
        <f t="shared" si="7"/>
        <v>462.78432952926545</v>
      </c>
      <c r="F74" s="31">
        <f t="shared" si="8"/>
        <v>464.22803047347264</v>
      </c>
      <c r="G74" s="31">
        <f t="shared" si="9"/>
        <v>73581.264694209007</v>
      </c>
    </row>
    <row r="75" spans="2:7" x14ac:dyDescent="0.3">
      <c r="B75" s="1">
        <f t="shared" si="5"/>
        <v>71</v>
      </c>
      <c r="C75" s="31">
        <f t="shared" si="6"/>
        <v>73581.264694209007</v>
      </c>
      <c r="D75" s="31">
        <f>-'Ejercicio 11'!$D$40</f>
        <v>927.01236000273809</v>
      </c>
      <c r="E75" s="31">
        <f t="shared" si="7"/>
        <v>459.88290433880627</v>
      </c>
      <c r="F75" s="31">
        <f t="shared" si="8"/>
        <v>467.12945566393182</v>
      </c>
      <c r="G75" s="31">
        <f t="shared" si="9"/>
        <v>73114.135238545074</v>
      </c>
    </row>
    <row r="76" spans="2:7" x14ac:dyDescent="0.3">
      <c r="B76" s="1">
        <f t="shared" si="5"/>
        <v>72</v>
      </c>
      <c r="C76" s="31">
        <f t="shared" si="6"/>
        <v>73114.135238545074</v>
      </c>
      <c r="D76" s="31">
        <f>-'Ejercicio 11'!$D$40</f>
        <v>927.01236000273809</v>
      </c>
      <c r="E76" s="31">
        <f t="shared" si="7"/>
        <v>456.96334524090668</v>
      </c>
      <c r="F76" s="31">
        <f t="shared" si="8"/>
        <v>470.04901476183142</v>
      </c>
      <c r="G76" s="31">
        <f t="shared" si="9"/>
        <v>72644.086223783248</v>
      </c>
    </row>
    <row r="77" spans="2:7" x14ac:dyDescent="0.3">
      <c r="B77" s="1">
        <f t="shared" si="5"/>
        <v>73</v>
      </c>
      <c r="C77" s="31">
        <f t="shared" si="6"/>
        <v>72644.086223783248</v>
      </c>
      <c r="D77" s="31">
        <f>-'Ejercicio 11'!$D$40</f>
        <v>927.01236000273809</v>
      </c>
      <c r="E77" s="31">
        <f t="shared" si="7"/>
        <v>454.02553889864527</v>
      </c>
      <c r="F77" s="31">
        <f t="shared" si="8"/>
        <v>472.98682110409283</v>
      </c>
      <c r="G77" s="31">
        <f t="shared" si="9"/>
        <v>72171.09940267916</v>
      </c>
    </row>
    <row r="78" spans="2:7" x14ac:dyDescent="0.3">
      <c r="B78" s="1">
        <f t="shared" si="5"/>
        <v>74</v>
      </c>
      <c r="C78" s="31">
        <f t="shared" si="6"/>
        <v>72171.09940267916</v>
      </c>
      <c r="D78" s="31">
        <f>-'Ejercicio 11'!$D$40</f>
        <v>927.01236000273809</v>
      </c>
      <c r="E78" s="31">
        <f t="shared" si="7"/>
        <v>451.06937126674472</v>
      </c>
      <c r="F78" s="31">
        <f t="shared" si="8"/>
        <v>475.94298873599337</v>
      </c>
      <c r="G78" s="31">
        <f t="shared" si="9"/>
        <v>71695.156413943172</v>
      </c>
    </row>
    <row r="79" spans="2:7" x14ac:dyDescent="0.3">
      <c r="B79" s="1">
        <f t="shared" si="5"/>
        <v>75</v>
      </c>
      <c r="C79" s="31">
        <f t="shared" si="6"/>
        <v>71695.156413943172</v>
      </c>
      <c r="D79" s="31">
        <f>-'Ejercicio 11'!$D$40</f>
        <v>927.01236000273809</v>
      </c>
      <c r="E79" s="31">
        <f t="shared" si="7"/>
        <v>448.0947275871448</v>
      </c>
      <c r="F79" s="31">
        <f t="shared" si="8"/>
        <v>478.91763241559329</v>
      </c>
      <c r="G79" s="31">
        <f t="shared" si="9"/>
        <v>71216.238781527572</v>
      </c>
    </row>
    <row r="80" spans="2:7" x14ac:dyDescent="0.3">
      <c r="B80" s="1">
        <f t="shared" si="5"/>
        <v>76</v>
      </c>
      <c r="C80" s="31">
        <f t="shared" si="6"/>
        <v>71216.238781527572</v>
      </c>
      <c r="D80" s="31">
        <f>-'Ejercicio 11'!$D$40</f>
        <v>927.01236000273809</v>
      </c>
      <c r="E80" s="31">
        <f t="shared" si="7"/>
        <v>445.10149238454727</v>
      </c>
      <c r="F80" s="31">
        <f t="shared" si="8"/>
        <v>481.91086761819082</v>
      </c>
      <c r="G80" s="31">
        <f t="shared" si="9"/>
        <v>70734.327913909379</v>
      </c>
    </row>
    <row r="81" spans="2:7" x14ac:dyDescent="0.3">
      <c r="B81" s="1">
        <f t="shared" si="5"/>
        <v>77</v>
      </c>
      <c r="C81" s="31">
        <f t="shared" si="6"/>
        <v>70734.327913909379</v>
      </c>
      <c r="D81" s="31">
        <f>-'Ejercicio 11'!$D$40</f>
        <v>927.01236000273809</v>
      </c>
      <c r="E81" s="31">
        <f t="shared" si="7"/>
        <v>442.08954946193359</v>
      </c>
      <c r="F81" s="31">
        <f t="shared" si="8"/>
        <v>484.92281054080451</v>
      </c>
      <c r="G81" s="31">
        <f t="shared" si="9"/>
        <v>70249.405103368568</v>
      </c>
    </row>
    <row r="82" spans="2:7" x14ac:dyDescent="0.3">
      <c r="B82" s="1">
        <f t="shared" si="5"/>
        <v>78</v>
      </c>
      <c r="C82" s="31">
        <f t="shared" si="6"/>
        <v>70249.405103368568</v>
      </c>
      <c r="D82" s="31">
        <f>-'Ejercicio 11'!$D$40</f>
        <v>927.01236000273809</v>
      </c>
      <c r="E82" s="31">
        <f t="shared" si="7"/>
        <v>439.05878189605352</v>
      </c>
      <c r="F82" s="31">
        <f t="shared" si="8"/>
        <v>487.95357810668457</v>
      </c>
      <c r="G82" s="31">
        <f t="shared" si="9"/>
        <v>69761.451525261888</v>
      </c>
    </row>
    <row r="83" spans="2:7" x14ac:dyDescent="0.3">
      <c r="B83" s="1">
        <f t="shared" si="5"/>
        <v>79</v>
      </c>
      <c r="C83" s="31">
        <f t="shared" si="6"/>
        <v>69761.451525261888</v>
      </c>
      <c r="D83" s="31">
        <f>-'Ejercicio 11'!$D$40</f>
        <v>927.01236000273809</v>
      </c>
      <c r="E83" s="31">
        <f t="shared" si="7"/>
        <v>436.00907203288676</v>
      </c>
      <c r="F83" s="31">
        <f t="shared" si="8"/>
        <v>491.00328796985133</v>
      </c>
      <c r="G83" s="31">
        <f t="shared" si="9"/>
        <v>69270.448237292032</v>
      </c>
    </row>
    <row r="84" spans="2:7" x14ac:dyDescent="0.3">
      <c r="B84" s="1">
        <f t="shared" si="5"/>
        <v>80</v>
      </c>
      <c r="C84" s="31">
        <f t="shared" si="6"/>
        <v>69270.448237292032</v>
      </c>
      <c r="D84" s="31">
        <f>-'Ejercicio 11'!$D$40</f>
        <v>927.01236000273809</v>
      </c>
      <c r="E84" s="31">
        <f t="shared" si="7"/>
        <v>432.94030148307519</v>
      </c>
      <c r="F84" s="31">
        <f t="shared" si="8"/>
        <v>494.0720585196629</v>
      </c>
      <c r="G84" s="31">
        <f t="shared" si="9"/>
        <v>68776.376178772363</v>
      </c>
    </row>
    <row r="85" spans="2:7" x14ac:dyDescent="0.3">
      <c r="B85" s="1">
        <f t="shared" si="5"/>
        <v>81</v>
      </c>
      <c r="C85" s="31">
        <f t="shared" si="6"/>
        <v>68776.376178772363</v>
      </c>
      <c r="D85" s="31">
        <f>-'Ejercicio 11'!$D$40</f>
        <v>927.01236000273809</v>
      </c>
      <c r="E85" s="31">
        <f t="shared" si="7"/>
        <v>429.85235111732726</v>
      </c>
      <c r="F85" s="31">
        <f t="shared" si="8"/>
        <v>497.16000888541083</v>
      </c>
      <c r="G85" s="31">
        <f t="shared" si="9"/>
        <v>68279.216169886946</v>
      </c>
    </row>
    <row r="86" spans="2:7" x14ac:dyDescent="0.3">
      <c r="B86" s="1">
        <f t="shared" si="5"/>
        <v>82</v>
      </c>
      <c r="C86" s="31">
        <f t="shared" si="6"/>
        <v>68279.216169886946</v>
      </c>
      <c r="D86" s="31">
        <f>-'Ejercicio 11'!$D$40</f>
        <v>927.01236000273809</v>
      </c>
      <c r="E86" s="31">
        <f t="shared" si="7"/>
        <v>426.74510106179338</v>
      </c>
      <c r="F86" s="31">
        <f t="shared" si="8"/>
        <v>500.26725894094471</v>
      </c>
      <c r="G86" s="31">
        <f t="shared" si="9"/>
        <v>67778.948910945997</v>
      </c>
    </row>
    <row r="87" spans="2:7" x14ac:dyDescent="0.3">
      <c r="B87" s="1">
        <f t="shared" si="5"/>
        <v>83</v>
      </c>
      <c r="C87" s="31">
        <f t="shared" si="6"/>
        <v>67778.948910945997</v>
      </c>
      <c r="D87" s="31">
        <f>-'Ejercicio 11'!$D$40</f>
        <v>927.01236000273809</v>
      </c>
      <c r="E87" s="31">
        <f t="shared" si="7"/>
        <v>423.61843069341245</v>
      </c>
      <c r="F87" s="31">
        <f t="shared" si="8"/>
        <v>503.39392930932564</v>
      </c>
      <c r="G87" s="31">
        <f t="shared" si="9"/>
        <v>67275.554981636669</v>
      </c>
    </row>
    <row r="88" spans="2:7" x14ac:dyDescent="0.3">
      <c r="B88" s="1">
        <f t="shared" si="5"/>
        <v>84</v>
      </c>
      <c r="C88" s="31">
        <f t="shared" si="6"/>
        <v>67275.554981636669</v>
      </c>
      <c r="D88" s="31">
        <f>-'Ejercicio 11'!$D$40</f>
        <v>927.01236000273809</v>
      </c>
      <c r="E88" s="31">
        <f t="shared" si="7"/>
        <v>420.47221863522913</v>
      </c>
      <c r="F88" s="31">
        <f t="shared" si="8"/>
        <v>506.54014136750897</v>
      </c>
      <c r="G88" s="31">
        <f t="shared" si="9"/>
        <v>66769.014840269156</v>
      </c>
    </row>
    <row r="89" spans="2:7" x14ac:dyDescent="0.3">
      <c r="B89" s="1">
        <f t="shared" si="5"/>
        <v>85</v>
      </c>
      <c r="C89" s="31">
        <f t="shared" si="6"/>
        <v>66769.014840269156</v>
      </c>
      <c r="D89" s="31">
        <f>-'Ejercicio 11'!$D$40</f>
        <v>927.01236000273809</v>
      </c>
      <c r="E89" s="31">
        <f t="shared" si="7"/>
        <v>417.30634275168217</v>
      </c>
      <c r="F89" s="31">
        <f t="shared" si="8"/>
        <v>509.70601725105593</v>
      </c>
      <c r="G89" s="31">
        <f t="shared" si="9"/>
        <v>66259.308823018102</v>
      </c>
    </row>
    <row r="90" spans="2:7" x14ac:dyDescent="0.3">
      <c r="B90" s="1">
        <f t="shared" si="5"/>
        <v>86</v>
      </c>
      <c r="C90" s="31">
        <f t="shared" si="6"/>
        <v>66259.308823018102</v>
      </c>
      <c r="D90" s="31">
        <f>-'Ejercicio 11'!$D$40</f>
        <v>927.01236000273809</v>
      </c>
      <c r="E90" s="31">
        <f t="shared" si="7"/>
        <v>414.12068014386313</v>
      </c>
      <c r="F90" s="31">
        <f t="shared" si="8"/>
        <v>512.89167985887502</v>
      </c>
      <c r="G90" s="31">
        <f t="shared" si="9"/>
        <v>65746.417143159226</v>
      </c>
    </row>
    <row r="91" spans="2:7" x14ac:dyDescent="0.3">
      <c r="B91" s="1">
        <f t="shared" si="5"/>
        <v>87</v>
      </c>
      <c r="C91" s="31">
        <f t="shared" si="6"/>
        <v>65746.417143159226</v>
      </c>
      <c r="D91" s="31">
        <f>-'Ejercicio 11'!$D$40</f>
        <v>927.01236000273809</v>
      </c>
      <c r="E91" s="31">
        <f t="shared" si="7"/>
        <v>410.91510714474515</v>
      </c>
      <c r="F91" s="31">
        <f t="shared" si="8"/>
        <v>516.097252857993</v>
      </c>
      <c r="G91" s="31">
        <f t="shared" si="9"/>
        <v>65230.319890301231</v>
      </c>
    </row>
    <row r="92" spans="2:7" x14ac:dyDescent="0.3">
      <c r="B92" s="1">
        <f t="shared" si="5"/>
        <v>88</v>
      </c>
      <c r="C92" s="31">
        <f t="shared" si="6"/>
        <v>65230.319890301231</v>
      </c>
      <c r="D92" s="31">
        <f>-'Ejercicio 11'!$D$40</f>
        <v>927.01236000273809</v>
      </c>
      <c r="E92" s="31">
        <f t="shared" si="7"/>
        <v>407.68949931438266</v>
      </c>
      <c r="F92" s="31">
        <f t="shared" si="8"/>
        <v>519.32286068835538</v>
      </c>
      <c r="G92" s="31">
        <f t="shared" si="9"/>
        <v>64710.997029612874</v>
      </c>
    </row>
    <row r="93" spans="2:7" x14ac:dyDescent="0.3">
      <c r="B93" s="1">
        <f t="shared" si="5"/>
        <v>89</v>
      </c>
      <c r="C93" s="31">
        <f t="shared" si="6"/>
        <v>64710.997029612874</v>
      </c>
      <c r="D93" s="31">
        <f>-'Ejercicio 11'!$D$40</f>
        <v>927.01236000273809</v>
      </c>
      <c r="E93" s="31">
        <f t="shared" si="7"/>
        <v>404.44373143508045</v>
      </c>
      <c r="F93" s="31">
        <f t="shared" si="8"/>
        <v>522.5686285676577</v>
      </c>
      <c r="G93" s="31">
        <f t="shared" si="9"/>
        <v>64188.428401045217</v>
      </c>
    </row>
    <row r="94" spans="2:7" x14ac:dyDescent="0.3">
      <c r="B94" s="1">
        <f t="shared" si="5"/>
        <v>90</v>
      </c>
      <c r="C94" s="31">
        <f t="shared" si="6"/>
        <v>64188.428401045217</v>
      </c>
      <c r="D94" s="31">
        <f>-'Ejercicio 11'!$D$40</f>
        <v>927.01236000273809</v>
      </c>
      <c r="E94" s="31">
        <f t="shared" si="7"/>
        <v>401.17767750653258</v>
      </c>
      <c r="F94" s="31">
        <f t="shared" si="8"/>
        <v>525.83468249620546</v>
      </c>
      <c r="G94" s="31">
        <f t="shared" si="9"/>
        <v>63662.593718549011</v>
      </c>
    </row>
    <row r="95" spans="2:7" x14ac:dyDescent="0.3">
      <c r="B95" s="1">
        <f t="shared" si="5"/>
        <v>91</v>
      </c>
      <c r="C95" s="31">
        <f t="shared" si="6"/>
        <v>63662.593718549011</v>
      </c>
      <c r="D95" s="31">
        <f>-'Ejercicio 11'!$D$40</f>
        <v>927.01236000273809</v>
      </c>
      <c r="E95" s="31">
        <f t="shared" si="7"/>
        <v>397.89121074093129</v>
      </c>
      <c r="F95" s="31">
        <f t="shared" si="8"/>
        <v>529.12114926180675</v>
      </c>
      <c r="G95" s="31">
        <f t="shared" si="9"/>
        <v>63133.472569287202</v>
      </c>
    </row>
    <row r="96" spans="2:7" x14ac:dyDescent="0.3">
      <c r="B96" s="1">
        <f t="shared" si="5"/>
        <v>92</v>
      </c>
      <c r="C96" s="31">
        <f t="shared" si="6"/>
        <v>63133.472569287202</v>
      </c>
      <c r="D96" s="31">
        <f>-'Ejercicio 11'!$D$40</f>
        <v>927.01236000273809</v>
      </c>
      <c r="E96" s="31">
        <f t="shared" si="7"/>
        <v>394.58420355804498</v>
      </c>
      <c r="F96" s="31">
        <f t="shared" si="8"/>
        <v>532.42815644469306</v>
      </c>
      <c r="G96" s="31">
        <f t="shared" si="9"/>
        <v>62601.044412842508</v>
      </c>
    </row>
    <row r="97" spans="2:7" x14ac:dyDescent="0.3">
      <c r="B97" s="1">
        <f t="shared" si="5"/>
        <v>93</v>
      </c>
      <c r="C97" s="31">
        <f t="shared" si="6"/>
        <v>62601.044412842508</v>
      </c>
      <c r="D97" s="31">
        <f>-'Ejercicio 11'!$D$40</f>
        <v>927.01236000273809</v>
      </c>
      <c r="E97" s="31">
        <f t="shared" si="7"/>
        <v>391.25652758026564</v>
      </c>
      <c r="F97" s="31">
        <f t="shared" si="8"/>
        <v>535.75583242247239</v>
      </c>
      <c r="G97" s="31">
        <f t="shared" si="9"/>
        <v>62065.288580420034</v>
      </c>
    </row>
    <row r="98" spans="2:7" x14ac:dyDescent="0.3">
      <c r="B98" s="1">
        <f t="shared" si="5"/>
        <v>94</v>
      </c>
      <c r="C98" s="31">
        <f t="shared" si="6"/>
        <v>62065.288580420034</v>
      </c>
      <c r="D98" s="31">
        <f>-'Ejercicio 11'!$D$40</f>
        <v>927.01236000273809</v>
      </c>
      <c r="E98" s="31">
        <f t="shared" si="7"/>
        <v>387.90805362762518</v>
      </c>
      <c r="F98" s="31">
        <f t="shared" si="8"/>
        <v>539.10430637511286</v>
      </c>
      <c r="G98" s="31">
        <f t="shared" si="9"/>
        <v>61526.184274044921</v>
      </c>
    </row>
    <row r="99" spans="2:7" x14ac:dyDescent="0.3">
      <c r="B99" s="1">
        <f t="shared" si="5"/>
        <v>95</v>
      </c>
      <c r="C99" s="31">
        <f t="shared" si="6"/>
        <v>61526.184274044921</v>
      </c>
      <c r="D99" s="31">
        <f>-'Ejercicio 11'!$D$40</f>
        <v>927.01236000273809</v>
      </c>
      <c r="E99" s="31">
        <f t="shared" si="7"/>
        <v>384.53865171278073</v>
      </c>
      <c r="F99" s="31">
        <f t="shared" si="8"/>
        <v>542.47370828995736</v>
      </c>
      <c r="G99" s="31">
        <f t="shared" si="9"/>
        <v>60983.710565754962</v>
      </c>
    </row>
    <row r="100" spans="2:7" x14ac:dyDescent="0.3">
      <c r="B100" s="1">
        <f t="shared" si="5"/>
        <v>96</v>
      </c>
      <c r="C100" s="31">
        <f t="shared" si="6"/>
        <v>60983.710565754962</v>
      </c>
      <c r="D100" s="31">
        <f>-'Ejercicio 11'!$D$40</f>
        <v>927.01236000273809</v>
      </c>
      <c r="E100" s="31">
        <f t="shared" si="7"/>
        <v>381.14819103596847</v>
      </c>
      <c r="F100" s="31">
        <f t="shared" si="8"/>
        <v>545.86416896676963</v>
      </c>
      <c r="G100" s="31">
        <f t="shared" si="9"/>
        <v>60437.846396788191</v>
      </c>
    </row>
    <row r="101" spans="2:7" x14ac:dyDescent="0.3">
      <c r="B101" s="1">
        <f t="shared" si="5"/>
        <v>97</v>
      </c>
      <c r="C101" s="31">
        <f t="shared" si="6"/>
        <v>60437.846396788191</v>
      </c>
      <c r="D101" s="31">
        <f>-'Ejercicio 11'!$D$40</f>
        <v>927.01236000273809</v>
      </c>
      <c r="E101" s="31">
        <f t="shared" si="7"/>
        <v>377.73653997992614</v>
      </c>
      <c r="F101" s="31">
        <f t="shared" si="8"/>
        <v>549.27582002281201</v>
      </c>
      <c r="G101" s="31">
        <f t="shared" si="9"/>
        <v>59888.570576765378</v>
      </c>
    </row>
    <row r="102" spans="2:7" x14ac:dyDescent="0.3">
      <c r="B102" s="1">
        <f t="shared" si="5"/>
        <v>98</v>
      </c>
      <c r="C102" s="31">
        <f t="shared" si="6"/>
        <v>59888.570576765378</v>
      </c>
      <c r="D102" s="31">
        <f>-'Ejercicio 11'!$D$40</f>
        <v>927.01236000273809</v>
      </c>
      <c r="E102" s="31">
        <f t="shared" si="7"/>
        <v>374.30356610478356</v>
      </c>
      <c r="F102" s="31">
        <f t="shared" si="8"/>
        <v>552.70879389795459</v>
      </c>
      <c r="G102" s="31">
        <f t="shared" si="9"/>
        <v>59335.861782867425</v>
      </c>
    </row>
    <row r="103" spans="2:7" x14ac:dyDescent="0.3">
      <c r="B103" s="1">
        <f t="shared" si="5"/>
        <v>99</v>
      </c>
      <c r="C103" s="31">
        <f t="shared" si="6"/>
        <v>59335.861782867425</v>
      </c>
      <c r="D103" s="31">
        <f>-'Ejercicio 11'!$D$40</f>
        <v>927.01236000273809</v>
      </c>
      <c r="E103" s="31">
        <f t="shared" si="7"/>
        <v>370.8491361429214</v>
      </c>
      <c r="F103" s="31">
        <f t="shared" si="8"/>
        <v>556.16322385981675</v>
      </c>
      <c r="G103" s="31">
        <f t="shared" si="9"/>
        <v>58779.698559007607</v>
      </c>
    </row>
    <row r="104" spans="2:7" x14ac:dyDescent="0.3">
      <c r="B104" s="1">
        <f t="shared" si="5"/>
        <v>100</v>
      </c>
      <c r="C104" s="31">
        <f t="shared" si="6"/>
        <v>58779.698559007607</v>
      </c>
      <c r="D104" s="31">
        <f>-'Ejercicio 11'!$D$40</f>
        <v>927.01236000273809</v>
      </c>
      <c r="E104" s="31">
        <f t="shared" si="7"/>
        <v>367.37311599379751</v>
      </c>
      <c r="F104" s="31">
        <f t="shared" si="8"/>
        <v>559.63924400894052</v>
      </c>
      <c r="G104" s="31">
        <f t="shared" si="9"/>
        <v>58220.059314998667</v>
      </c>
    </row>
    <row r="105" spans="2:7" x14ac:dyDescent="0.3">
      <c r="B105" s="1">
        <f t="shared" si="5"/>
        <v>101</v>
      </c>
      <c r="C105" s="31">
        <f t="shared" si="6"/>
        <v>58220.059314998667</v>
      </c>
      <c r="D105" s="31">
        <f>-'Ejercicio 11'!$D$40</f>
        <v>927.01236000273809</v>
      </c>
      <c r="E105" s="31">
        <f t="shared" si="7"/>
        <v>363.87537071874164</v>
      </c>
      <c r="F105" s="31">
        <f t="shared" si="8"/>
        <v>563.1369892839964</v>
      </c>
      <c r="G105" s="31">
        <f t="shared" si="9"/>
        <v>57656.922325714673</v>
      </c>
    </row>
    <row r="106" spans="2:7" x14ac:dyDescent="0.3">
      <c r="B106" s="1">
        <f t="shared" si="5"/>
        <v>102</v>
      </c>
      <c r="C106" s="31">
        <f t="shared" si="6"/>
        <v>57656.922325714673</v>
      </c>
      <c r="D106" s="31">
        <f>-'Ejercicio 11'!$D$40</f>
        <v>927.01236000273809</v>
      </c>
      <c r="E106" s="31">
        <f t="shared" si="7"/>
        <v>360.35576453571667</v>
      </c>
      <c r="F106" s="31">
        <f t="shared" si="8"/>
        <v>566.65659546702136</v>
      </c>
      <c r="G106" s="31">
        <f t="shared" si="9"/>
        <v>57090.265730247651</v>
      </c>
    </row>
    <row r="107" spans="2:7" x14ac:dyDescent="0.3">
      <c r="B107" s="1">
        <f t="shared" si="5"/>
        <v>103</v>
      </c>
      <c r="C107" s="31">
        <f t="shared" si="6"/>
        <v>57090.265730247651</v>
      </c>
      <c r="D107" s="31">
        <f>-'Ejercicio 11'!$D$40</f>
        <v>927.01236000273809</v>
      </c>
      <c r="E107" s="31">
        <f t="shared" si="7"/>
        <v>356.8141608140478</v>
      </c>
      <c r="F107" s="31">
        <f t="shared" si="8"/>
        <v>570.1981991886903</v>
      </c>
      <c r="G107" s="31">
        <f t="shared" si="9"/>
        <v>56520.067531058958</v>
      </c>
    </row>
    <row r="108" spans="2:7" x14ac:dyDescent="0.3">
      <c r="B108" s="1">
        <f t="shared" si="5"/>
        <v>104</v>
      </c>
      <c r="C108" s="31">
        <f t="shared" si="6"/>
        <v>56520.067531058958</v>
      </c>
      <c r="D108" s="31">
        <f>-'Ejercicio 11'!$D$40</f>
        <v>927.01236000273809</v>
      </c>
      <c r="E108" s="31">
        <f t="shared" si="7"/>
        <v>353.25042206911843</v>
      </c>
      <c r="F108" s="31">
        <f t="shared" si="8"/>
        <v>573.76193793361972</v>
      </c>
      <c r="G108" s="31">
        <f t="shared" si="9"/>
        <v>55946.30559312534</v>
      </c>
    </row>
    <row r="109" spans="2:7" x14ac:dyDescent="0.3">
      <c r="B109" s="1">
        <f t="shared" si="5"/>
        <v>105</v>
      </c>
      <c r="C109" s="31">
        <f t="shared" si="6"/>
        <v>55946.30559312534</v>
      </c>
      <c r="D109" s="31">
        <f>-'Ejercicio 11'!$D$40</f>
        <v>927.01236000273809</v>
      </c>
      <c r="E109" s="31">
        <f t="shared" si="7"/>
        <v>349.66440995703334</v>
      </c>
      <c r="F109" s="31">
        <f t="shared" si="8"/>
        <v>577.34795004570469</v>
      </c>
      <c r="G109" s="31">
        <f t="shared" si="9"/>
        <v>55368.957643079637</v>
      </c>
    </row>
    <row r="110" spans="2:7" x14ac:dyDescent="0.3">
      <c r="B110" s="1">
        <f t="shared" si="5"/>
        <v>106</v>
      </c>
      <c r="C110" s="31">
        <f t="shared" si="6"/>
        <v>55368.957643079637</v>
      </c>
      <c r="D110" s="31">
        <f>-'Ejercicio 11'!$D$40</f>
        <v>927.01236000273809</v>
      </c>
      <c r="E110" s="31">
        <f t="shared" si="7"/>
        <v>346.05598526924769</v>
      </c>
      <c r="F110" s="31">
        <f t="shared" si="8"/>
        <v>580.95637473349041</v>
      </c>
      <c r="G110" s="31">
        <f t="shared" si="9"/>
        <v>54788.001268346146</v>
      </c>
    </row>
    <row r="111" spans="2:7" x14ac:dyDescent="0.3">
      <c r="B111" s="1">
        <f t="shared" si="5"/>
        <v>107</v>
      </c>
      <c r="C111" s="31">
        <f t="shared" si="6"/>
        <v>54788.001268346146</v>
      </c>
      <c r="D111" s="31">
        <f>-'Ejercicio 11'!$D$40</f>
        <v>927.01236000273809</v>
      </c>
      <c r="E111" s="31">
        <f t="shared" si="7"/>
        <v>342.42500792716339</v>
      </c>
      <c r="F111" s="31">
        <f t="shared" si="8"/>
        <v>584.5873520755747</v>
      </c>
      <c r="G111" s="31">
        <f t="shared" si="9"/>
        <v>54203.413916270569</v>
      </c>
    </row>
    <row r="112" spans="2:7" x14ac:dyDescent="0.3">
      <c r="B112" s="1">
        <f t="shared" si="5"/>
        <v>108</v>
      </c>
      <c r="C112" s="31">
        <f t="shared" si="6"/>
        <v>54203.413916270569</v>
      </c>
      <c r="D112" s="31">
        <f>-'Ejercicio 11'!$D$40</f>
        <v>927.01236000273809</v>
      </c>
      <c r="E112" s="31">
        <f t="shared" si="7"/>
        <v>338.77133697669103</v>
      </c>
      <c r="F112" s="31">
        <f t="shared" si="8"/>
        <v>588.24102302604706</v>
      </c>
      <c r="G112" s="31">
        <f t="shared" si="9"/>
        <v>53615.172893244518</v>
      </c>
    </row>
    <row r="113" spans="2:7" x14ac:dyDescent="0.3">
      <c r="B113" s="1">
        <f t="shared" si="5"/>
        <v>109</v>
      </c>
      <c r="C113" s="31">
        <f t="shared" si="6"/>
        <v>53615.172893244518</v>
      </c>
      <c r="D113" s="31">
        <f>-'Ejercicio 11'!$D$40</f>
        <v>927.01236000273809</v>
      </c>
      <c r="E113" s="31">
        <f t="shared" si="7"/>
        <v>335.09483058277823</v>
      </c>
      <c r="F113" s="31">
        <f t="shared" si="8"/>
        <v>591.91752941995992</v>
      </c>
      <c r="G113" s="31">
        <f t="shared" si="9"/>
        <v>53023.255363824559</v>
      </c>
    </row>
    <row r="114" spans="2:7" x14ac:dyDescent="0.3">
      <c r="B114" s="1">
        <f t="shared" si="5"/>
        <v>110</v>
      </c>
      <c r="C114" s="31">
        <f t="shared" si="6"/>
        <v>53023.255363824559</v>
      </c>
      <c r="D114" s="31">
        <f>-'Ejercicio 11'!$D$40</f>
        <v>927.01236000273809</v>
      </c>
      <c r="E114" s="31">
        <f t="shared" si="7"/>
        <v>331.39534602390347</v>
      </c>
      <c r="F114" s="31">
        <f t="shared" si="8"/>
        <v>595.61701397883462</v>
      </c>
      <c r="G114" s="31">
        <f t="shared" si="9"/>
        <v>52427.638349845722</v>
      </c>
    </row>
    <row r="115" spans="2:7" x14ac:dyDescent="0.3">
      <c r="B115" s="1">
        <f t="shared" si="5"/>
        <v>111</v>
      </c>
      <c r="C115" s="31">
        <f t="shared" si="6"/>
        <v>52427.638349845722</v>
      </c>
      <c r="D115" s="31">
        <f>-'Ejercicio 11'!$D$40</f>
        <v>927.01236000273809</v>
      </c>
      <c r="E115" s="31">
        <f t="shared" si="7"/>
        <v>327.67273968653575</v>
      </c>
      <c r="F115" s="31">
        <f t="shared" si="8"/>
        <v>599.3396203162024</v>
      </c>
      <c r="G115" s="31">
        <f t="shared" si="9"/>
        <v>51828.298729529517</v>
      </c>
    </row>
    <row r="116" spans="2:7" x14ac:dyDescent="0.3">
      <c r="B116" s="1">
        <f t="shared" si="5"/>
        <v>112</v>
      </c>
      <c r="C116" s="31">
        <f t="shared" si="6"/>
        <v>51828.298729529517</v>
      </c>
      <c r="D116" s="31">
        <f>-'Ejercicio 11'!$D$40</f>
        <v>927.01236000273809</v>
      </c>
      <c r="E116" s="31">
        <f t="shared" si="7"/>
        <v>323.92686705955947</v>
      </c>
      <c r="F116" s="31">
        <f t="shared" si="8"/>
        <v>603.08549294317868</v>
      </c>
      <c r="G116" s="31">
        <f t="shared" si="9"/>
        <v>51225.213236586336</v>
      </c>
    </row>
    <row r="117" spans="2:7" x14ac:dyDescent="0.3">
      <c r="B117" s="1">
        <f t="shared" si="5"/>
        <v>113</v>
      </c>
      <c r="C117" s="31">
        <f t="shared" si="6"/>
        <v>51225.213236586336</v>
      </c>
      <c r="D117" s="31">
        <f>-'Ejercicio 11'!$D$40</f>
        <v>927.01236000273809</v>
      </c>
      <c r="E117" s="31">
        <f t="shared" si="7"/>
        <v>320.15758272866458</v>
      </c>
      <c r="F117" s="31">
        <f t="shared" si="8"/>
        <v>606.85477727407351</v>
      </c>
      <c r="G117" s="31">
        <f t="shared" si="9"/>
        <v>50618.358459312265</v>
      </c>
    </row>
    <row r="118" spans="2:7" x14ac:dyDescent="0.3">
      <c r="B118" s="1">
        <f t="shared" si="5"/>
        <v>114</v>
      </c>
      <c r="C118" s="31">
        <f t="shared" si="6"/>
        <v>50618.358459312265</v>
      </c>
      <c r="D118" s="31">
        <f>-'Ejercicio 11'!$D$40</f>
        <v>927.01236000273809</v>
      </c>
      <c r="E118" s="31">
        <f t="shared" si="7"/>
        <v>316.36474037070161</v>
      </c>
      <c r="F118" s="31">
        <f t="shared" si="8"/>
        <v>610.64761963203648</v>
      </c>
      <c r="G118" s="31">
        <f t="shared" si="9"/>
        <v>50007.710839680229</v>
      </c>
    </row>
    <row r="119" spans="2:7" x14ac:dyDescent="0.3">
      <c r="B119" s="1">
        <f t="shared" si="5"/>
        <v>115</v>
      </c>
      <c r="C119" s="31">
        <f t="shared" si="6"/>
        <v>50007.710839680229</v>
      </c>
      <c r="D119" s="31">
        <f>-'Ejercicio 11'!$D$40</f>
        <v>927.01236000273809</v>
      </c>
      <c r="E119" s="31">
        <f t="shared" si="7"/>
        <v>312.54819274800138</v>
      </c>
      <c r="F119" s="31">
        <f t="shared" si="8"/>
        <v>614.46416725473671</v>
      </c>
      <c r="G119" s="31">
        <f t="shared" si="9"/>
        <v>49393.246672425492</v>
      </c>
    </row>
    <row r="120" spans="2:7" x14ac:dyDescent="0.3">
      <c r="B120" s="1">
        <f t="shared" si="5"/>
        <v>116</v>
      </c>
      <c r="C120" s="31">
        <f t="shared" si="6"/>
        <v>49393.246672425492</v>
      </c>
      <c r="D120" s="31">
        <f>-'Ejercicio 11'!$D$40</f>
        <v>927.01236000273809</v>
      </c>
      <c r="E120" s="31">
        <f t="shared" si="7"/>
        <v>308.70779170265928</v>
      </c>
      <c r="F120" s="31">
        <f t="shared" si="8"/>
        <v>618.30456830007881</v>
      </c>
      <c r="G120" s="31">
        <f t="shared" si="9"/>
        <v>48774.94210412541</v>
      </c>
    </row>
    <row r="121" spans="2:7" x14ac:dyDescent="0.3">
      <c r="B121" s="1">
        <f t="shared" si="5"/>
        <v>117</v>
      </c>
      <c r="C121" s="31">
        <f t="shared" si="6"/>
        <v>48774.94210412541</v>
      </c>
      <c r="D121" s="31">
        <f>-'Ejercicio 11'!$D$40</f>
        <v>927.01236000273809</v>
      </c>
      <c r="E121" s="31">
        <f t="shared" si="7"/>
        <v>304.84338815078377</v>
      </c>
      <c r="F121" s="31">
        <f t="shared" si="8"/>
        <v>622.16897185195432</v>
      </c>
      <c r="G121" s="31">
        <f t="shared" si="9"/>
        <v>48152.773132273454</v>
      </c>
    </row>
    <row r="122" spans="2:7" x14ac:dyDescent="0.3">
      <c r="B122" s="1">
        <f t="shared" si="5"/>
        <v>118</v>
      </c>
      <c r="C122" s="31">
        <f t="shared" si="6"/>
        <v>48152.773132273454</v>
      </c>
      <c r="D122" s="31">
        <f>-'Ejercicio 11'!$D$40</f>
        <v>927.01236000273809</v>
      </c>
      <c r="E122" s="31">
        <f t="shared" si="7"/>
        <v>300.95483207670907</v>
      </c>
      <c r="F122" s="31">
        <f t="shared" si="8"/>
        <v>626.05752792602902</v>
      </c>
      <c r="G122" s="31">
        <f t="shared" si="9"/>
        <v>47526.715604347424</v>
      </c>
    </row>
    <row r="123" spans="2:7" x14ac:dyDescent="0.3">
      <c r="B123" s="1">
        <f t="shared" si="5"/>
        <v>119</v>
      </c>
      <c r="C123" s="31">
        <f t="shared" si="6"/>
        <v>47526.715604347424</v>
      </c>
      <c r="D123" s="31">
        <f>-'Ejercicio 11'!$D$40</f>
        <v>927.01236000273809</v>
      </c>
      <c r="E123" s="31">
        <f t="shared" si="7"/>
        <v>297.04197252717137</v>
      </c>
      <c r="F123" s="31">
        <f t="shared" si="8"/>
        <v>629.97038747556667</v>
      </c>
      <c r="G123" s="31">
        <f t="shared" si="9"/>
        <v>46896.745216871859</v>
      </c>
    </row>
    <row r="124" spans="2:7" x14ac:dyDescent="0.3">
      <c r="B124" s="1">
        <f t="shared" si="5"/>
        <v>120</v>
      </c>
      <c r="C124" s="31">
        <f t="shared" si="6"/>
        <v>46896.745216871859</v>
      </c>
      <c r="D124" s="31">
        <f>-'Ejercicio 11'!$D$40</f>
        <v>927.01236000273809</v>
      </c>
      <c r="E124" s="31">
        <f t="shared" si="7"/>
        <v>293.10465760544912</v>
      </c>
      <c r="F124" s="31">
        <f t="shared" si="8"/>
        <v>633.90770239728897</v>
      </c>
      <c r="G124" s="31">
        <f t="shared" si="9"/>
        <v>46262.837514474573</v>
      </c>
    </row>
    <row r="125" spans="2:7" x14ac:dyDescent="0.3">
      <c r="B125" s="1">
        <f t="shared" si="5"/>
        <v>121</v>
      </c>
      <c r="C125" s="31">
        <f t="shared" si="6"/>
        <v>46262.837514474573</v>
      </c>
      <c r="D125" s="31">
        <f>-'Ejercicio 11'!$D$40</f>
        <v>927.01236000273809</v>
      </c>
      <c r="E125" s="31">
        <f t="shared" si="7"/>
        <v>289.14273446546605</v>
      </c>
      <c r="F125" s="31">
        <f t="shared" si="8"/>
        <v>637.86962553727199</v>
      </c>
      <c r="G125" s="31">
        <f t="shared" si="9"/>
        <v>45624.967888937303</v>
      </c>
    </row>
    <row r="126" spans="2:7" x14ac:dyDescent="0.3">
      <c r="B126" s="1">
        <f t="shared" si="5"/>
        <v>122</v>
      </c>
      <c r="C126" s="31">
        <f t="shared" si="6"/>
        <v>45624.967888937303</v>
      </c>
      <c r="D126" s="31">
        <f>-'Ejercicio 11'!$D$40</f>
        <v>927.01236000273809</v>
      </c>
      <c r="E126" s="31">
        <f t="shared" si="7"/>
        <v>285.15604930585812</v>
      </c>
      <c r="F126" s="31">
        <f t="shared" si="8"/>
        <v>641.85631069687997</v>
      </c>
      <c r="G126" s="31">
        <f t="shared" si="9"/>
        <v>44983.111578240423</v>
      </c>
    </row>
    <row r="127" spans="2:7" x14ac:dyDescent="0.3">
      <c r="B127" s="1">
        <f t="shared" si="5"/>
        <v>123</v>
      </c>
      <c r="C127" s="31">
        <f t="shared" si="6"/>
        <v>44983.111578240423</v>
      </c>
      <c r="D127" s="31">
        <f>-'Ejercicio 11'!$D$40</f>
        <v>927.01236000273809</v>
      </c>
      <c r="E127" s="31">
        <f t="shared" si="7"/>
        <v>281.14444736400264</v>
      </c>
      <c r="F127" s="31">
        <f t="shared" si="8"/>
        <v>645.86791263873545</v>
      </c>
      <c r="G127" s="31">
        <f t="shared" si="9"/>
        <v>44337.243665601687</v>
      </c>
    </row>
    <row r="128" spans="2:7" x14ac:dyDescent="0.3">
      <c r="B128" s="1">
        <f t="shared" si="5"/>
        <v>124</v>
      </c>
      <c r="C128" s="31">
        <f t="shared" si="6"/>
        <v>44337.243665601687</v>
      </c>
      <c r="D128" s="31">
        <f>-'Ejercicio 11'!$D$40</f>
        <v>927.01236000273809</v>
      </c>
      <c r="E128" s="31">
        <f t="shared" si="7"/>
        <v>277.10777291001051</v>
      </c>
      <c r="F128" s="31">
        <f t="shared" si="8"/>
        <v>649.90458709272752</v>
      </c>
      <c r="G128" s="31">
        <f t="shared" si="9"/>
        <v>43687.339078508958</v>
      </c>
    </row>
    <row r="129" spans="2:7" x14ac:dyDescent="0.3">
      <c r="B129" s="1">
        <f t="shared" si="5"/>
        <v>125</v>
      </c>
      <c r="C129" s="31">
        <f t="shared" si="6"/>
        <v>43687.339078508958</v>
      </c>
      <c r="D129" s="31">
        <f>-'Ejercicio 11'!$D$40</f>
        <v>927.01236000273809</v>
      </c>
      <c r="E129" s="31">
        <f t="shared" si="7"/>
        <v>273.04586924068099</v>
      </c>
      <c r="F129" s="31">
        <f t="shared" si="8"/>
        <v>653.96649076205711</v>
      </c>
      <c r="G129" s="31">
        <f t="shared" si="9"/>
        <v>43033.372587746904</v>
      </c>
    </row>
    <row r="130" spans="2:7" x14ac:dyDescent="0.3">
      <c r="B130" s="1">
        <f t="shared" si="5"/>
        <v>126</v>
      </c>
      <c r="C130" s="31">
        <f t="shared" si="6"/>
        <v>43033.372587746904</v>
      </c>
      <c r="D130" s="31">
        <f>-'Ejercicio 11'!$D$40</f>
        <v>927.01236000273809</v>
      </c>
      <c r="E130" s="31">
        <f t="shared" si="7"/>
        <v>268.95857867341812</v>
      </c>
      <c r="F130" s="31">
        <f t="shared" si="8"/>
        <v>658.05378132931992</v>
      </c>
      <c r="G130" s="31">
        <f t="shared" si="9"/>
        <v>42375.318806417585</v>
      </c>
    </row>
    <row r="131" spans="2:7" x14ac:dyDescent="0.3">
      <c r="B131" s="1">
        <f t="shared" si="5"/>
        <v>127</v>
      </c>
      <c r="C131" s="31">
        <f t="shared" si="6"/>
        <v>42375.318806417585</v>
      </c>
      <c r="D131" s="31">
        <f>-'Ejercicio 11'!$D$40</f>
        <v>927.01236000273809</v>
      </c>
      <c r="E131" s="31">
        <f t="shared" si="7"/>
        <v>264.84574254010988</v>
      </c>
      <c r="F131" s="31">
        <f t="shared" si="8"/>
        <v>662.16661746262821</v>
      </c>
      <c r="G131" s="31">
        <f t="shared" si="9"/>
        <v>41713.152188954955</v>
      </c>
    </row>
    <row r="132" spans="2:7" x14ac:dyDescent="0.3">
      <c r="B132" s="1">
        <f t="shared" si="5"/>
        <v>128</v>
      </c>
      <c r="C132" s="31">
        <f t="shared" si="6"/>
        <v>41713.152188954955</v>
      </c>
      <c r="D132" s="31">
        <f>-'Ejercicio 11'!$D$40</f>
        <v>927.01236000273809</v>
      </c>
      <c r="E132" s="31">
        <f t="shared" si="7"/>
        <v>260.70720118096847</v>
      </c>
      <c r="F132" s="31">
        <f t="shared" si="8"/>
        <v>666.30515882176962</v>
      </c>
      <c r="G132" s="31">
        <f t="shared" si="9"/>
        <v>41046.847030133184</v>
      </c>
    </row>
    <row r="133" spans="2:7" x14ac:dyDescent="0.3">
      <c r="B133" s="1">
        <f t="shared" si="5"/>
        <v>129</v>
      </c>
      <c r="C133" s="31">
        <f t="shared" si="6"/>
        <v>41046.847030133184</v>
      </c>
      <c r="D133" s="31">
        <f>-'Ejercicio 11'!$D$40</f>
        <v>927.01236000273809</v>
      </c>
      <c r="E133" s="31">
        <f t="shared" si="7"/>
        <v>256.54279393833235</v>
      </c>
      <c r="F133" s="31">
        <f t="shared" si="8"/>
        <v>670.46956606440574</v>
      </c>
      <c r="G133" s="31">
        <f t="shared" si="9"/>
        <v>40376.377464068777</v>
      </c>
    </row>
    <row r="134" spans="2:7" x14ac:dyDescent="0.3">
      <c r="B134" s="1">
        <f t="shared" si="5"/>
        <v>130</v>
      </c>
      <c r="C134" s="31">
        <f t="shared" si="6"/>
        <v>40376.377464068777</v>
      </c>
      <c r="D134" s="31">
        <f>-'Ejercicio 11'!$D$40</f>
        <v>927.01236000273809</v>
      </c>
      <c r="E134" s="31">
        <f t="shared" si="7"/>
        <v>252.35235915042983</v>
      </c>
      <c r="F134" s="31">
        <f t="shared" si="8"/>
        <v>674.66000085230826</v>
      </c>
      <c r="G134" s="31">
        <f t="shared" si="9"/>
        <v>39701.717463216468</v>
      </c>
    </row>
    <row r="135" spans="2:7" x14ac:dyDescent="0.3">
      <c r="B135" s="1">
        <f t="shared" ref="B135:B185" si="10">B134+1</f>
        <v>131</v>
      </c>
      <c r="C135" s="31">
        <f t="shared" ref="C135:C184" si="11">G134</f>
        <v>39701.717463216468</v>
      </c>
      <c r="D135" s="31">
        <f>-'Ejercicio 11'!$D$40</f>
        <v>927.01236000273809</v>
      </c>
      <c r="E135" s="31">
        <f t="shared" ref="E135:E184" si="12">C135*$C$1</f>
        <v>248.1357341451029</v>
      </c>
      <c r="F135" s="31">
        <f t="shared" ref="F135:F184" si="13">D135-E135</f>
        <v>678.87662585763519</v>
      </c>
      <c r="G135" s="31">
        <f t="shared" ref="G135:G184" si="14">C135-F135</f>
        <v>39022.840837358832</v>
      </c>
    </row>
    <row r="136" spans="2:7" x14ac:dyDescent="0.3">
      <c r="B136" s="1">
        <f t="shared" si="10"/>
        <v>132</v>
      </c>
      <c r="C136" s="31">
        <f t="shared" si="11"/>
        <v>39022.840837358832</v>
      </c>
      <c r="D136" s="31">
        <f>-'Ejercicio 11'!$D$40</f>
        <v>927.01236000273809</v>
      </c>
      <c r="E136" s="31">
        <f t="shared" si="12"/>
        <v>243.89275523349266</v>
      </c>
      <c r="F136" s="31">
        <f t="shared" si="13"/>
        <v>683.11960476924537</v>
      </c>
      <c r="G136" s="31">
        <f t="shared" si="14"/>
        <v>38339.721232589589</v>
      </c>
    </row>
    <row r="137" spans="2:7" x14ac:dyDescent="0.3">
      <c r="B137" s="1">
        <f t="shared" si="10"/>
        <v>133</v>
      </c>
      <c r="C137" s="31">
        <f t="shared" si="11"/>
        <v>38339.721232589589</v>
      </c>
      <c r="D137" s="31">
        <f>-'Ejercicio 11'!$D$40</f>
        <v>927.01236000273809</v>
      </c>
      <c r="E137" s="31">
        <f t="shared" si="12"/>
        <v>239.62325770368491</v>
      </c>
      <c r="F137" s="31">
        <f t="shared" si="13"/>
        <v>687.38910229905321</v>
      </c>
      <c r="G137" s="31">
        <f t="shared" si="14"/>
        <v>37652.332130290539</v>
      </c>
    </row>
    <row r="138" spans="2:7" x14ac:dyDescent="0.3">
      <c r="B138" s="1">
        <f t="shared" si="10"/>
        <v>134</v>
      </c>
      <c r="C138" s="31">
        <f t="shared" si="11"/>
        <v>37652.332130290539</v>
      </c>
      <c r="D138" s="31">
        <f>-'Ejercicio 11'!$D$40</f>
        <v>927.01236000273809</v>
      </c>
      <c r="E138" s="31">
        <f t="shared" si="12"/>
        <v>235.32707581431586</v>
      </c>
      <c r="F138" s="31">
        <f t="shared" si="13"/>
        <v>691.6852841884222</v>
      </c>
      <c r="G138" s="31">
        <f t="shared" si="14"/>
        <v>36960.646846102114</v>
      </c>
    </row>
    <row r="139" spans="2:7" x14ac:dyDescent="0.3">
      <c r="B139" s="1">
        <f t="shared" si="10"/>
        <v>135</v>
      </c>
      <c r="C139" s="31">
        <f t="shared" si="11"/>
        <v>36960.646846102114</v>
      </c>
      <c r="D139" s="31">
        <f>-'Ejercicio 11'!$D$40</f>
        <v>927.01236000273809</v>
      </c>
      <c r="E139" s="31">
        <f t="shared" si="12"/>
        <v>231.00404278813821</v>
      </c>
      <c r="F139" s="31">
        <f t="shared" si="13"/>
        <v>696.00831721459986</v>
      </c>
      <c r="G139" s="31">
        <f t="shared" si="14"/>
        <v>36264.638528887517</v>
      </c>
    </row>
    <row r="140" spans="2:7" x14ac:dyDescent="0.3">
      <c r="B140" s="1">
        <f t="shared" si="10"/>
        <v>136</v>
      </c>
      <c r="C140" s="31">
        <f t="shared" si="11"/>
        <v>36264.638528887517</v>
      </c>
      <c r="D140" s="31">
        <f>-'Ejercicio 11'!$D$40</f>
        <v>927.01236000273809</v>
      </c>
      <c r="E140" s="31">
        <f t="shared" si="12"/>
        <v>226.65399080554695</v>
      </c>
      <c r="F140" s="31">
        <f t="shared" si="13"/>
        <v>700.35836919719111</v>
      </c>
      <c r="G140" s="31">
        <f t="shared" si="14"/>
        <v>35564.280159690323</v>
      </c>
    </row>
    <row r="141" spans="2:7" x14ac:dyDescent="0.3">
      <c r="B141" s="1">
        <f t="shared" si="10"/>
        <v>137</v>
      </c>
      <c r="C141" s="31">
        <f t="shared" si="11"/>
        <v>35564.280159690323</v>
      </c>
      <c r="D141" s="31">
        <f>-'Ejercicio 11'!$D$40</f>
        <v>927.01236000273809</v>
      </c>
      <c r="E141" s="31">
        <f t="shared" si="12"/>
        <v>222.2767509980645</v>
      </c>
      <c r="F141" s="31">
        <f t="shared" si="13"/>
        <v>704.73560900467362</v>
      </c>
      <c r="G141" s="31">
        <f t="shared" si="14"/>
        <v>34859.544550685649</v>
      </c>
    </row>
    <row r="142" spans="2:7" x14ac:dyDescent="0.3">
      <c r="B142" s="1">
        <f t="shared" si="10"/>
        <v>138</v>
      </c>
      <c r="C142" s="31">
        <f t="shared" si="11"/>
        <v>34859.544550685649</v>
      </c>
      <c r="D142" s="31">
        <f>-'Ejercicio 11'!$D$40</f>
        <v>927.01236000273809</v>
      </c>
      <c r="E142" s="31">
        <f t="shared" si="12"/>
        <v>217.87215344178529</v>
      </c>
      <c r="F142" s="31">
        <f t="shared" si="13"/>
        <v>709.14020656095283</v>
      </c>
      <c r="G142" s="31">
        <f t="shared" si="14"/>
        <v>34150.404344124698</v>
      </c>
    </row>
    <row r="143" spans="2:7" x14ac:dyDescent="0.3">
      <c r="B143" s="1">
        <f t="shared" si="10"/>
        <v>139</v>
      </c>
      <c r="C143" s="31">
        <f t="shared" si="11"/>
        <v>34150.404344124698</v>
      </c>
      <c r="D143" s="31">
        <f>-'Ejercicio 11'!$D$40</f>
        <v>927.01236000273809</v>
      </c>
      <c r="E143" s="31">
        <f t="shared" si="12"/>
        <v>213.44002715077934</v>
      </c>
      <c r="F143" s="31">
        <f t="shared" si="13"/>
        <v>713.57233285195878</v>
      </c>
      <c r="G143" s="31">
        <f t="shared" si="14"/>
        <v>33436.832011272738</v>
      </c>
    </row>
    <row r="144" spans="2:7" x14ac:dyDescent="0.3">
      <c r="B144" s="1">
        <f t="shared" si="10"/>
        <v>140</v>
      </c>
      <c r="C144" s="31">
        <f t="shared" si="11"/>
        <v>33436.832011272738</v>
      </c>
      <c r="D144" s="31">
        <f>-'Ejercicio 11'!$D$40</f>
        <v>927.01236000273809</v>
      </c>
      <c r="E144" s="31">
        <f t="shared" si="12"/>
        <v>208.9802000704546</v>
      </c>
      <c r="F144" s="31">
        <f t="shared" si="13"/>
        <v>718.03215993228355</v>
      </c>
      <c r="G144" s="31">
        <f t="shared" si="14"/>
        <v>32718.799851340453</v>
      </c>
    </row>
    <row r="145" spans="2:7" x14ac:dyDescent="0.3">
      <c r="B145" s="1">
        <f t="shared" si="10"/>
        <v>141</v>
      </c>
      <c r="C145" s="31">
        <f t="shared" si="11"/>
        <v>32718.799851340453</v>
      </c>
      <c r="D145" s="31">
        <f>-'Ejercicio 11'!$D$40</f>
        <v>927.01236000273809</v>
      </c>
      <c r="E145" s="31">
        <f t="shared" si="12"/>
        <v>204.49249907087781</v>
      </c>
      <c r="F145" s="31">
        <f t="shared" si="13"/>
        <v>722.51986093186031</v>
      </c>
      <c r="G145" s="31">
        <f t="shared" si="14"/>
        <v>31996.279990408591</v>
      </c>
    </row>
    <row r="146" spans="2:7" x14ac:dyDescent="0.3">
      <c r="B146" s="1">
        <f t="shared" si="10"/>
        <v>142</v>
      </c>
      <c r="C146" s="31">
        <f t="shared" si="11"/>
        <v>31996.279990408591</v>
      </c>
      <c r="D146" s="31">
        <f>-'Ejercicio 11'!$D$40</f>
        <v>927.01236000273809</v>
      </c>
      <c r="E146" s="31">
        <f t="shared" si="12"/>
        <v>199.97674994005368</v>
      </c>
      <c r="F146" s="31">
        <f t="shared" si="13"/>
        <v>727.03561006268444</v>
      </c>
      <c r="G146" s="31">
        <f t="shared" si="14"/>
        <v>31269.244380345906</v>
      </c>
    </row>
    <row r="147" spans="2:7" x14ac:dyDescent="0.3">
      <c r="B147" s="1">
        <f t="shared" si="10"/>
        <v>143</v>
      </c>
      <c r="C147" s="31">
        <f t="shared" si="11"/>
        <v>31269.244380345906</v>
      </c>
      <c r="D147" s="31">
        <f>-'Ejercicio 11'!$D$40</f>
        <v>927.01236000273809</v>
      </c>
      <c r="E147" s="31">
        <f t="shared" si="12"/>
        <v>195.4327773771619</v>
      </c>
      <c r="F147" s="31">
        <f t="shared" si="13"/>
        <v>731.57958262557622</v>
      </c>
      <c r="G147" s="31">
        <f t="shared" si="14"/>
        <v>30537.664797720332</v>
      </c>
    </row>
    <row r="148" spans="2:7" x14ac:dyDescent="0.3">
      <c r="B148" s="1">
        <f t="shared" si="10"/>
        <v>144</v>
      </c>
      <c r="C148" s="31">
        <f t="shared" si="11"/>
        <v>30537.664797720332</v>
      </c>
      <c r="D148" s="31">
        <f>-'Ejercicio 11'!$D$40</f>
        <v>927.01236000273809</v>
      </c>
      <c r="E148" s="31">
        <f t="shared" si="12"/>
        <v>190.86040498575207</v>
      </c>
      <c r="F148" s="31">
        <f t="shared" si="13"/>
        <v>736.15195501698599</v>
      </c>
      <c r="G148" s="31">
        <f t="shared" si="14"/>
        <v>29801.512842703345</v>
      </c>
    </row>
    <row r="149" spans="2:7" x14ac:dyDescent="0.3">
      <c r="B149" s="1">
        <f t="shared" si="10"/>
        <v>145</v>
      </c>
      <c r="C149" s="31">
        <f t="shared" si="11"/>
        <v>29801.512842703345</v>
      </c>
      <c r="D149" s="31">
        <f>-'Ejercicio 11'!$D$40</f>
        <v>927.01236000273809</v>
      </c>
      <c r="E149" s="31">
        <f t="shared" si="12"/>
        <v>186.25945526689588</v>
      </c>
      <c r="F149" s="31">
        <f t="shared" si="13"/>
        <v>740.75290473584221</v>
      </c>
      <c r="G149" s="31">
        <f t="shared" si="14"/>
        <v>29060.759937967501</v>
      </c>
    </row>
    <row r="150" spans="2:7" x14ac:dyDescent="0.3">
      <c r="B150" s="1">
        <f t="shared" si="10"/>
        <v>146</v>
      </c>
      <c r="C150" s="31">
        <f t="shared" si="11"/>
        <v>29060.759937967501</v>
      </c>
      <c r="D150" s="31">
        <f>-'Ejercicio 11'!$D$40</f>
        <v>927.01236000273809</v>
      </c>
      <c r="E150" s="31">
        <f t="shared" si="12"/>
        <v>181.62974961229688</v>
      </c>
      <c r="F150" s="31">
        <f t="shared" si="13"/>
        <v>745.38261039044119</v>
      </c>
      <c r="G150" s="31">
        <f t="shared" si="14"/>
        <v>28315.377327577058</v>
      </c>
    </row>
    <row r="151" spans="2:7" x14ac:dyDescent="0.3">
      <c r="B151" s="1">
        <f t="shared" si="10"/>
        <v>147</v>
      </c>
      <c r="C151" s="31">
        <f t="shared" si="11"/>
        <v>28315.377327577058</v>
      </c>
      <c r="D151" s="31">
        <f>-'Ejercicio 11'!$D$40</f>
        <v>927.01236000273809</v>
      </c>
      <c r="E151" s="31">
        <f t="shared" si="12"/>
        <v>176.97110829735661</v>
      </c>
      <c r="F151" s="31">
        <f t="shared" si="13"/>
        <v>750.04125170538146</v>
      </c>
      <c r="G151" s="31">
        <f t="shared" si="14"/>
        <v>27565.336075871677</v>
      </c>
    </row>
    <row r="152" spans="2:7" x14ac:dyDescent="0.3">
      <c r="B152" s="1">
        <f t="shared" si="10"/>
        <v>148</v>
      </c>
      <c r="C152" s="31">
        <f t="shared" si="11"/>
        <v>27565.336075871677</v>
      </c>
      <c r="D152" s="31">
        <f>-'Ejercicio 11'!$D$40</f>
        <v>927.01236000273809</v>
      </c>
      <c r="E152" s="31">
        <f t="shared" si="12"/>
        <v>172.28335047419796</v>
      </c>
      <c r="F152" s="31">
        <f t="shared" si="13"/>
        <v>754.72900952854013</v>
      </c>
      <c r="G152" s="31">
        <f t="shared" si="14"/>
        <v>26810.607066343138</v>
      </c>
    </row>
    <row r="153" spans="2:7" x14ac:dyDescent="0.3">
      <c r="B153" s="1">
        <f t="shared" si="10"/>
        <v>149</v>
      </c>
      <c r="C153" s="31">
        <f t="shared" si="11"/>
        <v>26810.607066343138</v>
      </c>
      <c r="D153" s="31">
        <f>-'Ejercicio 11'!$D$40</f>
        <v>927.01236000273809</v>
      </c>
      <c r="E153" s="31">
        <f t="shared" si="12"/>
        <v>167.5662941646446</v>
      </c>
      <c r="F153" s="31">
        <f t="shared" si="13"/>
        <v>759.44606583809355</v>
      </c>
      <c r="G153" s="31">
        <f t="shared" si="14"/>
        <v>26051.161000505046</v>
      </c>
    </row>
    <row r="154" spans="2:7" x14ac:dyDescent="0.3">
      <c r="B154" s="1">
        <f t="shared" si="10"/>
        <v>150</v>
      </c>
      <c r="C154" s="31">
        <f t="shared" si="11"/>
        <v>26051.161000505046</v>
      </c>
      <c r="D154" s="31">
        <f>-'Ejercicio 11'!$D$40</f>
        <v>927.01236000273809</v>
      </c>
      <c r="E154" s="31">
        <f t="shared" si="12"/>
        <v>162.81975625315653</v>
      </c>
      <c r="F154" s="31">
        <f t="shared" si="13"/>
        <v>764.19260374958162</v>
      </c>
      <c r="G154" s="31">
        <f t="shared" si="14"/>
        <v>25286.968396755463</v>
      </c>
    </row>
    <row r="155" spans="2:7" x14ac:dyDescent="0.3">
      <c r="B155" s="1">
        <f t="shared" si="10"/>
        <v>151</v>
      </c>
      <c r="C155" s="31">
        <f t="shared" si="11"/>
        <v>25286.968396755463</v>
      </c>
      <c r="D155" s="31">
        <f>-'Ejercicio 11'!$D$40</f>
        <v>927.01236000273809</v>
      </c>
      <c r="E155" s="31">
        <f t="shared" si="12"/>
        <v>158.04355247972163</v>
      </c>
      <c r="F155" s="31">
        <f t="shared" si="13"/>
        <v>768.96880752301649</v>
      </c>
      <c r="G155" s="31">
        <f t="shared" si="14"/>
        <v>24517.999589232448</v>
      </c>
    </row>
    <row r="156" spans="2:7" x14ac:dyDescent="0.3">
      <c r="B156" s="1">
        <f t="shared" si="10"/>
        <v>152</v>
      </c>
      <c r="C156" s="31">
        <f t="shared" si="11"/>
        <v>24517.999589232448</v>
      </c>
      <c r="D156" s="31">
        <f>-'Ejercicio 11'!$D$40</f>
        <v>927.01236000273809</v>
      </c>
      <c r="E156" s="31">
        <f t="shared" si="12"/>
        <v>153.23749743270278</v>
      </c>
      <c r="F156" s="31">
        <f t="shared" si="13"/>
        <v>773.77486257003534</v>
      </c>
      <c r="G156" s="31">
        <f t="shared" si="14"/>
        <v>23744.224726662411</v>
      </c>
    </row>
    <row r="157" spans="2:7" x14ac:dyDescent="0.3">
      <c r="B157" s="1">
        <f t="shared" si="10"/>
        <v>153</v>
      </c>
      <c r="C157" s="31">
        <f t="shared" si="11"/>
        <v>23744.224726662411</v>
      </c>
      <c r="D157" s="31">
        <f>-'Ejercicio 11'!$D$40</f>
        <v>927.01236000273809</v>
      </c>
      <c r="E157" s="31">
        <f t="shared" si="12"/>
        <v>148.40140454164006</v>
      </c>
      <c r="F157" s="31">
        <f t="shared" si="13"/>
        <v>778.610955461098</v>
      </c>
      <c r="G157" s="31">
        <f t="shared" si="14"/>
        <v>22965.613771201311</v>
      </c>
    </row>
    <row r="158" spans="2:7" x14ac:dyDescent="0.3">
      <c r="B158" s="1">
        <f t="shared" si="10"/>
        <v>154</v>
      </c>
      <c r="C158" s="31">
        <f t="shared" si="11"/>
        <v>22965.613771201311</v>
      </c>
      <c r="D158" s="31">
        <f>-'Ejercicio 11'!$D$40</f>
        <v>927.01236000273809</v>
      </c>
      <c r="E158" s="31">
        <f t="shared" si="12"/>
        <v>143.53508607000819</v>
      </c>
      <c r="F158" s="31">
        <f t="shared" si="13"/>
        <v>783.47727393272987</v>
      </c>
      <c r="G158" s="31">
        <f t="shared" si="14"/>
        <v>22182.136497268581</v>
      </c>
    </row>
    <row r="159" spans="2:7" x14ac:dyDescent="0.3">
      <c r="B159" s="1">
        <f t="shared" si="10"/>
        <v>155</v>
      </c>
      <c r="C159" s="31">
        <f t="shared" si="11"/>
        <v>22182.136497268581</v>
      </c>
      <c r="D159" s="31">
        <f>-'Ejercicio 11'!$D$40</f>
        <v>927.01236000273809</v>
      </c>
      <c r="E159" s="31">
        <f t="shared" si="12"/>
        <v>138.63835310792862</v>
      </c>
      <c r="F159" s="31">
        <f t="shared" si="13"/>
        <v>788.37400689480944</v>
      </c>
      <c r="G159" s="31">
        <f t="shared" si="14"/>
        <v>21393.762490373771</v>
      </c>
    </row>
    <row r="160" spans="2:7" x14ac:dyDescent="0.3">
      <c r="B160" s="1">
        <f t="shared" si="10"/>
        <v>156</v>
      </c>
      <c r="C160" s="31">
        <f t="shared" si="11"/>
        <v>21393.762490373771</v>
      </c>
      <c r="D160" s="31">
        <f>-'Ejercicio 11'!$D$40</f>
        <v>927.01236000273809</v>
      </c>
      <c r="E160" s="31">
        <f t="shared" si="12"/>
        <v>133.71101556483606</v>
      </c>
      <c r="F160" s="31">
        <f t="shared" si="13"/>
        <v>793.301344437902</v>
      </c>
      <c r="G160" s="31">
        <f t="shared" si="14"/>
        <v>20600.461145935868</v>
      </c>
    </row>
    <row r="161" spans="2:7" x14ac:dyDescent="0.3">
      <c r="B161" s="1">
        <f t="shared" si="10"/>
        <v>157</v>
      </c>
      <c r="C161" s="31">
        <f t="shared" si="11"/>
        <v>20600.461145935868</v>
      </c>
      <c r="D161" s="31">
        <f>-'Ejercicio 11'!$D$40</f>
        <v>927.01236000273809</v>
      </c>
      <c r="E161" s="31">
        <f t="shared" si="12"/>
        <v>128.75288216209916</v>
      </c>
      <c r="F161" s="31">
        <f t="shared" si="13"/>
        <v>798.25947784063897</v>
      </c>
      <c r="G161" s="31">
        <f t="shared" si="14"/>
        <v>19802.201668095229</v>
      </c>
    </row>
    <row r="162" spans="2:7" x14ac:dyDescent="0.3">
      <c r="B162" s="1">
        <f t="shared" si="10"/>
        <v>158</v>
      </c>
      <c r="C162" s="31">
        <f t="shared" si="11"/>
        <v>19802.201668095229</v>
      </c>
      <c r="D162" s="31">
        <f>-'Ejercicio 11'!$D$40</f>
        <v>927.01236000273809</v>
      </c>
      <c r="E162" s="31">
        <f t="shared" si="12"/>
        <v>123.76376042559517</v>
      </c>
      <c r="F162" s="31">
        <f t="shared" si="13"/>
        <v>803.24859957714295</v>
      </c>
      <c r="G162" s="31">
        <f t="shared" si="14"/>
        <v>18998.953068518087</v>
      </c>
    </row>
    <row r="163" spans="2:7" x14ac:dyDescent="0.3">
      <c r="B163" s="1">
        <f t="shared" si="10"/>
        <v>159</v>
      </c>
      <c r="C163" s="31">
        <f t="shared" si="11"/>
        <v>18998.953068518087</v>
      </c>
      <c r="D163" s="31">
        <f>-'Ejercicio 11'!$D$40</f>
        <v>927.01236000273809</v>
      </c>
      <c r="E163" s="31">
        <f t="shared" si="12"/>
        <v>118.74345667823803</v>
      </c>
      <c r="F163" s="31">
        <f t="shared" si="13"/>
        <v>808.26890332450012</v>
      </c>
      <c r="G163" s="31">
        <f t="shared" si="14"/>
        <v>18190.684165193587</v>
      </c>
    </row>
    <row r="164" spans="2:7" x14ac:dyDescent="0.3">
      <c r="B164" s="1">
        <f t="shared" si="10"/>
        <v>160</v>
      </c>
      <c r="C164" s="31">
        <f t="shared" si="11"/>
        <v>18190.684165193587</v>
      </c>
      <c r="D164" s="31">
        <f>-'Ejercicio 11'!$D$40</f>
        <v>927.01236000273809</v>
      </c>
      <c r="E164" s="31">
        <f t="shared" si="12"/>
        <v>113.69177603245991</v>
      </c>
      <c r="F164" s="31">
        <f t="shared" si="13"/>
        <v>813.32058397027822</v>
      </c>
      <c r="G164" s="31">
        <f t="shared" si="14"/>
        <v>17377.363581223308</v>
      </c>
    </row>
    <row r="165" spans="2:7" x14ac:dyDescent="0.3">
      <c r="B165" s="1">
        <f t="shared" si="10"/>
        <v>161</v>
      </c>
      <c r="C165" s="31">
        <f t="shared" si="11"/>
        <v>17377.363581223308</v>
      </c>
      <c r="D165" s="31">
        <f>-'Ejercicio 11'!$D$40</f>
        <v>927.01236000273809</v>
      </c>
      <c r="E165" s="31">
        <f t="shared" si="12"/>
        <v>108.60852238264566</v>
      </c>
      <c r="F165" s="31">
        <f t="shared" si="13"/>
        <v>818.40383762009242</v>
      </c>
      <c r="G165" s="31">
        <f t="shared" si="14"/>
        <v>16558.959743603216</v>
      </c>
    </row>
    <row r="166" spans="2:7" x14ac:dyDescent="0.3">
      <c r="B166" s="1">
        <f t="shared" si="10"/>
        <v>162</v>
      </c>
      <c r="C166" s="31">
        <f t="shared" si="11"/>
        <v>16558.959743603216</v>
      </c>
      <c r="D166" s="31">
        <f>-'Ejercicio 11'!$D$40</f>
        <v>927.01236000273809</v>
      </c>
      <c r="E166" s="31">
        <f t="shared" si="12"/>
        <v>103.4934983975201</v>
      </c>
      <c r="F166" s="31">
        <f t="shared" si="13"/>
        <v>823.51886160521804</v>
      </c>
      <c r="G166" s="31">
        <f t="shared" si="14"/>
        <v>15735.440881997998</v>
      </c>
    </row>
    <row r="167" spans="2:7" x14ac:dyDescent="0.3">
      <c r="B167" s="1">
        <f t="shared" si="10"/>
        <v>163</v>
      </c>
      <c r="C167" s="31">
        <f t="shared" si="11"/>
        <v>15735.440881997998</v>
      </c>
      <c r="D167" s="31">
        <f>-'Ejercicio 11'!$D$40</f>
        <v>927.01236000273809</v>
      </c>
      <c r="E167" s="31">
        <f t="shared" si="12"/>
        <v>98.346505512487482</v>
      </c>
      <c r="F167" s="31">
        <f t="shared" si="13"/>
        <v>828.66585449025058</v>
      </c>
      <c r="G167" s="31">
        <f t="shared" si="14"/>
        <v>14906.775027507747</v>
      </c>
    </row>
    <row r="168" spans="2:7" x14ac:dyDescent="0.3">
      <c r="B168" s="1">
        <f t="shared" si="10"/>
        <v>164</v>
      </c>
      <c r="C168" s="31">
        <f t="shared" si="11"/>
        <v>14906.775027507747</v>
      </c>
      <c r="D168" s="31">
        <f>-'Ejercicio 11'!$D$40</f>
        <v>927.01236000273809</v>
      </c>
      <c r="E168" s="31">
        <f t="shared" si="12"/>
        <v>93.167343921923404</v>
      </c>
      <c r="F168" s="31">
        <f t="shared" si="13"/>
        <v>833.84501608081473</v>
      </c>
      <c r="G168" s="31">
        <f t="shared" si="14"/>
        <v>14072.930011426932</v>
      </c>
    </row>
    <row r="169" spans="2:7" x14ac:dyDescent="0.3">
      <c r="B169" s="1">
        <f t="shared" si="10"/>
        <v>165</v>
      </c>
      <c r="C169" s="31">
        <f t="shared" si="11"/>
        <v>14072.930011426932</v>
      </c>
      <c r="D169" s="31">
        <f>-'Ejercicio 11'!$D$40</f>
        <v>927.01236000273809</v>
      </c>
      <c r="E169" s="31">
        <f t="shared" si="12"/>
        <v>87.955812571418321</v>
      </c>
      <c r="F169" s="31">
        <f t="shared" si="13"/>
        <v>839.05654743131981</v>
      </c>
      <c r="G169" s="31">
        <f t="shared" si="14"/>
        <v>13233.873463995613</v>
      </c>
    </row>
    <row r="170" spans="2:7" x14ac:dyDescent="0.3">
      <c r="B170" s="1">
        <f t="shared" si="10"/>
        <v>166</v>
      </c>
      <c r="C170" s="31">
        <f t="shared" si="11"/>
        <v>13233.873463995613</v>
      </c>
      <c r="D170" s="31">
        <f>-'Ejercicio 11'!$D$40</f>
        <v>927.01236000273809</v>
      </c>
      <c r="E170" s="31">
        <f t="shared" si="12"/>
        <v>82.711709149972577</v>
      </c>
      <c r="F170" s="31">
        <f t="shared" si="13"/>
        <v>844.30065085276556</v>
      </c>
      <c r="G170" s="31">
        <f t="shared" si="14"/>
        <v>12389.572813142848</v>
      </c>
    </row>
    <row r="171" spans="2:7" x14ac:dyDescent="0.3">
      <c r="B171" s="1">
        <f t="shared" si="10"/>
        <v>167</v>
      </c>
      <c r="C171" s="31">
        <f t="shared" si="11"/>
        <v>12389.572813142848</v>
      </c>
      <c r="D171" s="31">
        <f>-'Ejercicio 11'!$D$40</f>
        <v>927.01236000273809</v>
      </c>
      <c r="E171" s="31">
        <f t="shared" si="12"/>
        <v>77.434830082142796</v>
      </c>
      <c r="F171" s="31">
        <f t="shared" si="13"/>
        <v>849.57752992059534</v>
      </c>
      <c r="G171" s="31">
        <f t="shared" si="14"/>
        <v>11539.995283222252</v>
      </c>
    </row>
    <row r="172" spans="2:7" x14ac:dyDescent="0.3">
      <c r="B172" s="1">
        <f t="shared" si="10"/>
        <v>168</v>
      </c>
      <c r="C172" s="31">
        <f t="shared" si="11"/>
        <v>11539.995283222252</v>
      </c>
      <c r="D172" s="31">
        <f>-'Ejercicio 11'!$D$40</f>
        <v>927.01236000273809</v>
      </c>
      <c r="E172" s="31">
        <f t="shared" si="12"/>
        <v>72.124970520139073</v>
      </c>
      <c r="F172" s="31">
        <f t="shared" si="13"/>
        <v>854.88738948259902</v>
      </c>
      <c r="G172" s="31">
        <f t="shared" si="14"/>
        <v>10685.107893739652</v>
      </c>
    </row>
    <row r="173" spans="2:7" x14ac:dyDescent="0.3">
      <c r="B173" s="1">
        <f t="shared" si="10"/>
        <v>169</v>
      </c>
      <c r="C173" s="31">
        <f t="shared" si="11"/>
        <v>10685.107893739652</v>
      </c>
      <c r="D173" s="31">
        <f>-'Ejercicio 11'!$D$40</f>
        <v>927.01236000273809</v>
      </c>
      <c r="E173" s="31">
        <f t="shared" si="12"/>
        <v>66.781924335872816</v>
      </c>
      <c r="F173" s="31">
        <f t="shared" si="13"/>
        <v>860.23043566686533</v>
      </c>
      <c r="G173" s="31">
        <f t="shared" si="14"/>
        <v>9824.8774580727877</v>
      </c>
    </row>
    <row r="174" spans="2:7" x14ac:dyDescent="0.3">
      <c r="B174" s="1">
        <f t="shared" si="10"/>
        <v>170</v>
      </c>
      <c r="C174" s="31">
        <f t="shared" si="11"/>
        <v>9824.8774580727877</v>
      </c>
      <c r="D174" s="31">
        <f>-'Ejercicio 11'!$D$40</f>
        <v>927.01236000273809</v>
      </c>
      <c r="E174" s="31">
        <f t="shared" si="12"/>
        <v>61.405484112954916</v>
      </c>
      <c r="F174" s="31">
        <f t="shared" si="13"/>
        <v>865.60687588978317</v>
      </c>
      <c r="G174" s="31">
        <f t="shared" si="14"/>
        <v>8959.2705821830041</v>
      </c>
    </row>
    <row r="175" spans="2:7" x14ac:dyDescent="0.3">
      <c r="B175" s="1">
        <f t="shared" si="10"/>
        <v>171</v>
      </c>
      <c r="C175" s="31">
        <f t="shared" si="11"/>
        <v>8959.2705821830041</v>
      </c>
      <c r="D175" s="31">
        <f>-'Ejercicio 11'!$D$40</f>
        <v>927.01236000273809</v>
      </c>
      <c r="E175" s="31">
        <f t="shared" si="12"/>
        <v>55.99544113864377</v>
      </c>
      <c r="F175" s="31">
        <f t="shared" si="13"/>
        <v>871.01691886409435</v>
      </c>
      <c r="G175" s="31">
        <f t="shared" si="14"/>
        <v>8088.2536633189102</v>
      </c>
    </row>
    <row r="176" spans="2:7" x14ac:dyDescent="0.3">
      <c r="B176" s="1">
        <f t="shared" si="10"/>
        <v>172</v>
      </c>
      <c r="C176" s="31">
        <f t="shared" si="11"/>
        <v>8088.2536633189102</v>
      </c>
      <c r="D176" s="31">
        <f>-'Ejercicio 11'!$D$40</f>
        <v>927.01236000273809</v>
      </c>
      <c r="E176" s="31">
        <f t="shared" si="12"/>
        <v>50.551585395743182</v>
      </c>
      <c r="F176" s="31">
        <f t="shared" si="13"/>
        <v>876.46077460699496</v>
      </c>
      <c r="G176" s="31">
        <f t="shared" si="14"/>
        <v>7211.7928887119151</v>
      </c>
    </row>
    <row r="177" spans="2:7" x14ac:dyDescent="0.3">
      <c r="B177" s="1">
        <f t="shared" si="10"/>
        <v>173</v>
      </c>
      <c r="C177" s="31">
        <f t="shared" si="11"/>
        <v>7211.7928887119151</v>
      </c>
      <c r="D177" s="31">
        <f>-'Ejercicio 11'!$D$40</f>
        <v>927.01236000273809</v>
      </c>
      <c r="E177" s="31">
        <f t="shared" si="12"/>
        <v>45.073705554449468</v>
      </c>
      <c r="F177" s="31">
        <f t="shared" si="13"/>
        <v>881.93865444828862</v>
      </c>
      <c r="G177" s="31">
        <f t="shared" si="14"/>
        <v>6329.8542342636265</v>
      </c>
    </row>
    <row r="178" spans="2:7" x14ac:dyDescent="0.3">
      <c r="B178" s="1">
        <f t="shared" si="10"/>
        <v>174</v>
      </c>
      <c r="C178" s="31">
        <f t="shared" si="11"/>
        <v>6329.8542342636265</v>
      </c>
      <c r="D178" s="31">
        <f>-'Ejercicio 11'!$D$40</f>
        <v>927.01236000273809</v>
      </c>
      <c r="E178" s="31">
        <f t="shared" si="12"/>
        <v>39.56158896414766</v>
      </c>
      <c r="F178" s="31">
        <f t="shared" si="13"/>
        <v>887.45077103859046</v>
      </c>
      <c r="G178" s="31">
        <f t="shared" si="14"/>
        <v>5442.4034632250359</v>
      </c>
    </row>
    <row r="179" spans="2:7" x14ac:dyDescent="0.3">
      <c r="B179" s="1">
        <f t="shared" si="10"/>
        <v>175</v>
      </c>
      <c r="C179" s="31">
        <f t="shared" si="11"/>
        <v>5442.4034632250359</v>
      </c>
      <c r="D179" s="31">
        <f>-'Ejercicio 11'!$D$40</f>
        <v>927.01236000273809</v>
      </c>
      <c r="E179" s="31">
        <f t="shared" si="12"/>
        <v>34.015021645156473</v>
      </c>
      <c r="F179" s="31">
        <f t="shared" si="13"/>
        <v>892.99733835758161</v>
      </c>
      <c r="G179" s="31">
        <f t="shared" si="14"/>
        <v>4549.4061248674543</v>
      </c>
    </row>
    <row r="180" spans="2:7" x14ac:dyDescent="0.3">
      <c r="B180" s="1">
        <f t="shared" si="10"/>
        <v>176</v>
      </c>
      <c r="C180" s="31">
        <f t="shared" si="11"/>
        <v>4549.4061248674543</v>
      </c>
      <c r="D180" s="31">
        <f>-'Ejercicio 11'!$D$40</f>
        <v>927.01236000273809</v>
      </c>
      <c r="E180" s="31">
        <f t="shared" si="12"/>
        <v>28.433788280421588</v>
      </c>
      <c r="F180" s="31">
        <f t="shared" si="13"/>
        <v>898.5785717223165</v>
      </c>
      <c r="G180" s="31">
        <f t="shared" si="14"/>
        <v>3650.8275531451377</v>
      </c>
    </row>
    <row r="181" spans="2:7" x14ac:dyDescent="0.3">
      <c r="B181" s="1">
        <f t="shared" si="10"/>
        <v>177</v>
      </c>
      <c r="C181" s="31">
        <f t="shared" si="11"/>
        <v>3650.8275531451377</v>
      </c>
      <c r="D181" s="31">
        <f>-'Ejercicio 11'!$D$40</f>
        <v>927.01236000273809</v>
      </c>
      <c r="E181" s="31">
        <f t="shared" si="12"/>
        <v>22.817672207157109</v>
      </c>
      <c r="F181" s="31">
        <f t="shared" si="13"/>
        <v>904.19468779558099</v>
      </c>
      <c r="G181" s="31">
        <f t="shared" si="14"/>
        <v>2746.6328653495566</v>
      </c>
    </row>
    <row r="182" spans="2:7" x14ac:dyDescent="0.3">
      <c r="B182" s="1">
        <f t="shared" si="10"/>
        <v>178</v>
      </c>
      <c r="C182" s="31">
        <f t="shared" si="11"/>
        <v>2746.6328653495566</v>
      </c>
      <c r="D182" s="31">
        <f>-'Ejercicio 11'!$D$40</f>
        <v>927.01236000273809</v>
      </c>
      <c r="E182" s="31">
        <f t="shared" si="12"/>
        <v>17.166455408434729</v>
      </c>
      <c r="F182" s="31">
        <f t="shared" si="13"/>
        <v>909.84590459430342</v>
      </c>
      <c r="G182" s="31">
        <f t="shared" si="14"/>
        <v>1836.7869607552532</v>
      </c>
    </row>
    <row r="183" spans="2:7" x14ac:dyDescent="0.3">
      <c r="B183" s="1">
        <f t="shared" si="10"/>
        <v>179</v>
      </c>
      <c r="C183" s="31">
        <f t="shared" si="11"/>
        <v>1836.7869607552532</v>
      </c>
      <c r="D183" s="31">
        <f>-'Ejercicio 11'!$D$40</f>
        <v>927.01236000273809</v>
      </c>
      <c r="E183" s="31">
        <f t="shared" si="12"/>
        <v>11.479918504720331</v>
      </c>
      <c r="F183" s="31">
        <f t="shared" si="13"/>
        <v>915.53244149801776</v>
      </c>
      <c r="G183" s="31">
        <f t="shared" si="14"/>
        <v>921.25451925723542</v>
      </c>
    </row>
    <row r="184" spans="2:7" x14ac:dyDescent="0.3">
      <c r="B184" s="1">
        <f t="shared" si="10"/>
        <v>180</v>
      </c>
      <c r="C184" s="31">
        <f t="shared" si="11"/>
        <v>921.25451925723542</v>
      </c>
      <c r="D184" s="31">
        <f>-'Ejercicio 11'!$D$40</f>
        <v>927.01236000273809</v>
      </c>
      <c r="E184" s="31">
        <f t="shared" si="12"/>
        <v>5.7578407453577212</v>
      </c>
      <c r="F184" s="31">
        <f t="shared" si="13"/>
        <v>921.25451925738037</v>
      </c>
      <c r="G184" s="31">
        <f t="shared" si="14"/>
        <v>-1.4495071809506044E-10</v>
      </c>
    </row>
    <row r="185" spans="2:7" x14ac:dyDescent="0.3">
      <c r="C185" s="2"/>
      <c r="D185" s="2"/>
      <c r="F185" s="2"/>
      <c r="G1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Ejercicio 11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Gabriela Sequeira</cp:lastModifiedBy>
  <dcterms:created xsi:type="dcterms:W3CDTF">2017-09-27T02:49:39Z</dcterms:created>
  <dcterms:modified xsi:type="dcterms:W3CDTF">2017-10-03T17:10:35Z</dcterms:modified>
</cp:coreProperties>
</file>