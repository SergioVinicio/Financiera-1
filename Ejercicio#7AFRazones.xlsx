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326"/>
  <workbookPr/>
  <mc:AlternateContent xmlns:mc="http://schemas.openxmlformats.org/markup-compatibility/2006">
    <mc:Choice Requires="x15">
      <x15ac:absPath xmlns:x15ac="http://schemas.microsoft.com/office/spreadsheetml/2010/11/ac" url="C:\Users\Vinix\Documents\Tareas universidad\4 Semestre\Financiera I\Ejercicios\"/>
    </mc:Choice>
  </mc:AlternateContent>
  <bookViews>
    <workbookView xWindow="0" yWindow="0" windowWidth="20490" windowHeight="8595" activeTab="2" xr2:uid="{00000000-000D-0000-FFFF-FFFF00000000}"/>
  </bookViews>
  <sheets>
    <sheet name="Caso 1" sheetId="1" r:id="rId1"/>
    <sheet name="Caso 2" sheetId="2" r:id="rId2"/>
    <sheet name="Caso 3" sheetId="3" r:id="rId3"/>
    <sheet name="Caso 4" sheetId="4" r:id="rId4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0" i="3" l="1"/>
  <c r="H50" i="1" l="1"/>
  <c r="G50" i="1"/>
  <c r="H49" i="1"/>
  <c r="G49" i="1"/>
  <c r="H48" i="1"/>
  <c r="G48" i="1"/>
  <c r="H47" i="1"/>
  <c r="G47" i="1"/>
  <c r="D17" i="4" l="1"/>
  <c r="F43" i="3"/>
  <c r="G43" i="3"/>
  <c r="E43" i="3"/>
  <c r="F42" i="3"/>
  <c r="G42" i="3"/>
  <c r="E42" i="3"/>
  <c r="F40" i="3"/>
  <c r="F39" i="3"/>
  <c r="G39" i="3"/>
  <c r="F38" i="3"/>
  <c r="G38" i="3"/>
  <c r="F37" i="3"/>
  <c r="F35" i="3"/>
  <c r="F34" i="3"/>
  <c r="F33" i="3"/>
  <c r="E33" i="3"/>
  <c r="G31" i="3"/>
  <c r="F30" i="3"/>
  <c r="F31" i="3"/>
  <c r="G30" i="3"/>
  <c r="G29" i="3"/>
  <c r="F29" i="3"/>
  <c r="F27" i="3"/>
  <c r="E27" i="3"/>
  <c r="F26" i="3"/>
  <c r="G26" i="3"/>
  <c r="E26" i="3"/>
  <c r="F25" i="3"/>
  <c r="G25" i="3"/>
  <c r="E25" i="3"/>
  <c r="F23" i="3"/>
  <c r="F22" i="3"/>
  <c r="E22" i="3"/>
  <c r="G21" i="3"/>
  <c r="F21" i="3"/>
  <c r="F19" i="3"/>
  <c r="G19" i="3"/>
  <c r="E19" i="3"/>
  <c r="F17" i="3"/>
  <c r="G17" i="3"/>
  <c r="E17" i="3"/>
  <c r="G16" i="3"/>
  <c r="F16" i="3"/>
  <c r="E16" i="3"/>
  <c r="G15" i="3"/>
  <c r="F15" i="3"/>
  <c r="E15" i="3"/>
  <c r="G14" i="3"/>
  <c r="F14" i="3"/>
  <c r="H5" i="3"/>
  <c r="H4" i="3"/>
  <c r="G5" i="3"/>
  <c r="H3" i="3"/>
  <c r="L8" i="2"/>
  <c r="M8" i="2"/>
  <c r="K8" i="2"/>
  <c r="G22" i="3" l="1"/>
  <c r="G27" i="3" s="1"/>
  <c r="G35" i="3" s="1"/>
  <c r="E38" i="3"/>
  <c r="E31" i="3"/>
  <c r="E39" i="3" s="1"/>
  <c r="G23" i="3" l="1"/>
  <c r="E21" i="3"/>
  <c r="G33" i="3" l="1"/>
  <c r="G37" i="3"/>
  <c r="G40" i="3" s="1"/>
  <c r="G34" i="3"/>
  <c r="E35" i="3"/>
  <c r="E23" i="3" l="1"/>
  <c r="E37" i="3"/>
  <c r="E40" i="3" s="1"/>
  <c r="E34" i="3" l="1"/>
  <c r="G12" i="2" l="1"/>
  <c r="G14" i="2" s="1"/>
  <c r="G16" i="2" s="1"/>
  <c r="G18" i="2" s="1"/>
  <c r="F12" i="2"/>
  <c r="F14" i="2" s="1"/>
  <c r="F16" i="2" s="1"/>
  <c r="F18" i="2" s="1"/>
  <c r="E12" i="2"/>
  <c r="E14" i="2" s="1"/>
  <c r="E16" i="2" s="1"/>
  <c r="E18" i="2" s="1"/>
  <c r="E9" i="2"/>
  <c r="D90" i="1" l="1"/>
  <c r="D94" i="1" s="1"/>
  <c r="C90" i="1"/>
  <c r="C94" i="1" s="1"/>
  <c r="D60" i="1"/>
  <c r="C60" i="1"/>
  <c r="D53" i="1"/>
  <c r="C53" i="1"/>
  <c r="D44" i="1"/>
  <c r="C44" i="1"/>
  <c r="H31" i="1"/>
  <c r="H44" i="1" s="1"/>
  <c r="G31" i="1"/>
  <c r="G44" i="1" s="1"/>
  <c r="D26" i="1"/>
  <c r="C26" i="1"/>
  <c r="H24" i="1"/>
  <c r="G24" i="1"/>
  <c r="D20" i="1"/>
  <c r="C20" i="1"/>
  <c r="H19" i="1"/>
  <c r="H33" i="1" s="1"/>
  <c r="G19" i="1"/>
  <c r="G33" i="1" s="1"/>
  <c r="G39" i="1" l="1"/>
  <c r="G38" i="1"/>
  <c r="H39" i="1"/>
  <c r="H38" i="1"/>
  <c r="C28" i="1"/>
  <c r="C55" i="1"/>
  <c r="C62" i="1" s="1"/>
  <c r="C67" i="1" s="1"/>
  <c r="D28" i="1"/>
  <c r="D55" i="1"/>
  <c r="D62" i="1" s="1"/>
  <c r="D67" i="1" s="1"/>
  <c r="G25" i="1"/>
  <c r="G42" i="1" s="1"/>
  <c r="H25" i="1"/>
  <c r="H45" i="1" l="1"/>
  <c r="H43" i="1"/>
  <c r="H42" i="1"/>
  <c r="G45" i="1"/>
  <c r="G4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Gabriela Sequeira</author>
  </authors>
  <commentList>
    <comment ref="F2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Gabriela Sequeira:</t>
        </r>
        <r>
          <rPr>
            <sz val="9"/>
            <color indexed="81"/>
            <rFont val="Tahoma"/>
            <family val="2"/>
          </rPr>
          <t xml:space="preserve">
Include long term capital lease obligations $4,212
and long term financial lease obligations for $1,736</t>
        </r>
      </text>
    </comment>
  </commentList>
</comments>
</file>

<file path=xl/sharedStrings.xml><?xml version="1.0" encoding="utf-8"?>
<sst xmlns="http://schemas.openxmlformats.org/spreadsheetml/2006/main" count="189" uniqueCount="170">
  <si>
    <t xml:space="preserve">Consolidated Balance Sheet </t>
  </si>
  <si>
    <t>At December 31, 2015</t>
  </si>
  <si>
    <t>In Millions</t>
  </si>
  <si>
    <t>Current assets</t>
  </si>
  <si>
    <t>Current liabilities</t>
  </si>
  <si>
    <t>Inventories</t>
  </si>
  <si>
    <t>Accounts payable</t>
  </si>
  <si>
    <t>Account receivables, net</t>
  </si>
  <si>
    <t>Accrued expenses and other liabilites</t>
  </si>
  <si>
    <t>Marketable securities</t>
  </si>
  <si>
    <t>Unearned revenue</t>
  </si>
  <si>
    <t>Cash and cash equivalents</t>
  </si>
  <si>
    <t>Total current liabilites</t>
  </si>
  <si>
    <t>Total current assets</t>
  </si>
  <si>
    <t>Non-current liabilites</t>
  </si>
  <si>
    <t>Non current assets</t>
  </si>
  <si>
    <t>Long term debt</t>
  </si>
  <si>
    <t>Property, plant &amp; equipment, net</t>
  </si>
  <si>
    <t>Other long term liabilities</t>
  </si>
  <si>
    <t>Goodwill</t>
  </si>
  <si>
    <t>Total non-current liabilities</t>
  </si>
  <si>
    <t>Other assets</t>
  </si>
  <si>
    <t>Total liabilities</t>
  </si>
  <si>
    <t>Total non current assets</t>
  </si>
  <si>
    <t>Shareholders' equity</t>
  </si>
  <si>
    <t>Common stock and paid in capital</t>
  </si>
  <si>
    <t>Total assets</t>
  </si>
  <si>
    <t>Treasury stock</t>
  </si>
  <si>
    <t>Accumulated other comprehensive loss</t>
  </si>
  <si>
    <t>Retained earnings</t>
  </si>
  <si>
    <t>Total liabilites + equity</t>
  </si>
  <si>
    <t>Income Statement</t>
  </si>
  <si>
    <t>Year Ended December 31, 2015</t>
  </si>
  <si>
    <t>Net product sales</t>
  </si>
  <si>
    <t>Net service sales</t>
  </si>
  <si>
    <t>Total net sales</t>
  </si>
  <si>
    <t>Operating expenses</t>
  </si>
  <si>
    <t>Cost of sales</t>
  </si>
  <si>
    <t>Fulfillment</t>
  </si>
  <si>
    <t>Marketing</t>
  </si>
  <si>
    <t>Technology and content</t>
  </si>
  <si>
    <t>General and administrative</t>
  </si>
  <si>
    <t>Other operating expense (income), net</t>
  </si>
  <si>
    <t>Total operating expenses</t>
  </si>
  <si>
    <t>Income from operations</t>
  </si>
  <si>
    <t>Interest income</t>
  </si>
  <si>
    <t>Interest expense</t>
  </si>
  <si>
    <t>Other non operating income (expense), net</t>
  </si>
  <si>
    <t>Total non-operating income (expense)</t>
  </si>
  <si>
    <t>Income (loss) before income taxes</t>
  </si>
  <si>
    <t>Provision for income taxes</t>
  </si>
  <si>
    <t>Equity method investment activity</t>
  </si>
  <si>
    <t xml:space="preserve">Net income (loss) </t>
  </si>
  <si>
    <t>Basic earnings per share</t>
  </si>
  <si>
    <t>Diluted earnings per share</t>
  </si>
  <si>
    <t>Weighted-average shares used in computation of earnings per share:</t>
  </si>
  <si>
    <t>Basic</t>
  </si>
  <si>
    <t>Diluted</t>
  </si>
  <si>
    <t>A continuación se presentan los Estados Financieros para Amazon en 2014 y 2015</t>
  </si>
  <si>
    <t>Evalue la liquidez y solvencia de la compañía, respondiendo a las siguientes preguntas.</t>
  </si>
  <si>
    <t>¿Cree que la compañía tiene un problema de liquidez?</t>
  </si>
  <si>
    <t>Net cash provided by (used in) investing activities</t>
  </si>
  <si>
    <t>Net cash provided by (used in) financing activities</t>
  </si>
  <si>
    <t>Net increase (decrease) in cash and equivalents</t>
  </si>
  <si>
    <t>Foreign currency effect on cash and equivalents</t>
  </si>
  <si>
    <t>Consolidated Cash Flow</t>
  </si>
  <si>
    <t>Net cash provided by (used in) operating activities</t>
  </si>
  <si>
    <t>Cash and equivalents, beginning of period</t>
  </si>
  <si>
    <t>Cash and equivalents, end of period</t>
  </si>
  <si>
    <t>Otherdata</t>
  </si>
  <si>
    <t>Depreciation of P&amp;E, including internal-use software and website develompent,</t>
  </si>
  <si>
    <t>,and other amortization, including capitalized content costs</t>
  </si>
  <si>
    <t>Repayments of long-term debt and other</t>
  </si>
  <si>
    <t>Principal repayments of capital lease obligations</t>
  </si>
  <si>
    <t>Principal repayments of finance lease obligations</t>
  </si>
  <si>
    <t>¿Qué razones y qué criterio utilizaría para fundamentar su respuesta?</t>
  </si>
  <si>
    <t>¿Cree que la compañía tiene un problema de solvencia?</t>
  </si>
  <si>
    <t>¿Qué razón/es y qué crierio utilizaría para fundamentar su respuesta?</t>
  </si>
  <si>
    <t>Realice un análisis de márgenes y responda las siguientes preguntas.</t>
  </si>
  <si>
    <t xml:space="preserve">a.  ¿A qué se debe la caída en el márgen neto durante el 2013?  </t>
  </si>
  <si>
    <t>b. ¿Cómo evaluaría el desempeño del área comercial para el manejo de precios?  Asuma que la empresa vende un solo producto.</t>
  </si>
  <si>
    <t>c. ¿En qué año se tiene una tasa efectiva de impuesto menor?</t>
  </si>
  <si>
    <t>d. ¿Por qué será que incrementan los gastos por intereses durante el 2013?</t>
  </si>
  <si>
    <t>Ventas</t>
  </si>
  <si>
    <t>Costo de Ventas</t>
  </si>
  <si>
    <t>Utilidad Bruta</t>
  </si>
  <si>
    <t>Gastos de Venta y Administrativos</t>
  </si>
  <si>
    <t>Utilidad Operativa</t>
  </si>
  <si>
    <t>Intereses</t>
  </si>
  <si>
    <t>Utilidad antes impuestos</t>
  </si>
  <si>
    <t>Impuestos</t>
  </si>
  <si>
    <t>Utilidad Neta</t>
  </si>
  <si>
    <t>Depreciaciones &amp; Amortizaciones Costo</t>
  </si>
  <si>
    <t>Depreciaciones &amp; Amortizaciones Gasto</t>
  </si>
  <si>
    <t>Toneladas Métricas</t>
  </si>
  <si>
    <t>Asumiendo que no hay un cambio en otras variables, cuál de las siguientes reduciría el retorno sobre activos:</t>
  </si>
  <si>
    <t>a. Una reducción en la tasa efectiva de impuestos</t>
  </si>
  <si>
    <t>b. Una reducción de los gastos por intereses</t>
  </si>
  <si>
    <t>c. Un incremento en activos promedio</t>
  </si>
  <si>
    <t>Indique cómo cambia el Balance y el grado de apalancamiento</t>
  </si>
  <si>
    <t>Activos</t>
  </si>
  <si>
    <t>=</t>
  </si>
  <si>
    <t>Pasivo</t>
  </si>
  <si>
    <t>Capital</t>
  </si>
  <si>
    <t>Apalancamiento</t>
  </si>
  <si>
    <t>Sin deuda</t>
  </si>
  <si>
    <t>+$500 en activos, financiado con deuda</t>
  </si>
  <si>
    <t>+$1000 en activos, financiados con deuda</t>
  </si>
  <si>
    <t>La compañía piensa duplicar sus operaciones, duplicando el monto de sus activos y el monto de sus ventas.</t>
  </si>
  <si>
    <t>a.</t>
  </si>
  <si>
    <t>¿Cómo cambian sus indicadores si financia la compra de activos A.100% capital  y B.100% deuda (tasa de 5%).</t>
  </si>
  <si>
    <t>Para simplificar el análisis asuma que las relaciones de costo y gasto se mantienen.</t>
  </si>
  <si>
    <t>Asuma que el crédito se contrata a 5 años y se empieza a amortizar el siguiente año.</t>
  </si>
  <si>
    <t>b.</t>
  </si>
  <si>
    <t>¿Cómo cambiaría la razón de cobertura de cargos fijos si el crédito se empieza a amortizar este año?</t>
  </si>
  <si>
    <t>A</t>
  </si>
  <si>
    <t>B</t>
  </si>
  <si>
    <t>Costo de ventas (variable)</t>
  </si>
  <si>
    <t>Gastos Operativos</t>
  </si>
  <si>
    <t>Depreciaciones</t>
  </si>
  <si>
    <t>Utilidad antes de impuestos</t>
  </si>
  <si>
    <t>EBITDA</t>
  </si>
  <si>
    <t>EBIT</t>
  </si>
  <si>
    <t>NOPAT</t>
  </si>
  <si>
    <t>Pasivos (Deuda)</t>
  </si>
  <si>
    <t>ROE</t>
  </si>
  <si>
    <t>ROA</t>
  </si>
  <si>
    <t>NOPAT/Activos</t>
  </si>
  <si>
    <t>Margen Neto</t>
  </si>
  <si>
    <t>Rotación de Activos</t>
  </si>
  <si>
    <t>Razón de deuda</t>
  </si>
  <si>
    <t>Cobertura de intereses</t>
  </si>
  <si>
    <t>Cobertura de cargos fijos</t>
  </si>
  <si>
    <t>Amortización anual</t>
  </si>
  <si>
    <t>Cobertura de cargos fijos B</t>
  </si>
  <si>
    <t>EBIT + leasings</t>
  </si>
  <si>
    <t>Intereses + leasings + abono a capital/(1-t)</t>
  </si>
  <si>
    <t>Con la información de la tabla, indique:</t>
  </si>
  <si>
    <t>a.       ¿Cómo es la eficiencia en la administración de activos?</t>
  </si>
  <si>
    <t>b.      Si el mercado en el que la empresa participa creció 10% en 2014, ¿Cómo calificaría el desempeño en ventas?</t>
  </si>
  <si>
    <t>c.       Calcule el margen bruto e indique ¿a qué podría atribuirse su variación vs. el AA?</t>
  </si>
  <si>
    <t>Días de inventario</t>
  </si>
  <si>
    <t>Días promedio de cobro</t>
  </si>
  <si>
    <t>Rotación de activos totales</t>
  </si>
  <si>
    <t>Inventario promedio</t>
  </si>
  <si>
    <t>Cuentas x Cobrar promedio</t>
  </si>
  <si>
    <t>Razones de Liquidez y Solvencia</t>
  </si>
  <si>
    <t>Circulante</t>
  </si>
  <si>
    <t>Prueba Acida</t>
  </si>
  <si>
    <t>Razones de Solvencia</t>
  </si>
  <si>
    <t>Endeudamiento</t>
  </si>
  <si>
    <t>Razon de Deuda</t>
  </si>
  <si>
    <t>Deuda a Capital</t>
  </si>
  <si>
    <t>Rotacion de Inventario</t>
  </si>
  <si>
    <t>Dias de Inventario</t>
  </si>
  <si>
    <t>Usaria las razones de liquidez, en especifico la de circulante y la de la prueba acida. Y agregaria la de rotacion de inventarios.</t>
  </si>
  <si>
    <t>No las tiene por el momento, pero esta en el limite.</t>
  </si>
  <si>
    <t>Todas las razones de solvencia, para ver cuanto de sus activos es financiado por medio de la deuda.</t>
  </si>
  <si>
    <t>Mas que todo al aumento en el costo de ventas y el pago por intereses.</t>
  </si>
  <si>
    <t>Lo estan manteniendo en promedio, pero se podria mejorar.</t>
  </si>
  <si>
    <t>En el 2013</t>
  </si>
  <si>
    <t>Pueden ser varios factores, pero podria ser por prestamos</t>
  </si>
  <si>
    <t>SI</t>
  </si>
  <si>
    <t>NO</t>
  </si>
  <si>
    <t>Dependeria de la industria, pero, se nota que han ido mejorando en terminos generales, solo que ahora dan mas credito</t>
  </si>
  <si>
    <t>Subio menos de lo que crecio el mercado en general.</t>
  </si>
  <si>
    <t>No se puede calcular</t>
  </si>
  <si>
    <t>Dias promedio de Cobro</t>
  </si>
  <si>
    <t>Dias promedio de Pago</t>
  </si>
  <si>
    <t>No los tiene, ya que tiene mayor tiempo para pagar. Que lo que se tardan en cobrar, por lo que si le funciona su inventario para pagar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</si>
</sst>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_);_(* \(#,##0\);_(* &quot;-&quot;??_);_(@_)"/>
    <numFmt numFmtId="165" formatCode="0.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entury Gothic"/>
      <family val="2"/>
    </font>
    <font>
      <sz val="10"/>
      <color theme="1"/>
      <name val="Century Gothic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theme="1"/>
      <name val="Century Gothic"/>
      <family val="2"/>
    </font>
    <font>
      <b/>
      <i/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4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3" fontId="3" fillId="0" borderId="0" xfId="0" applyNumberFormat="1" applyFont="1"/>
    <xf numFmtId="3" fontId="3" fillId="0" borderId="0" xfId="0" applyNumberFormat="1" applyFont="1" applyAlignment="1">
      <alignment horizontal="center"/>
    </xf>
    <xf numFmtId="3" fontId="2" fillId="0" borderId="0" xfId="0" applyNumberFormat="1" applyFont="1"/>
    <xf numFmtId="4" fontId="3" fillId="0" borderId="0" xfId="0" applyNumberFormat="1" applyFont="1"/>
    <xf numFmtId="9" fontId="3" fillId="0" borderId="0" xfId="0" applyNumberFormat="1" applyFont="1"/>
    <xf numFmtId="9" fontId="2" fillId="0" borderId="0" xfId="0" applyNumberFormat="1" applyFont="1"/>
    <xf numFmtId="164" fontId="3" fillId="0" borderId="0" xfId="1" applyNumberFormat="1" applyFont="1" applyAlignment="1">
      <alignment horizontal="center"/>
    </xf>
    <xf numFmtId="0" fontId="3" fillId="0" borderId="1" xfId="0" applyFont="1" applyBorder="1"/>
    <xf numFmtId="164" fontId="3" fillId="0" borderId="1" xfId="1" applyNumberFormat="1" applyFont="1" applyBorder="1" applyAlignment="1">
      <alignment horizontal="center"/>
    </xf>
    <xf numFmtId="164" fontId="3" fillId="0" borderId="1" xfId="1" quotePrefix="1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quotePrefix="1" applyFont="1" applyBorder="1"/>
    <xf numFmtId="0" fontId="6" fillId="0" borderId="0" xfId="0" applyFont="1"/>
    <xf numFmtId="3" fontId="3" fillId="0" borderId="1" xfId="0" applyNumberFormat="1" applyFont="1" applyBorder="1" applyAlignment="1">
      <alignment horizontal="center"/>
    </xf>
    <xf numFmtId="9" fontId="3" fillId="0" borderId="1" xfId="0" applyNumberFormat="1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2" fontId="3" fillId="0" borderId="0" xfId="0" applyNumberFormat="1" applyFont="1" applyAlignment="1">
      <alignment horizont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0" fillId="0" borderId="0" xfId="0" applyAlignment="1">
      <alignment horizontal="left" vertical="center" indent="10"/>
    </xf>
    <xf numFmtId="0" fontId="2" fillId="0" borderId="0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2" fontId="3" fillId="0" borderId="3" xfId="0" applyNumberFormat="1" applyFont="1" applyBorder="1" applyAlignment="1">
      <alignment horizontal="center"/>
    </xf>
    <xf numFmtId="2" fontId="3" fillId="0" borderId="4" xfId="0" applyNumberFormat="1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Border="1"/>
    <xf numFmtId="2" fontId="3" fillId="0" borderId="0" xfId="0" applyNumberFormat="1" applyFont="1" applyBorder="1" applyAlignment="1">
      <alignment horizontal="center"/>
    </xf>
    <xf numFmtId="2" fontId="3" fillId="0" borderId="6" xfId="0" applyNumberFormat="1" applyFont="1" applyBorder="1" applyAlignment="1">
      <alignment horizontal="center"/>
    </xf>
    <xf numFmtId="0" fontId="3" fillId="0" borderId="7" xfId="0" applyFont="1" applyBorder="1"/>
    <xf numFmtId="0" fontId="3" fillId="0" borderId="8" xfId="0" applyFont="1" applyBorder="1"/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3" fontId="3" fillId="0" borderId="0" xfId="0" applyNumberFormat="1" applyFont="1" applyBorder="1" applyAlignment="1">
      <alignment horizontal="center"/>
    </xf>
    <xf numFmtId="3" fontId="3" fillId="0" borderId="6" xfId="0" applyNumberFormat="1" applyFont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3" fontId="3" fillId="0" borderId="9" xfId="0" applyNumberFormat="1" applyFont="1" applyBorder="1" applyAlignment="1">
      <alignment horizont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indent="3"/>
    </xf>
    <xf numFmtId="0" fontId="7" fillId="0" borderId="1" xfId="0" applyFont="1" applyBorder="1"/>
    <xf numFmtId="9" fontId="0" fillId="0" borderId="0" xfId="2" applyFont="1"/>
    <xf numFmtId="3" fontId="3" fillId="0" borderId="1" xfId="0" applyNumberFormat="1" applyFont="1" applyBorder="1"/>
    <xf numFmtId="0" fontId="3" fillId="2" borderId="1" xfId="0" applyFont="1" applyFill="1" applyBorder="1" applyAlignment="1">
      <alignment horizontal="center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8"/>
  <sheetViews>
    <sheetView topLeftCell="A13" workbookViewId="0">
      <selection activeCell="C4" sqref="C4"/>
    </sheetView>
  </sheetViews>
  <sheetFormatPr baseColWidth="10" defaultColWidth="9.140625" defaultRowHeight="13.5" x14ac:dyDescent="0.25"/>
  <cols>
    <col min="1" max="1" width="9.140625" style="2"/>
    <col min="2" max="2" width="66.5703125" style="2" bestFit="1" customWidth="1"/>
    <col min="3" max="5" width="9.140625" style="2"/>
    <col min="6" max="6" width="35.85546875" style="2" bestFit="1" customWidth="1"/>
    <col min="7" max="16384" width="9.140625" style="2"/>
  </cols>
  <sheetData>
    <row r="1" spans="1:11" x14ac:dyDescent="0.25">
      <c r="A1" s="2" t="s">
        <v>58</v>
      </c>
    </row>
    <row r="2" spans="1:11" x14ac:dyDescent="0.25">
      <c r="A2" s="2" t="s">
        <v>59</v>
      </c>
    </row>
    <row r="3" spans="1:11" x14ac:dyDescent="0.25">
      <c r="A3" s="2">
        <v>1</v>
      </c>
      <c r="B3" s="2" t="s">
        <v>60</v>
      </c>
      <c r="C3" s="2" t="s">
        <v>169</v>
      </c>
    </row>
    <row r="4" spans="1:11" x14ac:dyDescent="0.25">
      <c r="A4" s="2">
        <v>2</v>
      </c>
      <c r="B4" s="2" t="s">
        <v>75</v>
      </c>
      <c r="C4" s="2" t="s">
        <v>155</v>
      </c>
    </row>
    <row r="5" spans="1:11" x14ac:dyDescent="0.25">
      <c r="A5" s="2">
        <v>3</v>
      </c>
      <c r="B5" s="2" t="s">
        <v>76</v>
      </c>
      <c r="C5" s="2" t="s">
        <v>156</v>
      </c>
    </row>
    <row r="6" spans="1:11" x14ac:dyDescent="0.25">
      <c r="A6" s="2">
        <v>4</v>
      </c>
      <c r="B6" s="2" t="s">
        <v>77</v>
      </c>
      <c r="C6" s="2" t="s">
        <v>157</v>
      </c>
    </row>
    <row r="11" spans="1:11" x14ac:dyDescent="0.25">
      <c r="A11" s="1" t="s">
        <v>0</v>
      </c>
    </row>
    <row r="12" spans="1:11" x14ac:dyDescent="0.25">
      <c r="A12" s="1" t="s">
        <v>1</v>
      </c>
    </row>
    <row r="13" spans="1:11" x14ac:dyDescent="0.25">
      <c r="A13" s="1" t="s">
        <v>2</v>
      </c>
    </row>
    <row r="14" spans="1:11" x14ac:dyDescent="0.25">
      <c r="C14" s="4">
        <v>2015</v>
      </c>
      <c r="D14" s="4">
        <v>2014</v>
      </c>
      <c r="G14" s="4">
        <v>2015</v>
      </c>
      <c r="H14" s="4">
        <v>2014</v>
      </c>
      <c r="I14" s="4"/>
    </row>
    <row r="15" spans="1:11" x14ac:dyDescent="0.25">
      <c r="B15" s="1" t="s">
        <v>3</v>
      </c>
      <c r="C15" s="5"/>
      <c r="D15" s="5"/>
      <c r="F15" s="1" t="s">
        <v>4</v>
      </c>
      <c r="K15" s="5"/>
    </row>
    <row r="16" spans="1:11" x14ac:dyDescent="0.25">
      <c r="B16" s="2" t="s">
        <v>5</v>
      </c>
      <c r="C16" s="5">
        <v>10243</v>
      </c>
      <c r="D16" s="5">
        <v>8299</v>
      </c>
      <c r="E16" s="5"/>
      <c r="F16" s="2" t="s">
        <v>6</v>
      </c>
      <c r="G16" s="5">
        <v>20397</v>
      </c>
      <c r="H16" s="5">
        <v>16459</v>
      </c>
    </row>
    <row r="17" spans="2:8" x14ac:dyDescent="0.25">
      <c r="B17" s="2" t="s">
        <v>7</v>
      </c>
      <c r="C17" s="5">
        <v>6423</v>
      </c>
      <c r="D17" s="5">
        <v>5612</v>
      </c>
      <c r="F17" s="2" t="s">
        <v>8</v>
      </c>
      <c r="G17" s="5">
        <v>10384</v>
      </c>
      <c r="H17" s="5">
        <v>9807</v>
      </c>
    </row>
    <row r="18" spans="2:8" x14ac:dyDescent="0.25">
      <c r="B18" s="2" t="s">
        <v>9</v>
      </c>
      <c r="C18" s="5">
        <v>3918</v>
      </c>
      <c r="D18" s="5">
        <v>2859</v>
      </c>
      <c r="F18" s="2" t="s">
        <v>10</v>
      </c>
      <c r="G18" s="5">
        <v>3118</v>
      </c>
      <c r="H18" s="5">
        <v>1823</v>
      </c>
    </row>
    <row r="19" spans="2:8" x14ac:dyDescent="0.25">
      <c r="B19" s="2" t="s">
        <v>11</v>
      </c>
      <c r="C19" s="5">
        <v>15890</v>
      </c>
      <c r="D19" s="5">
        <v>14557</v>
      </c>
      <c r="F19" s="1" t="s">
        <v>12</v>
      </c>
      <c r="G19" s="7">
        <f>SUM(G16:G18)</f>
        <v>33899</v>
      </c>
      <c r="H19" s="7">
        <f>SUM(H16:H18)</f>
        <v>28089</v>
      </c>
    </row>
    <row r="20" spans="2:8" x14ac:dyDescent="0.25">
      <c r="B20" s="1" t="s">
        <v>13</v>
      </c>
      <c r="C20" s="7">
        <f>SUM(C16:C19)</f>
        <v>36474</v>
      </c>
      <c r="D20" s="7">
        <f>SUM(D16:D19)</f>
        <v>31327</v>
      </c>
      <c r="G20" s="5"/>
      <c r="H20" s="5"/>
    </row>
    <row r="21" spans="2:8" x14ac:dyDescent="0.25">
      <c r="F21" s="1" t="s">
        <v>14</v>
      </c>
      <c r="G21" s="5"/>
      <c r="H21" s="5"/>
    </row>
    <row r="22" spans="2:8" x14ac:dyDescent="0.25">
      <c r="B22" s="1" t="s">
        <v>15</v>
      </c>
      <c r="F22" s="2" t="s">
        <v>16</v>
      </c>
      <c r="G22" s="5">
        <v>8235</v>
      </c>
      <c r="H22" s="5">
        <v>8265</v>
      </c>
    </row>
    <row r="23" spans="2:8" x14ac:dyDescent="0.25">
      <c r="B23" s="2" t="s">
        <v>17</v>
      </c>
      <c r="C23" s="5">
        <v>21838</v>
      </c>
      <c r="D23" s="5">
        <v>16967</v>
      </c>
      <c r="F23" s="2" t="s">
        <v>18</v>
      </c>
      <c r="G23" s="5">
        <v>9926</v>
      </c>
      <c r="H23" s="5">
        <v>7410</v>
      </c>
    </row>
    <row r="24" spans="2:8" x14ac:dyDescent="0.25">
      <c r="B24" s="2" t="s">
        <v>19</v>
      </c>
      <c r="C24" s="5">
        <v>3759</v>
      </c>
      <c r="D24" s="5">
        <v>3319</v>
      </c>
      <c r="F24" s="1" t="s">
        <v>20</v>
      </c>
      <c r="G24" s="7">
        <f>SUM(G22:G23)</f>
        <v>18161</v>
      </c>
      <c r="H24" s="7">
        <f>SUM(H22:H23)</f>
        <v>15675</v>
      </c>
    </row>
    <row r="25" spans="2:8" x14ac:dyDescent="0.25">
      <c r="B25" s="2" t="s">
        <v>21</v>
      </c>
      <c r="C25" s="5">
        <v>3373</v>
      </c>
      <c r="D25" s="5">
        <v>2892</v>
      </c>
      <c r="F25" s="1" t="s">
        <v>22</v>
      </c>
      <c r="G25" s="7">
        <f>G19+G24</f>
        <v>52060</v>
      </c>
      <c r="H25" s="7">
        <f>H19+H24</f>
        <v>43764</v>
      </c>
    </row>
    <row r="26" spans="2:8" x14ac:dyDescent="0.25">
      <c r="B26" s="1" t="s">
        <v>23</v>
      </c>
      <c r="C26" s="7">
        <f>SUM(C23:C25)</f>
        <v>28970</v>
      </c>
      <c r="D26" s="7">
        <f>SUM(D23:D25)</f>
        <v>23178</v>
      </c>
      <c r="F26" s="1" t="s">
        <v>24</v>
      </c>
      <c r="G26" s="5"/>
      <c r="H26" s="5"/>
    </row>
    <row r="27" spans="2:8" x14ac:dyDescent="0.25">
      <c r="C27" s="5"/>
      <c r="D27" s="5"/>
      <c r="F27" s="2" t="s">
        <v>25</v>
      </c>
      <c r="G27" s="5">
        <v>13399</v>
      </c>
      <c r="H27" s="5">
        <v>11140</v>
      </c>
    </row>
    <row r="28" spans="2:8" x14ac:dyDescent="0.25">
      <c r="B28" s="1" t="s">
        <v>26</v>
      </c>
      <c r="C28" s="7">
        <f>SUM(C26,C20)</f>
        <v>65444</v>
      </c>
      <c r="D28" s="7">
        <f>SUM(D26,D20)</f>
        <v>54505</v>
      </c>
      <c r="F28" s="2" t="s">
        <v>27</v>
      </c>
      <c r="G28" s="5">
        <v>-1837</v>
      </c>
      <c r="H28" s="5">
        <v>-1837</v>
      </c>
    </row>
    <row r="29" spans="2:8" x14ac:dyDescent="0.25">
      <c r="F29" s="2" t="s">
        <v>28</v>
      </c>
      <c r="G29" s="5">
        <v>-723</v>
      </c>
      <c r="H29" s="5">
        <v>-511</v>
      </c>
    </row>
    <row r="30" spans="2:8" x14ac:dyDescent="0.25">
      <c r="F30" s="2" t="s">
        <v>29</v>
      </c>
      <c r="G30" s="5">
        <v>2545</v>
      </c>
      <c r="H30" s="5">
        <v>1949</v>
      </c>
    </row>
    <row r="31" spans="2:8" x14ac:dyDescent="0.25">
      <c r="F31" s="1" t="s">
        <v>24</v>
      </c>
      <c r="G31" s="7">
        <f>SUM(G27:G30)</f>
        <v>13384</v>
      </c>
      <c r="H31" s="7">
        <f>SUM(H27:H30)</f>
        <v>10741</v>
      </c>
    </row>
    <row r="32" spans="2:8" x14ac:dyDescent="0.25">
      <c r="G32" s="5"/>
      <c r="H32" s="5"/>
    </row>
    <row r="33" spans="1:8" x14ac:dyDescent="0.25">
      <c r="F33" s="1" t="s">
        <v>30</v>
      </c>
      <c r="G33" s="7">
        <f>SUM(G19,G24,G31)</f>
        <v>65444</v>
      </c>
      <c r="H33" s="7">
        <f>SUM(H19,H24,H31)</f>
        <v>54505</v>
      </c>
    </row>
    <row r="34" spans="1:8" x14ac:dyDescent="0.25">
      <c r="F34" s="1"/>
      <c r="G34" s="7"/>
      <c r="H34" s="7"/>
    </row>
    <row r="37" spans="1:8" x14ac:dyDescent="0.25">
      <c r="F37" s="50" t="s">
        <v>146</v>
      </c>
      <c r="G37" s="20">
        <v>2015</v>
      </c>
      <c r="H37" s="20">
        <v>2014</v>
      </c>
    </row>
    <row r="38" spans="1:8" x14ac:dyDescent="0.25">
      <c r="A38" s="1" t="s">
        <v>31</v>
      </c>
      <c r="F38" s="12" t="s">
        <v>147</v>
      </c>
      <c r="G38" s="12">
        <f>C20/G19</f>
        <v>1.0759609428006727</v>
      </c>
      <c r="H38" s="12">
        <f>D20/H19</f>
        <v>1.1152764427355903</v>
      </c>
    </row>
    <row r="39" spans="1:8" x14ac:dyDescent="0.25">
      <c r="A39" s="1" t="s">
        <v>32</v>
      </c>
      <c r="C39" s="4">
        <v>2015</v>
      </c>
      <c r="D39" s="4">
        <v>2014</v>
      </c>
      <c r="F39" s="12" t="s">
        <v>148</v>
      </c>
      <c r="G39" s="12">
        <f>(C20-C16)/G19</f>
        <v>0.77379863712793884</v>
      </c>
      <c r="H39" s="12">
        <f>(D20-D16)/H19</f>
        <v>0.81982270639752219</v>
      </c>
    </row>
    <row r="40" spans="1:8" x14ac:dyDescent="0.25">
      <c r="F40" s="53"/>
      <c r="G40" s="53"/>
      <c r="H40" s="53"/>
    </row>
    <row r="41" spans="1:8" x14ac:dyDescent="0.25">
      <c r="F41" s="50" t="s">
        <v>149</v>
      </c>
      <c r="G41" s="20">
        <v>2015</v>
      </c>
      <c r="H41" s="20">
        <v>2014</v>
      </c>
    </row>
    <row r="42" spans="1:8" x14ac:dyDescent="0.25">
      <c r="B42" s="2" t="s">
        <v>33</v>
      </c>
      <c r="C42" s="5">
        <v>79268</v>
      </c>
      <c r="D42" s="5">
        <v>70080</v>
      </c>
      <c r="F42" s="12" t="s">
        <v>150</v>
      </c>
      <c r="G42" s="12">
        <f>G25/C28</f>
        <v>0.79548927327180485</v>
      </c>
      <c r="H42" s="12">
        <f>H25/D28</f>
        <v>0.80293551050362355</v>
      </c>
    </row>
    <row r="43" spans="1:8" x14ac:dyDescent="0.25">
      <c r="B43" s="2" t="s">
        <v>34</v>
      </c>
      <c r="C43" s="5">
        <v>27738</v>
      </c>
      <c r="D43" s="5">
        <v>18908</v>
      </c>
      <c r="F43" s="12" t="s">
        <v>151</v>
      </c>
      <c r="G43" s="12">
        <f>G22/C28</f>
        <v>0.12583277305788154</v>
      </c>
      <c r="H43" s="12">
        <f>H22/D28</f>
        <v>0.15163746445280249</v>
      </c>
    </row>
    <row r="44" spans="1:8" x14ac:dyDescent="0.25">
      <c r="B44" s="1" t="s">
        <v>35</v>
      </c>
      <c r="C44" s="7">
        <f>SUM(C42:C43)</f>
        <v>107006</v>
      </c>
      <c r="D44" s="7">
        <f>SUM(D42:D43)</f>
        <v>88988</v>
      </c>
      <c r="F44" s="12" t="s">
        <v>152</v>
      </c>
      <c r="G44" s="12">
        <f>G22/G31</f>
        <v>0.61528690974297673</v>
      </c>
      <c r="H44" s="12">
        <f>H22/H31</f>
        <v>0.7694814263103994</v>
      </c>
    </row>
    <row r="45" spans="1:8" x14ac:dyDescent="0.25">
      <c r="C45" s="5"/>
      <c r="D45" s="5"/>
      <c r="F45" s="12" t="s">
        <v>104</v>
      </c>
      <c r="G45" s="12">
        <f>C28/G31</f>
        <v>4.8897190675433357</v>
      </c>
      <c r="H45" s="12">
        <f>D28/H31</f>
        <v>5.0744809608043946</v>
      </c>
    </row>
    <row r="46" spans="1:8" x14ac:dyDescent="0.25">
      <c r="B46" s="1" t="s">
        <v>36</v>
      </c>
      <c r="C46" s="5"/>
      <c r="D46" s="5"/>
      <c r="F46" s="53"/>
      <c r="G46" s="53"/>
      <c r="H46" s="53"/>
    </row>
    <row r="47" spans="1:8" x14ac:dyDescent="0.25">
      <c r="B47" s="2" t="s">
        <v>37</v>
      </c>
      <c r="C47" s="5">
        <v>71651</v>
      </c>
      <c r="D47" s="5">
        <v>62752</v>
      </c>
      <c r="F47" s="12" t="s">
        <v>153</v>
      </c>
      <c r="G47" s="12">
        <f>C47/AVERAGE(C16:D16)</f>
        <v>7.7285082515370513</v>
      </c>
      <c r="H47" s="12">
        <f>D47/AVERAGE(D16:E16)</f>
        <v>7.5613929389083019</v>
      </c>
    </row>
    <row r="48" spans="1:8" x14ac:dyDescent="0.25">
      <c r="B48" s="2" t="s">
        <v>38</v>
      </c>
      <c r="C48" s="5">
        <v>13410</v>
      </c>
      <c r="D48" s="5">
        <v>10766</v>
      </c>
      <c r="F48" s="12" t="s">
        <v>154</v>
      </c>
      <c r="G48" s="12">
        <f>365/G47</f>
        <v>47.227742808893105</v>
      </c>
      <c r="H48" s="12">
        <f>365/H47</f>
        <v>48.271529194288632</v>
      </c>
    </row>
    <row r="49" spans="2:8" x14ac:dyDescent="0.25">
      <c r="B49" s="2" t="s">
        <v>39</v>
      </c>
      <c r="C49" s="5">
        <v>5254</v>
      </c>
      <c r="D49" s="5">
        <v>4332</v>
      </c>
      <c r="F49" s="12" t="s">
        <v>167</v>
      </c>
      <c r="G49" s="12">
        <f>AVERAGE(C17:D17)/(C42/365)</f>
        <v>27.708375384770651</v>
      </c>
      <c r="H49" s="12">
        <f>AVERAGE(D17:E17)/(D42/365)</f>
        <v>29.229166666666668</v>
      </c>
    </row>
    <row r="50" spans="2:8" x14ac:dyDescent="0.25">
      <c r="B50" s="2" t="s">
        <v>40</v>
      </c>
      <c r="C50" s="5">
        <v>12540</v>
      </c>
      <c r="D50" s="5">
        <v>9275</v>
      </c>
      <c r="F50" s="12" t="s">
        <v>168</v>
      </c>
      <c r="G50" s="52">
        <f>AVERAGE(G16:H16)/((C47+C16-D16)/365)</f>
        <v>91.395067599701065</v>
      </c>
      <c r="H50" s="52">
        <f>AVERAGE(H16:I16)/((D47+D16-E16)/365)</f>
        <v>84.552434167006794</v>
      </c>
    </row>
    <row r="51" spans="2:8" x14ac:dyDescent="0.25">
      <c r="B51" s="2" t="s">
        <v>41</v>
      </c>
      <c r="C51" s="5">
        <v>1747</v>
      </c>
      <c r="D51" s="5">
        <v>1552</v>
      </c>
    </row>
    <row r="52" spans="2:8" x14ac:dyDescent="0.25">
      <c r="B52" s="2" t="s">
        <v>42</v>
      </c>
      <c r="C52" s="5">
        <v>171</v>
      </c>
      <c r="D52" s="5">
        <v>133</v>
      </c>
    </row>
    <row r="53" spans="2:8" x14ac:dyDescent="0.25">
      <c r="B53" s="1" t="s">
        <v>43</v>
      </c>
      <c r="C53" s="7">
        <f>SUM(C47:C52)</f>
        <v>104773</v>
      </c>
      <c r="D53" s="7">
        <f>SUM(D47:D52)</f>
        <v>88810</v>
      </c>
    </row>
    <row r="54" spans="2:8" x14ac:dyDescent="0.25">
      <c r="C54" s="5"/>
      <c r="D54" s="5"/>
    </row>
    <row r="55" spans="2:8" x14ac:dyDescent="0.25">
      <c r="B55" s="1" t="s">
        <v>44</v>
      </c>
      <c r="C55" s="7">
        <f>C44-C53</f>
        <v>2233</v>
      </c>
      <c r="D55" s="7">
        <f>D44-D53</f>
        <v>178</v>
      </c>
    </row>
    <row r="56" spans="2:8" x14ac:dyDescent="0.25">
      <c r="C56" s="5"/>
      <c r="D56" s="5"/>
    </row>
    <row r="57" spans="2:8" x14ac:dyDescent="0.25">
      <c r="B57" s="2" t="s">
        <v>45</v>
      </c>
      <c r="C57" s="5">
        <v>50</v>
      </c>
      <c r="D57" s="5">
        <v>39</v>
      </c>
    </row>
    <row r="58" spans="2:8" x14ac:dyDescent="0.25">
      <c r="B58" s="2" t="s">
        <v>46</v>
      </c>
      <c r="C58" s="5">
        <v>-459</v>
      </c>
      <c r="D58" s="5">
        <v>-210</v>
      </c>
    </row>
    <row r="59" spans="2:8" x14ac:dyDescent="0.25">
      <c r="B59" s="2" t="s">
        <v>47</v>
      </c>
      <c r="C59" s="5">
        <v>-256</v>
      </c>
      <c r="D59" s="5">
        <v>-118</v>
      </c>
    </row>
    <row r="60" spans="2:8" x14ac:dyDescent="0.25">
      <c r="B60" s="1" t="s">
        <v>48</v>
      </c>
      <c r="C60" s="7">
        <f>SUM(C57:C59)</f>
        <v>-665</v>
      </c>
      <c r="D60" s="7">
        <f>SUM(D57:D59)</f>
        <v>-289</v>
      </c>
    </row>
    <row r="61" spans="2:8" x14ac:dyDescent="0.25">
      <c r="C61" s="5"/>
      <c r="D61" s="5"/>
    </row>
    <row r="62" spans="2:8" x14ac:dyDescent="0.25">
      <c r="B62" s="1" t="s">
        <v>49</v>
      </c>
      <c r="C62" s="7">
        <f>C55+C60</f>
        <v>1568</v>
      </c>
      <c r="D62" s="7">
        <f>D55+D60</f>
        <v>-111</v>
      </c>
    </row>
    <row r="63" spans="2:8" x14ac:dyDescent="0.25">
      <c r="C63" s="5"/>
      <c r="D63" s="5"/>
    </row>
    <row r="64" spans="2:8" x14ac:dyDescent="0.25">
      <c r="B64" s="2" t="s">
        <v>50</v>
      </c>
      <c r="C64" s="5">
        <v>-950</v>
      </c>
      <c r="D64" s="5">
        <v>-167</v>
      </c>
    </row>
    <row r="65" spans="1:4" x14ac:dyDescent="0.25">
      <c r="B65" s="2" t="s">
        <v>51</v>
      </c>
      <c r="C65" s="5">
        <v>-22</v>
      </c>
      <c r="D65" s="5">
        <v>37</v>
      </c>
    </row>
    <row r="66" spans="1:4" x14ac:dyDescent="0.25">
      <c r="C66" s="5"/>
      <c r="D66" s="5"/>
    </row>
    <row r="67" spans="1:4" x14ac:dyDescent="0.25">
      <c r="B67" s="1" t="s">
        <v>52</v>
      </c>
      <c r="C67" s="7">
        <f>SUM(C62:C65)</f>
        <v>596</v>
      </c>
      <c r="D67" s="7">
        <f>SUM(D62:D65)</f>
        <v>-241</v>
      </c>
    </row>
    <row r="68" spans="1:4" x14ac:dyDescent="0.25">
      <c r="C68" s="5"/>
      <c r="D68" s="5"/>
    </row>
    <row r="69" spans="1:4" x14ac:dyDescent="0.25">
      <c r="B69" s="2" t="s">
        <v>53</v>
      </c>
      <c r="C69" s="8">
        <v>1.28</v>
      </c>
      <c r="D69" s="8">
        <v>-0.52</v>
      </c>
    </row>
    <row r="70" spans="1:4" x14ac:dyDescent="0.25">
      <c r="B70" s="2" t="s">
        <v>54</v>
      </c>
      <c r="C70" s="8">
        <v>1.25</v>
      </c>
      <c r="D70" s="8">
        <v>-0.52</v>
      </c>
    </row>
    <row r="71" spans="1:4" x14ac:dyDescent="0.25">
      <c r="C71" s="5"/>
      <c r="D71" s="5"/>
    </row>
    <row r="72" spans="1:4" x14ac:dyDescent="0.25">
      <c r="B72" s="2" t="s">
        <v>55</v>
      </c>
      <c r="C72" s="5"/>
      <c r="D72" s="5"/>
    </row>
    <row r="73" spans="1:4" x14ac:dyDescent="0.25">
      <c r="B73" s="2" t="s">
        <v>56</v>
      </c>
      <c r="C73" s="5">
        <v>467</v>
      </c>
      <c r="D73" s="5">
        <v>462</v>
      </c>
    </row>
    <row r="74" spans="1:4" x14ac:dyDescent="0.25">
      <c r="B74" s="2" t="s">
        <v>57</v>
      </c>
      <c r="C74" s="5">
        <v>477</v>
      </c>
      <c r="D74" s="5">
        <v>462</v>
      </c>
    </row>
    <row r="75" spans="1:4" x14ac:dyDescent="0.25">
      <c r="C75" s="5"/>
      <c r="D75" s="5"/>
    </row>
    <row r="76" spans="1:4" x14ac:dyDescent="0.25">
      <c r="B76" s="2" t="s">
        <v>69</v>
      </c>
      <c r="C76" s="5"/>
      <c r="D76" s="5"/>
    </row>
    <row r="77" spans="1:4" x14ac:dyDescent="0.25">
      <c r="B77" s="2" t="s">
        <v>70</v>
      </c>
      <c r="C77" s="5">
        <v>6281</v>
      </c>
      <c r="D77" s="5">
        <v>4746</v>
      </c>
    </row>
    <row r="78" spans="1:4" x14ac:dyDescent="0.25">
      <c r="B78" s="2" t="s">
        <v>71</v>
      </c>
      <c r="C78" s="5"/>
      <c r="D78" s="5"/>
    </row>
    <row r="79" spans="1:4" x14ac:dyDescent="0.25">
      <c r="C79" s="5"/>
      <c r="D79" s="5"/>
    </row>
    <row r="80" spans="1:4" x14ac:dyDescent="0.25">
      <c r="A80" s="1" t="s">
        <v>65</v>
      </c>
      <c r="C80" s="4">
        <v>2015</v>
      </c>
      <c r="D80" s="4">
        <v>2014</v>
      </c>
    </row>
    <row r="81" spans="1:4" x14ac:dyDescent="0.25">
      <c r="A81" s="1"/>
      <c r="C81" s="4"/>
      <c r="D81" s="4"/>
    </row>
    <row r="82" spans="1:4" x14ac:dyDescent="0.25">
      <c r="B82" s="2" t="s">
        <v>66</v>
      </c>
      <c r="C82" s="5">
        <v>11920</v>
      </c>
      <c r="D82" s="5">
        <v>6842</v>
      </c>
    </row>
    <row r="83" spans="1:4" x14ac:dyDescent="0.25">
      <c r="C83" s="5"/>
      <c r="D83" s="5"/>
    </row>
    <row r="84" spans="1:4" x14ac:dyDescent="0.25">
      <c r="B84" s="2" t="s">
        <v>61</v>
      </c>
      <c r="C84" s="5">
        <v>-6450</v>
      </c>
      <c r="D84" s="5">
        <v>-5065</v>
      </c>
    </row>
    <row r="85" spans="1:4" x14ac:dyDescent="0.25">
      <c r="C85" s="5"/>
      <c r="D85" s="5"/>
    </row>
    <row r="86" spans="1:4" x14ac:dyDescent="0.25">
      <c r="B86" s="2" t="s">
        <v>62</v>
      </c>
      <c r="C86" s="5">
        <v>-3763</v>
      </c>
      <c r="D86" s="5">
        <v>4432</v>
      </c>
    </row>
    <row r="87" spans="1:4" x14ac:dyDescent="0.25">
      <c r="C87" s="5"/>
      <c r="D87" s="5"/>
    </row>
    <row r="88" spans="1:4" x14ac:dyDescent="0.25">
      <c r="B88" s="2" t="s">
        <v>64</v>
      </c>
      <c r="C88" s="5">
        <v>-374</v>
      </c>
      <c r="D88" s="5">
        <v>-310</v>
      </c>
    </row>
    <row r="89" spans="1:4" x14ac:dyDescent="0.25">
      <c r="C89" s="5"/>
      <c r="D89" s="5"/>
    </row>
    <row r="90" spans="1:4" x14ac:dyDescent="0.25">
      <c r="B90" s="1" t="s">
        <v>63</v>
      </c>
      <c r="C90" s="7">
        <f>SUM(C82,C84,C86,C88)</f>
        <v>1333</v>
      </c>
      <c r="D90" s="7">
        <f>SUM(D82,D84,D86,D88)</f>
        <v>5899</v>
      </c>
    </row>
    <row r="91" spans="1:4" x14ac:dyDescent="0.25">
      <c r="C91" s="5"/>
      <c r="D91" s="5"/>
    </row>
    <row r="92" spans="1:4" x14ac:dyDescent="0.25">
      <c r="B92" s="2" t="s">
        <v>67</v>
      </c>
      <c r="C92" s="5">
        <v>14557</v>
      </c>
      <c r="D92" s="5">
        <v>8658</v>
      </c>
    </row>
    <row r="93" spans="1:4" x14ac:dyDescent="0.25">
      <c r="C93" s="5"/>
      <c r="D93" s="5"/>
    </row>
    <row r="94" spans="1:4" x14ac:dyDescent="0.25">
      <c r="B94" s="1" t="s">
        <v>68</v>
      </c>
      <c r="C94" s="7">
        <f>C90+C92</f>
        <v>15890</v>
      </c>
      <c r="D94" s="7">
        <f>D90+D92</f>
        <v>14557</v>
      </c>
    </row>
    <row r="95" spans="1:4" x14ac:dyDescent="0.25">
      <c r="C95" s="5"/>
      <c r="D95" s="5"/>
    </row>
    <row r="96" spans="1:4" x14ac:dyDescent="0.25">
      <c r="C96" s="5"/>
      <c r="D96" s="5"/>
    </row>
    <row r="97" spans="2:4" x14ac:dyDescent="0.25">
      <c r="C97" s="5"/>
      <c r="D97" s="5"/>
    </row>
    <row r="98" spans="2:4" x14ac:dyDescent="0.25">
      <c r="C98" s="5"/>
      <c r="D98" s="5"/>
    </row>
    <row r="99" spans="2:4" x14ac:dyDescent="0.25">
      <c r="C99" s="5"/>
      <c r="D99" s="5"/>
    </row>
    <row r="100" spans="2:4" x14ac:dyDescent="0.25">
      <c r="B100" s="2" t="s">
        <v>72</v>
      </c>
      <c r="C100" s="5">
        <v>-1652</v>
      </c>
      <c r="D100" s="5">
        <v>-513</v>
      </c>
    </row>
    <row r="101" spans="2:4" x14ac:dyDescent="0.25">
      <c r="B101" s="2" t="s">
        <v>73</v>
      </c>
      <c r="C101" s="5">
        <v>-2462</v>
      </c>
      <c r="D101" s="5">
        <v>-1285</v>
      </c>
    </row>
    <row r="102" spans="2:4" x14ac:dyDescent="0.25">
      <c r="B102" s="2" t="s">
        <v>74</v>
      </c>
      <c r="C102" s="5">
        <v>-121</v>
      </c>
      <c r="D102" s="5">
        <v>-135</v>
      </c>
    </row>
    <row r="103" spans="2:4" x14ac:dyDescent="0.25">
      <c r="C103" s="5"/>
      <c r="D103" s="5"/>
    </row>
    <row r="104" spans="2:4" x14ac:dyDescent="0.25">
      <c r="C104" s="5"/>
      <c r="D104" s="5"/>
    </row>
    <row r="105" spans="2:4" x14ac:dyDescent="0.25">
      <c r="C105" s="5"/>
      <c r="D105" s="5"/>
    </row>
    <row r="106" spans="2:4" x14ac:dyDescent="0.25">
      <c r="C106" s="5"/>
      <c r="D106" s="5"/>
    </row>
    <row r="107" spans="2:4" x14ac:dyDescent="0.25">
      <c r="C107" s="5"/>
      <c r="D107" s="5"/>
    </row>
    <row r="108" spans="2:4" x14ac:dyDescent="0.25">
      <c r="C108" s="5"/>
      <c r="D108" s="5"/>
    </row>
    <row r="109" spans="2:4" x14ac:dyDescent="0.25">
      <c r="C109" s="5"/>
      <c r="D109" s="5"/>
    </row>
    <row r="110" spans="2:4" x14ac:dyDescent="0.25">
      <c r="C110" s="5"/>
      <c r="D110" s="5"/>
    </row>
    <row r="111" spans="2:4" x14ac:dyDescent="0.25">
      <c r="C111" s="5"/>
      <c r="D111" s="5"/>
    </row>
    <row r="112" spans="2:4" x14ac:dyDescent="0.25">
      <c r="C112" s="5"/>
      <c r="D112" s="5"/>
    </row>
    <row r="113" spans="3:4" x14ac:dyDescent="0.25">
      <c r="C113" s="5"/>
      <c r="D113" s="5"/>
    </row>
    <row r="114" spans="3:4" x14ac:dyDescent="0.25">
      <c r="C114" s="5"/>
      <c r="D114" s="5"/>
    </row>
    <row r="115" spans="3:4" x14ac:dyDescent="0.25">
      <c r="C115" s="5"/>
      <c r="D115" s="5"/>
    </row>
    <row r="116" spans="3:4" x14ac:dyDescent="0.25">
      <c r="C116" s="5"/>
      <c r="D116" s="5"/>
    </row>
    <row r="117" spans="3:4" x14ac:dyDescent="0.25">
      <c r="C117" s="5"/>
      <c r="D117" s="5"/>
    </row>
    <row r="118" spans="3:4" x14ac:dyDescent="0.25">
      <c r="C118" s="5"/>
      <c r="D118" s="5"/>
    </row>
    <row r="119" spans="3:4" x14ac:dyDescent="0.25">
      <c r="C119" s="5"/>
      <c r="D119" s="5"/>
    </row>
    <row r="120" spans="3:4" x14ac:dyDescent="0.25">
      <c r="C120" s="5"/>
      <c r="D120" s="5"/>
    </row>
    <row r="121" spans="3:4" x14ac:dyDescent="0.25">
      <c r="C121" s="5"/>
      <c r="D121" s="5"/>
    </row>
    <row r="122" spans="3:4" x14ac:dyDescent="0.25">
      <c r="C122" s="5"/>
      <c r="D122" s="5"/>
    </row>
    <row r="123" spans="3:4" x14ac:dyDescent="0.25">
      <c r="C123" s="5"/>
      <c r="D123" s="5"/>
    </row>
    <row r="124" spans="3:4" x14ac:dyDescent="0.25">
      <c r="C124" s="5"/>
      <c r="D124" s="5"/>
    </row>
    <row r="125" spans="3:4" x14ac:dyDescent="0.25">
      <c r="C125" s="5"/>
      <c r="D125" s="5"/>
    </row>
    <row r="126" spans="3:4" x14ac:dyDescent="0.25">
      <c r="C126" s="5"/>
      <c r="D126" s="5"/>
    </row>
    <row r="127" spans="3:4" x14ac:dyDescent="0.25">
      <c r="C127" s="5"/>
      <c r="D127" s="5"/>
    </row>
    <row r="128" spans="3:4" x14ac:dyDescent="0.25">
      <c r="C128" s="5"/>
      <c r="D128" s="5"/>
    </row>
    <row r="129" spans="3:4" x14ac:dyDescent="0.25">
      <c r="C129" s="5"/>
      <c r="D129" s="5"/>
    </row>
    <row r="130" spans="3:4" x14ac:dyDescent="0.25">
      <c r="C130" s="5"/>
      <c r="D130" s="5"/>
    </row>
    <row r="131" spans="3:4" x14ac:dyDescent="0.25">
      <c r="C131" s="5"/>
      <c r="D131" s="5"/>
    </row>
    <row r="132" spans="3:4" x14ac:dyDescent="0.25">
      <c r="C132" s="5"/>
      <c r="D132" s="5"/>
    </row>
    <row r="133" spans="3:4" x14ac:dyDescent="0.25">
      <c r="C133" s="5"/>
      <c r="D133" s="5"/>
    </row>
    <row r="134" spans="3:4" x14ac:dyDescent="0.25">
      <c r="C134" s="5"/>
      <c r="D134" s="5"/>
    </row>
    <row r="135" spans="3:4" x14ac:dyDescent="0.25">
      <c r="C135" s="5"/>
      <c r="D135" s="5"/>
    </row>
    <row r="136" spans="3:4" x14ac:dyDescent="0.25">
      <c r="C136" s="5"/>
      <c r="D136" s="5"/>
    </row>
    <row r="137" spans="3:4" x14ac:dyDescent="0.25">
      <c r="C137" s="5"/>
      <c r="D137" s="5"/>
    </row>
    <row r="138" spans="3:4" x14ac:dyDescent="0.25">
      <c r="C138" s="5"/>
      <c r="D138" s="5"/>
    </row>
    <row r="139" spans="3:4" x14ac:dyDescent="0.25">
      <c r="C139" s="5"/>
      <c r="D139" s="5"/>
    </row>
    <row r="140" spans="3:4" x14ac:dyDescent="0.25">
      <c r="C140" s="5"/>
      <c r="D140" s="5"/>
    </row>
    <row r="141" spans="3:4" x14ac:dyDescent="0.25">
      <c r="C141" s="5"/>
      <c r="D141" s="5"/>
    </row>
    <row r="142" spans="3:4" x14ac:dyDescent="0.25">
      <c r="C142" s="5"/>
      <c r="D142" s="5"/>
    </row>
    <row r="143" spans="3:4" x14ac:dyDescent="0.25">
      <c r="C143" s="5"/>
      <c r="D143" s="5"/>
    </row>
    <row r="144" spans="3:4" x14ac:dyDescent="0.25">
      <c r="C144" s="5"/>
      <c r="D144" s="5"/>
    </row>
    <row r="145" spans="3:4" x14ac:dyDescent="0.25">
      <c r="C145" s="5"/>
      <c r="D145" s="5"/>
    </row>
    <row r="146" spans="3:4" x14ac:dyDescent="0.25">
      <c r="C146" s="5"/>
      <c r="D146" s="5"/>
    </row>
    <row r="147" spans="3:4" x14ac:dyDescent="0.25">
      <c r="C147" s="5"/>
      <c r="D147" s="5"/>
    </row>
    <row r="148" spans="3:4" x14ac:dyDescent="0.25">
      <c r="C148" s="5"/>
      <c r="D148" s="5"/>
    </row>
    <row r="149" spans="3:4" x14ac:dyDescent="0.25">
      <c r="C149" s="5"/>
      <c r="D149" s="5"/>
    </row>
    <row r="150" spans="3:4" x14ac:dyDescent="0.25">
      <c r="C150" s="5"/>
      <c r="D150" s="5"/>
    </row>
    <row r="151" spans="3:4" x14ac:dyDescent="0.25">
      <c r="C151" s="5"/>
      <c r="D151" s="5"/>
    </row>
    <row r="152" spans="3:4" x14ac:dyDescent="0.25">
      <c r="C152" s="5"/>
      <c r="D152" s="5"/>
    </row>
    <row r="153" spans="3:4" x14ac:dyDescent="0.25">
      <c r="C153" s="5"/>
      <c r="D153" s="5"/>
    </row>
    <row r="154" spans="3:4" x14ac:dyDescent="0.25">
      <c r="C154" s="5"/>
      <c r="D154" s="5"/>
    </row>
    <row r="155" spans="3:4" x14ac:dyDescent="0.25">
      <c r="C155" s="5"/>
      <c r="D155" s="5"/>
    </row>
    <row r="156" spans="3:4" x14ac:dyDescent="0.25">
      <c r="C156" s="5"/>
      <c r="D156" s="5"/>
    </row>
    <row r="157" spans="3:4" x14ac:dyDescent="0.25">
      <c r="C157" s="5"/>
      <c r="D157" s="5"/>
    </row>
    <row r="158" spans="3:4" x14ac:dyDescent="0.25">
      <c r="C158" s="5"/>
      <c r="D158" s="5"/>
    </row>
    <row r="159" spans="3:4" x14ac:dyDescent="0.25">
      <c r="C159" s="5"/>
      <c r="D159" s="5"/>
    </row>
    <row r="160" spans="3:4" x14ac:dyDescent="0.25">
      <c r="C160" s="5"/>
      <c r="D160" s="5"/>
    </row>
    <row r="161" spans="3:4" x14ac:dyDescent="0.25">
      <c r="C161" s="5"/>
      <c r="D161" s="5"/>
    </row>
    <row r="162" spans="3:4" x14ac:dyDescent="0.25">
      <c r="C162" s="5"/>
      <c r="D162" s="5"/>
    </row>
    <row r="163" spans="3:4" x14ac:dyDescent="0.25">
      <c r="C163" s="5"/>
      <c r="D163" s="5"/>
    </row>
    <row r="164" spans="3:4" x14ac:dyDescent="0.25">
      <c r="C164" s="5"/>
      <c r="D164" s="5"/>
    </row>
    <row r="165" spans="3:4" x14ac:dyDescent="0.25">
      <c r="C165" s="5"/>
      <c r="D165" s="5"/>
    </row>
    <row r="166" spans="3:4" x14ac:dyDescent="0.25">
      <c r="C166" s="5"/>
      <c r="D166" s="5"/>
    </row>
    <row r="167" spans="3:4" x14ac:dyDescent="0.25">
      <c r="C167" s="5"/>
      <c r="D167" s="5"/>
    </row>
    <row r="168" spans="3:4" x14ac:dyDescent="0.25">
      <c r="C168" s="5"/>
      <c r="D168" s="5"/>
    </row>
    <row r="169" spans="3:4" x14ac:dyDescent="0.25">
      <c r="C169" s="5"/>
      <c r="D169" s="5"/>
    </row>
    <row r="170" spans="3:4" x14ac:dyDescent="0.25">
      <c r="C170" s="5"/>
      <c r="D170" s="5"/>
    </row>
    <row r="171" spans="3:4" x14ac:dyDescent="0.25">
      <c r="C171" s="5"/>
      <c r="D171" s="5"/>
    </row>
    <row r="172" spans="3:4" x14ac:dyDescent="0.25">
      <c r="C172" s="5"/>
      <c r="D172" s="5"/>
    </row>
    <row r="173" spans="3:4" x14ac:dyDescent="0.25">
      <c r="C173" s="5"/>
      <c r="D173" s="5"/>
    </row>
    <row r="174" spans="3:4" x14ac:dyDescent="0.25">
      <c r="C174" s="5"/>
      <c r="D174" s="5"/>
    </row>
    <row r="175" spans="3:4" x14ac:dyDescent="0.25">
      <c r="C175" s="5"/>
      <c r="D175" s="5"/>
    </row>
    <row r="176" spans="3:4" x14ac:dyDescent="0.25">
      <c r="C176" s="5"/>
      <c r="D176" s="5"/>
    </row>
    <row r="177" spans="3:4" x14ac:dyDescent="0.25">
      <c r="C177" s="5"/>
      <c r="D177" s="5"/>
    </row>
    <row r="178" spans="3:4" x14ac:dyDescent="0.25">
      <c r="C178" s="5"/>
      <c r="D178" s="5"/>
    </row>
    <row r="179" spans="3:4" x14ac:dyDescent="0.25">
      <c r="C179" s="5"/>
      <c r="D179" s="5"/>
    </row>
    <row r="180" spans="3:4" x14ac:dyDescent="0.25">
      <c r="C180" s="5"/>
      <c r="D180" s="5"/>
    </row>
    <row r="181" spans="3:4" x14ac:dyDescent="0.25">
      <c r="C181" s="5"/>
      <c r="D181" s="5"/>
    </row>
    <row r="182" spans="3:4" x14ac:dyDescent="0.25">
      <c r="C182" s="5"/>
      <c r="D182" s="5"/>
    </row>
    <row r="183" spans="3:4" x14ac:dyDescent="0.25">
      <c r="C183" s="5"/>
      <c r="D183" s="5"/>
    </row>
    <row r="184" spans="3:4" x14ac:dyDescent="0.25">
      <c r="C184" s="5"/>
      <c r="D184" s="5"/>
    </row>
    <row r="185" spans="3:4" x14ac:dyDescent="0.25">
      <c r="C185" s="5"/>
      <c r="D185" s="5"/>
    </row>
    <row r="186" spans="3:4" x14ac:dyDescent="0.25">
      <c r="C186" s="5"/>
      <c r="D186" s="5"/>
    </row>
    <row r="187" spans="3:4" x14ac:dyDescent="0.25">
      <c r="C187" s="5"/>
      <c r="D187" s="5"/>
    </row>
    <row r="188" spans="3:4" x14ac:dyDescent="0.25">
      <c r="C188" s="5"/>
      <c r="D188" s="5"/>
    </row>
  </sheetData>
  <mergeCells count="2">
    <mergeCell ref="F40:H40"/>
    <mergeCell ref="F46:H46"/>
  </mergeCells>
  <pageMargins left="0.7" right="0.7" top="0.75" bottom="0.75" header="0.3" footer="0.3"/>
  <pageSetup orientation="portrait" horizontalDpi="4294967293" verticalDpi="4294967293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1"/>
  <sheetViews>
    <sheetView zoomScaleNormal="100" workbookViewId="0">
      <selection activeCell="Q12" sqref="Q12"/>
    </sheetView>
  </sheetViews>
  <sheetFormatPr baseColWidth="10" defaultColWidth="9.140625" defaultRowHeight="15" x14ac:dyDescent="0.25"/>
  <cols>
    <col min="3" max="3" width="39.140625" bestFit="1" customWidth="1"/>
    <col min="10" max="10" width="12.5703125" bestFit="1" customWidth="1"/>
  </cols>
  <sheetData>
    <row r="1" spans="1:13" x14ac:dyDescent="0.25">
      <c r="A1" s="2">
        <v>1</v>
      </c>
      <c r="B1" s="2" t="s">
        <v>78</v>
      </c>
      <c r="C1" s="2"/>
      <c r="D1" s="2"/>
      <c r="E1" s="2"/>
      <c r="F1" s="2"/>
    </row>
    <row r="2" spans="1:13" x14ac:dyDescent="0.25">
      <c r="A2" s="2"/>
      <c r="B2" s="2" t="s">
        <v>79</v>
      </c>
      <c r="C2" s="2"/>
      <c r="D2" s="2"/>
      <c r="E2" s="2"/>
      <c r="F2" s="2" t="s">
        <v>158</v>
      </c>
    </row>
    <row r="3" spans="1:13" x14ac:dyDescent="0.25">
      <c r="A3" s="2"/>
      <c r="B3" s="2" t="s">
        <v>80</v>
      </c>
      <c r="C3" s="2"/>
      <c r="D3" s="2"/>
      <c r="E3" s="2"/>
      <c r="F3" s="2"/>
      <c r="L3" t="s">
        <v>159</v>
      </c>
    </row>
    <row r="4" spans="1:13" x14ac:dyDescent="0.25">
      <c r="A4" s="2"/>
      <c r="B4" s="2" t="s">
        <v>81</v>
      </c>
      <c r="C4" s="2"/>
      <c r="D4" s="2"/>
      <c r="E4" s="2"/>
      <c r="F4" s="2" t="s">
        <v>160</v>
      </c>
    </row>
    <row r="5" spans="1:13" x14ac:dyDescent="0.25">
      <c r="A5" s="2"/>
      <c r="B5" s="2" t="s">
        <v>82</v>
      </c>
      <c r="C5" s="2"/>
      <c r="D5" s="2"/>
      <c r="E5" s="2"/>
      <c r="F5" s="2"/>
      <c r="G5" t="s">
        <v>161</v>
      </c>
    </row>
    <row r="6" spans="1:13" x14ac:dyDescent="0.25">
      <c r="A6" s="2"/>
      <c r="B6" s="2"/>
      <c r="C6" s="2"/>
      <c r="D6" s="2"/>
      <c r="E6" s="2"/>
      <c r="F6" s="2"/>
    </row>
    <row r="7" spans="1:13" x14ac:dyDescent="0.25">
      <c r="A7" s="2"/>
      <c r="B7" s="2"/>
      <c r="C7" s="2"/>
      <c r="D7" s="2"/>
      <c r="E7" s="2"/>
      <c r="F7" s="2"/>
      <c r="K7">
        <v>2014</v>
      </c>
      <c r="L7">
        <v>2013</v>
      </c>
      <c r="M7">
        <v>2012</v>
      </c>
    </row>
    <row r="8" spans="1:13" x14ac:dyDescent="0.25">
      <c r="A8" s="2"/>
      <c r="C8" s="2"/>
      <c r="D8" s="2"/>
      <c r="E8" s="1">
        <v>2014</v>
      </c>
      <c r="F8" s="1">
        <v>2013</v>
      </c>
      <c r="G8" s="1">
        <v>2012</v>
      </c>
      <c r="J8" t="s">
        <v>128</v>
      </c>
      <c r="K8">
        <f>E18/E10</f>
        <v>0.22362399505256647</v>
      </c>
      <c r="L8">
        <f t="shared" ref="L8:M8" si="0">F18/F10</f>
        <v>0.19863354037267081</v>
      </c>
      <c r="M8">
        <f t="shared" si="0"/>
        <v>0.22</v>
      </c>
    </row>
    <row r="9" spans="1:13" x14ac:dyDescent="0.25">
      <c r="A9" s="2"/>
      <c r="C9" s="2" t="s">
        <v>94</v>
      </c>
      <c r="D9" s="9"/>
      <c r="E9" s="5">
        <f>F9*1.05</f>
        <v>11025</v>
      </c>
      <c r="F9" s="5">
        <v>10500</v>
      </c>
      <c r="G9" s="5">
        <v>10000</v>
      </c>
    </row>
    <row r="10" spans="1:13" x14ac:dyDescent="0.25">
      <c r="A10" s="2"/>
      <c r="C10" s="1" t="s">
        <v>83</v>
      </c>
      <c r="D10" s="10"/>
      <c r="E10" s="7">
        <v>12127.5</v>
      </c>
      <c r="F10" s="7">
        <v>12075</v>
      </c>
      <c r="G10" s="7">
        <v>10000</v>
      </c>
    </row>
    <row r="11" spans="1:13" x14ac:dyDescent="0.25">
      <c r="A11" s="2"/>
      <c r="C11" s="2" t="s">
        <v>84</v>
      </c>
      <c r="D11" s="10"/>
      <c r="E11" s="5">
        <v>5612.5</v>
      </c>
      <c r="F11" s="5">
        <v>6300</v>
      </c>
      <c r="G11" s="5">
        <v>4000</v>
      </c>
    </row>
    <row r="12" spans="1:13" x14ac:dyDescent="0.25">
      <c r="A12" s="2"/>
      <c r="C12" s="1" t="s">
        <v>85</v>
      </c>
      <c r="D12" s="1"/>
      <c r="E12" s="7">
        <f>E10-E11</f>
        <v>6515</v>
      </c>
      <c r="F12" s="7">
        <f>F10-F11</f>
        <v>5775</v>
      </c>
      <c r="G12" s="7">
        <f>G10-G11</f>
        <v>6000</v>
      </c>
    </row>
    <row r="13" spans="1:13" x14ac:dyDescent="0.25">
      <c r="A13" s="2"/>
      <c r="C13" s="2" t="s">
        <v>86</v>
      </c>
      <c r="D13" s="2"/>
      <c r="E13" s="5">
        <v>2800</v>
      </c>
      <c r="F13" s="5">
        <v>2500</v>
      </c>
      <c r="G13" s="5">
        <v>3000</v>
      </c>
    </row>
    <row r="14" spans="1:13" x14ac:dyDescent="0.25">
      <c r="A14" s="2"/>
      <c r="C14" s="1" t="s">
        <v>87</v>
      </c>
      <c r="D14" s="1"/>
      <c r="E14" s="7">
        <f>E12-E13</f>
        <v>3715</v>
      </c>
      <c r="F14" s="7">
        <f>F12-F13</f>
        <v>3275</v>
      </c>
      <c r="G14" s="7">
        <f>G12-G13</f>
        <v>3000</v>
      </c>
    </row>
    <row r="15" spans="1:13" x14ac:dyDescent="0.25">
      <c r="A15" s="2"/>
      <c r="C15" s="2" t="s">
        <v>88</v>
      </c>
      <c r="D15" s="2"/>
      <c r="E15" s="5">
        <v>300</v>
      </c>
      <c r="F15" s="5">
        <v>350</v>
      </c>
      <c r="G15" s="5">
        <v>250</v>
      </c>
    </row>
    <row r="16" spans="1:13" x14ac:dyDescent="0.25">
      <c r="A16" s="2"/>
      <c r="C16" s="1" t="s">
        <v>89</v>
      </c>
      <c r="D16" s="1"/>
      <c r="E16" s="7">
        <f>E14-E15</f>
        <v>3415</v>
      </c>
      <c r="F16" s="7">
        <f t="shared" ref="F16:G16" si="1">F14-F15</f>
        <v>2925</v>
      </c>
      <c r="G16" s="7">
        <f t="shared" si="1"/>
        <v>2750</v>
      </c>
    </row>
    <row r="17" spans="1:7" x14ac:dyDescent="0.25">
      <c r="A17" s="2"/>
      <c r="C17" s="2" t="s">
        <v>90</v>
      </c>
      <c r="D17" s="2"/>
      <c r="E17" s="5">
        <v>703</v>
      </c>
      <c r="F17" s="5">
        <v>526.5</v>
      </c>
      <c r="G17" s="5">
        <v>550</v>
      </c>
    </row>
    <row r="18" spans="1:7" x14ac:dyDescent="0.25">
      <c r="A18" s="2"/>
      <c r="C18" s="1" t="s">
        <v>91</v>
      </c>
      <c r="D18" s="1"/>
      <c r="E18" s="7">
        <f>E16-E17</f>
        <v>2712</v>
      </c>
      <c r="F18" s="7">
        <f t="shared" ref="F18:G18" si="2">F16-F17</f>
        <v>2398.5</v>
      </c>
      <c r="G18" s="7">
        <f t="shared" si="2"/>
        <v>2200</v>
      </c>
    </row>
    <row r="19" spans="1:7" x14ac:dyDescent="0.25">
      <c r="A19" s="2"/>
      <c r="C19" s="1"/>
      <c r="D19" s="1"/>
      <c r="E19" s="7"/>
      <c r="F19" s="7"/>
      <c r="G19" s="7"/>
    </row>
    <row r="20" spans="1:7" x14ac:dyDescent="0.25">
      <c r="A20" s="2"/>
      <c r="C20" s="2" t="s">
        <v>92</v>
      </c>
      <c r="D20" s="2"/>
      <c r="E20" s="5">
        <v>600</v>
      </c>
      <c r="F20" s="5">
        <v>500</v>
      </c>
      <c r="G20" s="5">
        <v>500</v>
      </c>
    </row>
    <row r="21" spans="1:7" x14ac:dyDescent="0.25">
      <c r="A21" s="2"/>
      <c r="C21" s="2" t="s">
        <v>93</v>
      </c>
      <c r="D21" s="2"/>
      <c r="E21" s="2">
        <v>50</v>
      </c>
      <c r="F21" s="2">
        <v>50</v>
      </c>
      <c r="G21" s="2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9"/>
  <sheetViews>
    <sheetView tabSelected="1" topLeftCell="A13" workbookViewId="0">
      <selection activeCell="E20" sqref="E20:G43"/>
    </sheetView>
  </sheetViews>
  <sheetFormatPr baseColWidth="10" defaultColWidth="9.140625" defaultRowHeight="15" x14ac:dyDescent="0.25"/>
  <cols>
    <col min="3" max="3" width="41.140625" bestFit="1" customWidth="1"/>
    <col min="8" max="8" width="16.85546875" bestFit="1" customWidth="1"/>
  </cols>
  <sheetData>
    <row r="1" spans="1:8" x14ac:dyDescent="0.25">
      <c r="A1" s="1">
        <v>1</v>
      </c>
      <c r="B1" s="2" t="s">
        <v>99</v>
      </c>
      <c r="C1" s="11"/>
      <c r="D1" s="11"/>
      <c r="E1" s="3"/>
      <c r="F1" s="3"/>
      <c r="G1" s="3"/>
    </row>
    <row r="2" spans="1:8" x14ac:dyDescent="0.25">
      <c r="A2" s="2"/>
      <c r="C2" s="12"/>
      <c r="D2" s="13" t="s">
        <v>100</v>
      </c>
      <c r="E2" s="14" t="s">
        <v>101</v>
      </c>
      <c r="F2" s="15" t="s">
        <v>102</v>
      </c>
      <c r="G2" s="15" t="s">
        <v>103</v>
      </c>
      <c r="H2" s="15" t="s">
        <v>104</v>
      </c>
    </row>
    <row r="3" spans="1:8" x14ac:dyDescent="0.25">
      <c r="A3" s="2"/>
      <c r="C3" s="12" t="s">
        <v>105</v>
      </c>
      <c r="D3" s="15">
        <v>1000</v>
      </c>
      <c r="E3" s="14" t="s">
        <v>101</v>
      </c>
      <c r="F3" s="15">
        <v>0</v>
      </c>
      <c r="G3" s="15">
        <v>1000</v>
      </c>
      <c r="H3" s="15">
        <f>D3/G3</f>
        <v>1</v>
      </c>
    </row>
    <row r="4" spans="1:8" x14ac:dyDescent="0.25">
      <c r="A4" s="2"/>
      <c r="C4" s="16" t="s">
        <v>106</v>
      </c>
      <c r="D4" s="15">
        <v>1500</v>
      </c>
      <c r="E4" s="14" t="s">
        <v>101</v>
      </c>
      <c r="F4" s="15">
        <v>500</v>
      </c>
      <c r="G4" s="15">
        <v>1000</v>
      </c>
      <c r="H4" s="15">
        <f>D4/G4</f>
        <v>1.5</v>
      </c>
    </row>
    <row r="5" spans="1:8" x14ac:dyDescent="0.25">
      <c r="A5" s="2"/>
      <c r="C5" s="16" t="s">
        <v>107</v>
      </c>
      <c r="D5" s="15">
        <v>2500</v>
      </c>
      <c r="E5" s="14" t="s">
        <v>101</v>
      </c>
      <c r="F5" s="15">
        <v>1500</v>
      </c>
      <c r="G5" s="15">
        <f>G4</f>
        <v>1000</v>
      </c>
      <c r="H5" s="15">
        <f>D5/G5</f>
        <v>2.5</v>
      </c>
    </row>
    <row r="6" spans="1:8" x14ac:dyDescent="0.25">
      <c r="A6" s="2"/>
      <c r="B6" s="2"/>
      <c r="C6" s="3"/>
      <c r="D6" s="3"/>
      <c r="E6" s="3"/>
      <c r="F6" s="3"/>
      <c r="G6" s="3"/>
    </row>
    <row r="7" spans="1:8" ht="15.75" x14ac:dyDescent="0.3">
      <c r="A7" s="1">
        <v>2</v>
      </c>
      <c r="B7" s="17" t="s">
        <v>108</v>
      </c>
      <c r="C7" s="3"/>
      <c r="D7" s="3"/>
      <c r="E7" s="3"/>
      <c r="F7" s="3"/>
      <c r="G7" s="3"/>
    </row>
    <row r="8" spans="1:8" ht="15.75" x14ac:dyDescent="0.3">
      <c r="A8" s="27" t="s">
        <v>109</v>
      </c>
      <c r="B8" s="17" t="s">
        <v>110</v>
      </c>
      <c r="C8" s="3"/>
      <c r="D8" s="3"/>
      <c r="E8" s="3"/>
      <c r="F8" s="3"/>
      <c r="G8" s="3"/>
    </row>
    <row r="9" spans="1:8" ht="15.75" x14ac:dyDescent="0.3">
      <c r="A9" s="27"/>
      <c r="B9" s="17" t="s">
        <v>111</v>
      </c>
      <c r="C9" s="3"/>
      <c r="D9" s="3"/>
      <c r="E9" s="3"/>
      <c r="F9" s="3"/>
      <c r="G9" s="3"/>
    </row>
    <row r="10" spans="1:8" ht="15.75" x14ac:dyDescent="0.3">
      <c r="A10" s="27"/>
      <c r="B10" s="17" t="s">
        <v>112</v>
      </c>
      <c r="C10" s="3"/>
      <c r="D10" s="3"/>
      <c r="E10" s="3"/>
      <c r="F10" s="3"/>
      <c r="G10" s="3"/>
    </row>
    <row r="11" spans="1:8" ht="15.75" x14ac:dyDescent="0.3">
      <c r="A11" s="27" t="s">
        <v>113</v>
      </c>
      <c r="B11" s="17" t="s">
        <v>114</v>
      </c>
      <c r="C11" s="3"/>
      <c r="D11" s="3"/>
      <c r="E11" s="3"/>
      <c r="F11" s="3"/>
      <c r="G11" s="3"/>
    </row>
    <row r="12" spans="1:8" x14ac:dyDescent="0.25">
      <c r="A12" s="28"/>
      <c r="B12" s="2"/>
      <c r="C12" s="3"/>
      <c r="D12" s="3"/>
      <c r="E12" s="3"/>
      <c r="F12" s="3"/>
      <c r="G12" s="3"/>
    </row>
    <row r="13" spans="1:8" x14ac:dyDescent="0.25">
      <c r="A13" s="29" t="s">
        <v>109</v>
      </c>
      <c r="C13" s="12"/>
      <c r="D13" s="15"/>
      <c r="E13" s="18"/>
      <c r="F13" s="15" t="s">
        <v>115</v>
      </c>
      <c r="G13" s="15" t="s">
        <v>116</v>
      </c>
    </row>
    <row r="14" spans="1:8" x14ac:dyDescent="0.25">
      <c r="A14" s="2"/>
      <c r="C14" s="12" t="s">
        <v>83</v>
      </c>
      <c r="D14" s="15"/>
      <c r="E14" s="18">
        <v>10000</v>
      </c>
      <c r="F14" s="18">
        <f>E14*2</f>
        <v>20000</v>
      </c>
      <c r="G14" s="18">
        <f>F14</f>
        <v>20000</v>
      </c>
    </row>
    <row r="15" spans="1:8" x14ac:dyDescent="0.25">
      <c r="A15" s="2"/>
      <c r="C15" s="12" t="s">
        <v>117</v>
      </c>
      <c r="D15" s="19">
        <v>0.48</v>
      </c>
      <c r="E15" s="18">
        <f>E14*D15</f>
        <v>4800</v>
      </c>
      <c r="F15" s="18">
        <f>F14*$D$15</f>
        <v>9600</v>
      </c>
      <c r="G15" s="18">
        <f>G14*$D$15</f>
        <v>9600</v>
      </c>
    </row>
    <row r="16" spans="1:8" x14ac:dyDescent="0.25">
      <c r="A16" s="2"/>
      <c r="C16" s="20" t="s">
        <v>85</v>
      </c>
      <c r="D16" s="21"/>
      <c r="E16" s="22">
        <f>E14-E15</f>
        <v>5200</v>
      </c>
      <c r="F16" s="22">
        <f>F14-F15</f>
        <v>10400</v>
      </c>
      <c r="G16" s="22">
        <f>G14-G15</f>
        <v>10400</v>
      </c>
    </row>
    <row r="17" spans="1:7" x14ac:dyDescent="0.25">
      <c r="A17" s="2"/>
      <c r="C17" s="12" t="s">
        <v>118</v>
      </c>
      <c r="D17" s="19">
        <v>0.15</v>
      </c>
      <c r="E17" s="18">
        <f>$D$17*E14</f>
        <v>1500</v>
      </c>
      <c r="F17" s="18">
        <f t="shared" ref="F17:G17" si="0">$D$17*F14</f>
        <v>3000</v>
      </c>
      <c r="G17" s="18">
        <f t="shared" si="0"/>
        <v>3000</v>
      </c>
    </row>
    <row r="18" spans="1:7" x14ac:dyDescent="0.25">
      <c r="A18" s="2"/>
      <c r="C18" s="12" t="s">
        <v>119</v>
      </c>
      <c r="D18" s="19"/>
      <c r="E18" s="18">
        <v>1500</v>
      </c>
      <c r="F18" s="18">
        <v>1500</v>
      </c>
      <c r="G18" s="18">
        <v>1500</v>
      </c>
    </row>
    <row r="19" spans="1:7" x14ac:dyDescent="0.25">
      <c r="A19" s="2"/>
      <c r="C19" s="20" t="s">
        <v>87</v>
      </c>
      <c r="D19" s="15"/>
      <c r="E19" s="22">
        <f>E16-E17-E18</f>
        <v>2200</v>
      </c>
      <c r="F19" s="22">
        <f t="shared" ref="F19:G19" si="1">F16-F17-F18</f>
        <v>5900</v>
      </c>
      <c r="G19" s="22">
        <f t="shared" si="1"/>
        <v>5900</v>
      </c>
    </row>
    <row r="20" spans="1:7" x14ac:dyDescent="0.25">
      <c r="A20" s="2"/>
      <c r="C20" s="12" t="s">
        <v>88</v>
      </c>
      <c r="D20" s="15"/>
      <c r="E20" s="15">
        <v>0</v>
      </c>
      <c r="F20" s="15">
        <v>0</v>
      </c>
      <c r="G20" s="15">
        <f>(E29*0.05)</f>
        <v>1500</v>
      </c>
    </row>
    <row r="21" spans="1:7" x14ac:dyDescent="0.25">
      <c r="A21" s="2"/>
      <c r="C21" s="20" t="s">
        <v>120</v>
      </c>
      <c r="D21" s="15"/>
      <c r="E21" s="22">
        <f>E19-E20</f>
        <v>2200</v>
      </c>
      <c r="F21" s="22">
        <f t="shared" ref="F21:G21" si="2">F19-F20</f>
        <v>5900</v>
      </c>
      <c r="G21" s="22">
        <f t="shared" si="2"/>
        <v>4400</v>
      </c>
    </row>
    <row r="22" spans="1:7" x14ac:dyDescent="0.25">
      <c r="A22" s="2"/>
      <c r="C22" s="12" t="s">
        <v>90</v>
      </c>
      <c r="D22" s="19">
        <v>0.25</v>
      </c>
      <c r="E22" s="15">
        <f>$D$22*E21</f>
        <v>550</v>
      </c>
      <c r="F22" s="15">
        <f t="shared" ref="F22:G22" si="3">$D$22*F21</f>
        <v>1475</v>
      </c>
      <c r="G22" s="15">
        <f t="shared" si="3"/>
        <v>1100</v>
      </c>
    </row>
    <row r="23" spans="1:7" x14ac:dyDescent="0.25">
      <c r="A23" s="2"/>
      <c r="C23" s="20" t="s">
        <v>91</v>
      </c>
      <c r="D23" s="15"/>
      <c r="E23" s="22">
        <f>E21-E22</f>
        <v>1650</v>
      </c>
      <c r="F23" s="22">
        <f t="shared" ref="F23:G23" si="4">F21-F22</f>
        <v>4425</v>
      </c>
      <c r="G23" s="22">
        <f t="shared" si="4"/>
        <v>3300</v>
      </c>
    </row>
    <row r="24" spans="1:7" x14ac:dyDescent="0.25">
      <c r="A24" s="2"/>
      <c r="C24" s="2"/>
      <c r="D24" s="3"/>
      <c r="E24" s="3"/>
      <c r="F24" s="3"/>
      <c r="G24" s="3"/>
    </row>
    <row r="25" spans="1:7" x14ac:dyDescent="0.25">
      <c r="A25" s="2"/>
      <c r="C25" s="20" t="s">
        <v>121</v>
      </c>
      <c r="D25" s="15"/>
      <c r="E25" s="22">
        <f>E19+E18</f>
        <v>3700</v>
      </c>
      <c r="F25" s="22">
        <f t="shared" ref="F25:G25" si="5">F19+F18</f>
        <v>7400</v>
      </c>
      <c r="G25" s="22">
        <f t="shared" si="5"/>
        <v>7400</v>
      </c>
    </row>
    <row r="26" spans="1:7" x14ac:dyDescent="0.25">
      <c r="A26" s="2"/>
      <c r="C26" s="20" t="s">
        <v>122</v>
      </c>
      <c r="D26" s="15"/>
      <c r="E26" s="22">
        <f>E19</f>
        <v>2200</v>
      </c>
      <c r="F26" s="22">
        <f t="shared" ref="F26:G26" si="6">F19</f>
        <v>5900</v>
      </c>
      <c r="G26" s="22">
        <f t="shared" si="6"/>
        <v>5900</v>
      </c>
    </row>
    <row r="27" spans="1:7" x14ac:dyDescent="0.25">
      <c r="A27" s="2"/>
      <c r="C27" s="20" t="s">
        <v>123</v>
      </c>
      <c r="D27" s="15"/>
      <c r="E27" s="22">
        <f>E19-E22</f>
        <v>1650</v>
      </c>
      <c r="F27" s="22">
        <f t="shared" ref="F27:G27" si="7">F19-F22</f>
        <v>4425</v>
      </c>
      <c r="G27" s="22">
        <f t="shared" si="7"/>
        <v>4800</v>
      </c>
    </row>
    <row r="28" spans="1:7" x14ac:dyDescent="0.25">
      <c r="A28" s="2"/>
      <c r="C28" s="2"/>
      <c r="D28" s="3"/>
      <c r="E28" s="3"/>
      <c r="F28" s="3"/>
      <c r="G28" s="3"/>
    </row>
    <row r="29" spans="1:7" x14ac:dyDescent="0.25">
      <c r="A29" s="2"/>
      <c r="C29" s="12" t="s">
        <v>100</v>
      </c>
      <c r="D29" s="15"/>
      <c r="E29" s="18">
        <v>30000</v>
      </c>
      <c r="F29" s="18">
        <f>E29*2</f>
        <v>60000</v>
      </c>
      <c r="G29" s="18">
        <f>F29</f>
        <v>60000</v>
      </c>
    </row>
    <row r="30" spans="1:7" x14ac:dyDescent="0.25">
      <c r="A30" s="2"/>
      <c r="C30" s="12" t="s">
        <v>124</v>
      </c>
      <c r="D30" s="15"/>
      <c r="E30" s="18">
        <v>0</v>
      </c>
      <c r="F30" s="18">
        <f>E30</f>
        <v>0</v>
      </c>
      <c r="G30" s="18">
        <f>E29</f>
        <v>30000</v>
      </c>
    </row>
    <row r="31" spans="1:7" x14ac:dyDescent="0.25">
      <c r="A31" s="2"/>
      <c r="C31" s="12" t="s">
        <v>103</v>
      </c>
      <c r="D31" s="15"/>
      <c r="E31" s="18">
        <f>E29</f>
        <v>30000</v>
      </c>
      <c r="F31" s="18">
        <f>E30</f>
        <v>0</v>
      </c>
      <c r="G31" s="18">
        <f>E31</f>
        <v>30000</v>
      </c>
    </row>
    <row r="32" spans="1:7" x14ac:dyDescent="0.25">
      <c r="A32" s="2"/>
      <c r="C32" s="2"/>
      <c r="D32" s="3"/>
      <c r="E32" s="6"/>
      <c r="F32" s="6"/>
      <c r="G32" s="6"/>
    </row>
    <row r="33" spans="1:7" x14ac:dyDescent="0.25">
      <c r="A33" s="2"/>
      <c r="C33" s="12" t="s">
        <v>125</v>
      </c>
      <c r="D33" s="15"/>
      <c r="E33" s="23">
        <f>E23/E31</f>
        <v>5.5E-2</v>
      </c>
      <c r="F33" s="23" t="e">
        <f>F23/F31</f>
        <v>#DIV/0!</v>
      </c>
      <c r="G33" s="23">
        <f t="shared" ref="G33" si="8">G23/G31</f>
        <v>0.11</v>
      </c>
    </row>
    <row r="34" spans="1:7" x14ac:dyDescent="0.25">
      <c r="A34" s="2"/>
      <c r="C34" s="12" t="s">
        <v>126</v>
      </c>
      <c r="D34" s="15"/>
      <c r="E34" s="23">
        <f>E23/E29</f>
        <v>5.5E-2</v>
      </c>
      <c r="F34" s="23">
        <f t="shared" ref="F34:G34" si="9">F23/F29</f>
        <v>7.3749999999999996E-2</v>
      </c>
      <c r="G34" s="23">
        <f t="shared" si="9"/>
        <v>5.5E-2</v>
      </c>
    </row>
    <row r="35" spans="1:7" x14ac:dyDescent="0.25">
      <c r="A35" s="2"/>
      <c r="C35" s="12" t="s">
        <v>127</v>
      </c>
      <c r="D35" s="15"/>
      <c r="E35" s="23">
        <f>E27/E29</f>
        <v>5.5E-2</v>
      </c>
      <c r="F35" s="23">
        <f t="shared" ref="F35:G35" si="10">F27/F29</f>
        <v>7.3749999999999996E-2</v>
      </c>
      <c r="G35" s="23">
        <f t="shared" si="10"/>
        <v>0.08</v>
      </c>
    </row>
    <row r="36" spans="1:7" x14ac:dyDescent="0.25">
      <c r="A36" s="2"/>
      <c r="C36" s="2"/>
      <c r="D36" s="3"/>
      <c r="E36" s="3"/>
      <c r="F36" s="3"/>
      <c r="G36" s="3"/>
    </row>
    <row r="37" spans="1:7" x14ac:dyDescent="0.25">
      <c r="A37" s="2"/>
      <c r="C37" s="12" t="s">
        <v>128</v>
      </c>
      <c r="D37" s="15"/>
      <c r="E37" s="23">
        <f>E23/E14</f>
        <v>0.16500000000000001</v>
      </c>
      <c r="F37" s="23">
        <f t="shared" ref="F37:G37" si="11">F23/F14</f>
        <v>0.22125</v>
      </c>
      <c r="G37" s="23">
        <f t="shared" si="11"/>
        <v>0.16500000000000001</v>
      </c>
    </row>
    <row r="38" spans="1:7" x14ac:dyDescent="0.25">
      <c r="A38" s="2"/>
      <c r="C38" s="12" t="s">
        <v>129</v>
      </c>
      <c r="D38" s="15"/>
      <c r="E38" s="24">
        <f>E14/E29</f>
        <v>0.33333333333333331</v>
      </c>
      <c r="F38" s="24">
        <f t="shared" ref="F38:G38" si="12">F14/F29</f>
        <v>0.33333333333333331</v>
      </c>
      <c r="G38" s="24">
        <f t="shared" si="12"/>
        <v>0.33333333333333331</v>
      </c>
    </row>
    <row r="39" spans="1:7" x14ac:dyDescent="0.25">
      <c r="A39" s="2"/>
      <c r="C39" s="12" t="s">
        <v>104</v>
      </c>
      <c r="D39" s="15"/>
      <c r="E39" s="15">
        <f>E29/E31</f>
        <v>1</v>
      </c>
      <c r="F39" s="15" t="e">
        <f t="shared" ref="F39:G39" si="13">F29/F31</f>
        <v>#DIV/0!</v>
      </c>
      <c r="G39" s="15">
        <f t="shared" si="13"/>
        <v>2</v>
      </c>
    </row>
    <row r="40" spans="1:7" x14ac:dyDescent="0.25">
      <c r="A40" s="2"/>
      <c r="C40" s="20" t="s">
        <v>125</v>
      </c>
      <c r="D40" s="21"/>
      <c r="E40" s="25">
        <f>E37*E38*E39</f>
        <v>5.5E-2</v>
      </c>
      <c r="F40" s="25" t="e">
        <f t="shared" ref="F40:G40" si="14">F37*F38*F39</f>
        <v>#DIV/0!</v>
      </c>
      <c r="G40" s="25">
        <f t="shared" si="14"/>
        <v>0.11</v>
      </c>
    </row>
    <row r="41" spans="1:7" x14ac:dyDescent="0.25">
      <c r="A41" s="2"/>
      <c r="C41" s="2"/>
      <c r="D41" s="3"/>
      <c r="E41" s="3"/>
      <c r="F41" s="3"/>
      <c r="G41" s="3"/>
    </row>
    <row r="42" spans="1:7" x14ac:dyDescent="0.25">
      <c r="A42" s="2"/>
      <c r="C42" s="20" t="s">
        <v>130</v>
      </c>
      <c r="D42" s="15"/>
      <c r="E42" s="19">
        <f>E30/E29</f>
        <v>0</v>
      </c>
      <c r="F42" s="19">
        <f t="shared" ref="F42:G42" si="15">F30/F29</f>
        <v>0</v>
      </c>
      <c r="G42" s="19">
        <f t="shared" si="15"/>
        <v>0.5</v>
      </c>
    </row>
    <row r="43" spans="1:7" x14ac:dyDescent="0.25">
      <c r="A43" s="2"/>
      <c r="C43" s="20" t="s">
        <v>131</v>
      </c>
      <c r="D43" s="15"/>
      <c r="E43" s="15" t="e">
        <f>E26/E20</f>
        <v>#DIV/0!</v>
      </c>
      <c r="F43" s="15" t="e">
        <f t="shared" ref="F43:G43" si="16">F26/F20</f>
        <v>#DIV/0!</v>
      </c>
      <c r="G43" s="15">
        <f t="shared" si="16"/>
        <v>3.9333333333333331</v>
      </c>
    </row>
    <row r="44" spans="1:7" x14ac:dyDescent="0.25">
      <c r="A44" s="2"/>
      <c r="C44" s="20" t="s">
        <v>132</v>
      </c>
      <c r="D44" s="15"/>
      <c r="E44" s="15"/>
      <c r="F44" s="15"/>
      <c r="G44" s="24"/>
    </row>
    <row r="45" spans="1:7" x14ac:dyDescent="0.25">
      <c r="A45" s="2"/>
      <c r="B45" s="1"/>
      <c r="C45" s="3"/>
      <c r="D45" s="3"/>
      <c r="E45" s="3"/>
      <c r="F45" s="26"/>
      <c r="G45" s="3"/>
    </row>
    <row r="46" spans="1:7" x14ac:dyDescent="0.25">
      <c r="A46" s="1" t="s">
        <v>113</v>
      </c>
      <c r="B46" s="2" t="s">
        <v>133</v>
      </c>
      <c r="C46" s="3"/>
      <c r="D46" s="3"/>
      <c r="E46" s="3"/>
      <c r="F46" s="3"/>
      <c r="G46" s="3"/>
    </row>
    <row r="47" spans="1:7" x14ac:dyDescent="0.25">
      <c r="A47" s="2"/>
      <c r="C47" s="1" t="s">
        <v>134</v>
      </c>
      <c r="D47" s="3"/>
      <c r="E47" s="3"/>
      <c r="F47" s="26"/>
      <c r="G47" s="3"/>
    </row>
    <row r="48" spans="1:7" x14ac:dyDescent="0.25">
      <c r="A48" s="2"/>
      <c r="C48" s="2" t="s">
        <v>135</v>
      </c>
      <c r="D48" s="3"/>
      <c r="E48" s="3"/>
      <c r="F48" s="6"/>
      <c r="G48" s="3"/>
    </row>
    <row r="49" spans="1:7" x14ac:dyDescent="0.25">
      <c r="A49" s="2"/>
      <c r="C49" s="2" t="s">
        <v>136</v>
      </c>
      <c r="D49" s="3"/>
      <c r="E49" s="3"/>
      <c r="F49" s="6"/>
      <c r="G49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7"/>
  <sheetViews>
    <sheetView workbookViewId="0">
      <selection activeCell="J13" sqref="J13"/>
    </sheetView>
  </sheetViews>
  <sheetFormatPr baseColWidth="10" defaultColWidth="9.140625" defaultRowHeight="15" x14ac:dyDescent="0.25"/>
  <cols>
    <col min="2" max="2" width="12.140625" customWidth="1"/>
    <col min="3" max="3" width="17.140625" customWidth="1"/>
  </cols>
  <sheetData>
    <row r="1" spans="1:13" x14ac:dyDescent="0.25">
      <c r="A1" s="2">
        <v>1</v>
      </c>
      <c r="B1" s="2" t="s">
        <v>95</v>
      </c>
      <c r="C1" s="2"/>
    </row>
    <row r="2" spans="1:13" x14ac:dyDescent="0.25">
      <c r="A2" s="2"/>
      <c r="B2" s="2" t="s">
        <v>96</v>
      </c>
      <c r="C2" s="2"/>
      <c r="F2" t="s">
        <v>163</v>
      </c>
    </row>
    <row r="3" spans="1:13" x14ac:dyDescent="0.25">
      <c r="A3" s="2"/>
      <c r="B3" s="2" t="s">
        <v>97</v>
      </c>
      <c r="C3" s="2"/>
      <c r="F3" t="s">
        <v>163</v>
      </c>
    </row>
    <row r="4" spans="1:13" x14ac:dyDescent="0.25">
      <c r="A4" s="2"/>
      <c r="B4" s="2" t="s">
        <v>98</v>
      </c>
      <c r="C4" s="2"/>
      <c r="E4" t="s">
        <v>162</v>
      </c>
    </row>
    <row r="6" spans="1:13" x14ac:dyDescent="0.25">
      <c r="A6" s="2">
        <v>2</v>
      </c>
      <c r="B6" s="48" t="s">
        <v>137</v>
      </c>
      <c r="C6" s="2"/>
      <c r="D6" s="3"/>
      <c r="E6" s="3"/>
      <c r="F6" s="3"/>
      <c r="G6" s="2"/>
    </row>
    <row r="7" spans="1:13" x14ac:dyDescent="0.25">
      <c r="B7" s="49" t="s">
        <v>138</v>
      </c>
      <c r="C7" s="2"/>
      <c r="D7" s="3"/>
      <c r="E7" s="3"/>
      <c r="F7" s="3"/>
      <c r="G7" s="2"/>
      <c r="H7" t="s">
        <v>164</v>
      </c>
    </row>
    <row r="8" spans="1:13" x14ac:dyDescent="0.25">
      <c r="B8" s="49" t="s">
        <v>139</v>
      </c>
      <c r="C8" s="2"/>
      <c r="D8" s="3"/>
      <c r="E8" s="3"/>
      <c r="F8" s="3"/>
      <c r="G8" s="2"/>
      <c r="M8" t="s">
        <v>165</v>
      </c>
    </row>
    <row r="9" spans="1:13" x14ac:dyDescent="0.25">
      <c r="B9" s="49" t="s">
        <v>140</v>
      </c>
      <c r="C9" s="2"/>
      <c r="D9" s="3"/>
      <c r="E9" s="3"/>
      <c r="F9" s="3"/>
      <c r="G9" s="2"/>
      <c r="K9" t="s">
        <v>166</v>
      </c>
    </row>
    <row r="10" spans="1:13" x14ac:dyDescent="0.25">
      <c r="B10" s="30"/>
      <c r="C10" s="2"/>
      <c r="D10" s="3"/>
      <c r="E10" s="3"/>
      <c r="F10" s="3"/>
      <c r="G10" s="2"/>
    </row>
    <row r="11" spans="1:13" x14ac:dyDescent="0.25">
      <c r="B11" s="2"/>
      <c r="C11" s="2"/>
      <c r="D11" s="4">
        <v>2014</v>
      </c>
      <c r="E11" s="31">
        <v>2013</v>
      </c>
      <c r="F11" s="31">
        <v>2012</v>
      </c>
      <c r="G11" s="4">
        <v>2011</v>
      </c>
    </row>
    <row r="12" spans="1:13" x14ac:dyDescent="0.25">
      <c r="B12" s="32" t="s">
        <v>141</v>
      </c>
      <c r="C12" s="33"/>
      <c r="D12" s="34">
        <v>35.555555555555557</v>
      </c>
      <c r="E12" s="34">
        <v>40.666666666666664</v>
      </c>
      <c r="F12" s="34">
        <v>40.5</v>
      </c>
      <c r="G12" s="35">
        <v>48.54545454545454</v>
      </c>
    </row>
    <row r="13" spans="1:13" x14ac:dyDescent="0.25">
      <c r="B13" s="36" t="s">
        <v>142</v>
      </c>
      <c r="C13" s="37"/>
      <c r="D13" s="38">
        <v>45.037037037037038</v>
      </c>
      <c r="E13" s="38">
        <v>58.4</v>
      </c>
      <c r="F13" s="38">
        <v>51.300000000000004</v>
      </c>
      <c r="G13" s="39">
        <v>76.8</v>
      </c>
    </row>
    <row r="14" spans="1:13" x14ac:dyDescent="0.25">
      <c r="B14" s="40" t="s">
        <v>143</v>
      </c>
      <c r="C14" s="41"/>
      <c r="D14" s="42">
        <v>0.36</v>
      </c>
      <c r="E14" s="42">
        <v>0.28000000000000003</v>
      </c>
      <c r="F14" s="42">
        <v>0.23</v>
      </c>
      <c r="G14" s="43">
        <v>0.22</v>
      </c>
    </row>
    <row r="15" spans="1:13" x14ac:dyDescent="0.25">
      <c r="B15" s="36" t="s">
        <v>144</v>
      </c>
      <c r="C15" s="37"/>
      <c r="D15" s="44">
        <v>780</v>
      </c>
      <c r="E15" s="44">
        <v>610</v>
      </c>
      <c r="F15" s="44">
        <v>495</v>
      </c>
      <c r="G15" s="45">
        <v>445</v>
      </c>
    </row>
    <row r="16" spans="1:13" x14ac:dyDescent="0.25">
      <c r="B16" s="40" t="s">
        <v>145</v>
      </c>
      <c r="C16" s="41"/>
      <c r="D16" s="46">
        <v>1520</v>
      </c>
      <c r="E16" s="46">
        <v>1460</v>
      </c>
      <c r="F16" s="46">
        <v>1140</v>
      </c>
      <c r="G16" s="47">
        <v>1280</v>
      </c>
    </row>
    <row r="17" spans="4:4" x14ac:dyDescent="0.25">
      <c r="D17" s="51">
        <f>(D16-E16)/E16</f>
        <v>4.1095890410958902E-2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Caso 1</vt:lpstr>
      <vt:lpstr>Caso 2</vt:lpstr>
      <vt:lpstr>Caso 3</vt:lpstr>
      <vt:lpstr>Caso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Sequeira</dc:creator>
  <cp:lastModifiedBy>Vinix</cp:lastModifiedBy>
  <dcterms:created xsi:type="dcterms:W3CDTF">2017-08-30T02:35:05Z</dcterms:created>
  <dcterms:modified xsi:type="dcterms:W3CDTF">2017-09-11T16:39:34Z</dcterms:modified>
</cp:coreProperties>
</file>