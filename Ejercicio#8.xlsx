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326"/>
  <workbookPr filterPrivacy="1"/>
  <bookViews>
    <workbookView xWindow="0" yWindow="0" windowWidth="22260" windowHeight="12645" xr2:uid="{00000000-000D-0000-FFFF-FFFF00000000}"/>
  </bookViews>
  <sheets>
    <sheet name="Hoja1" sheetId="1" r:id="rId1"/>
    <sheet name="Hoja2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8" i="1" l="1"/>
  <c r="G49" i="1"/>
  <c r="G48" i="1"/>
  <c r="E44" i="1"/>
  <c r="F44" i="1"/>
  <c r="G44" i="1"/>
  <c r="F43" i="1"/>
  <c r="G43" i="1"/>
  <c r="E43" i="1"/>
  <c r="E42" i="1"/>
  <c r="E39" i="1"/>
  <c r="E38" i="1"/>
  <c r="G31" i="1"/>
  <c r="E31" i="1"/>
  <c r="G30" i="1"/>
  <c r="F30" i="1"/>
  <c r="F42" i="1" s="1"/>
  <c r="F29" i="1"/>
  <c r="F31" i="1" s="1"/>
  <c r="F39" i="1" s="1"/>
  <c r="G20" i="1"/>
  <c r="F18" i="1"/>
  <c r="G18" i="1" s="1"/>
  <c r="F17" i="1"/>
  <c r="E17" i="1"/>
  <c r="F16" i="1"/>
  <c r="F19" i="1" s="1"/>
  <c r="E16" i="1"/>
  <c r="E19" i="1" s="1"/>
  <c r="F15" i="1"/>
  <c r="E15" i="1"/>
  <c r="G14" i="1"/>
  <c r="F14" i="1"/>
  <c r="F33" i="2"/>
  <c r="F27" i="2"/>
  <c r="G34" i="2"/>
  <c r="F35" i="2"/>
  <c r="E35" i="2"/>
  <c r="F31" i="2"/>
  <c r="E27" i="2"/>
  <c r="G27" i="2"/>
  <c r="G18" i="2"/>
  <c r="F18" i="2"/>
  <c r="E42" i="2"/>
  <c r="F39" i="2"/>
  <c r="E39" i="2"/>
  <c r="E38" i="2"/>
  <c r="G31" i="2"/>
  <c r="E31" i="2"/>
  <c r="G30" i="2"/>
  <c r="F30" i="2"/>
  <c r="F42" i="2" s="1"/>
  <c r="F29" i="2"/>
  <c r="G29" i="2" s="1"/>
  <c r="E26" i="2"/>
  <c r="E43" i="2" s="1"/>
  <c r="E25" i="2"/>
  <c r="E21" i="2"/>
  <c r="E22" i="2" s="1"/>
  <c r="G20" i="2"/>
  <c r="E27" i="1" l="1"/>
  <c r="E35" i="1" s="1"/>
  <c r="E25" i="1"/>
  <c r="E26" i="1"/>
  <c r="E21" i="1"/>
  <c r="F25" i="1"/>
  <c r="F26" i="1"/>
  <c r="F21" i="1"/>
  <c r="F27" i="1"/>
  <c r="F35" i="1" s="1"/>
  <c r="G17" i="1"/>
  <c r="G16" i="1"/>
  <c r="G19" i="1" s="1"/>
  <c r="F38" i="1"/>
  <c r="G15" i="1"/>
  <c r="G29" i="1"/>
  <c r="G38" i="2"/>
  <c r="G42" i="2"/>
  <c r="G39" i="2"/>
  <c r="E23" i="2"/>
  <c r="F38" i="2"/>
  <c r="F22" i="1" l="1"/>
  <c r="F23" i="1" s="1"/>
  <c r="E22" i="1"/>
  <c r="E23" i="1"/>
  <c r="G25" i="1"/>
  <c r="G26" i="1"/>
  <c r="G21" i="1"/>
  <c r="G27" i="1"/>
  <c r="G35" i="1" s="1"/>
  <c r="G39" i="1"/>
  <c r="G42" i="1"/>
  <c r="G38" i="1"/>
  <c r="E34" i="2"/>
  <c r="E37" i="2"/>
  <c r="E40" i="2" s="1"/>
  <c r="E33" i="2"/>
  <c r="F37" i="1" l="1"/>
  <c r="F40" i="1" s="1"/>
  <c r="F33" i="1"/>
  <c r="F34" i="1"/>
  <c r="E37" i="1"/>
  <c r="E40" i="1" s="1"/>
  <c r="E33" i="1"/>
  <c r="E34" i="1"/>
  <c r="G22" i="1"/>
  <c r="G23" i="1"/>
  <c r="F19" i="2"/>
  <c r="G19" i="2"/>
  <c r="E19" i="2"/>
  <c r="G17" i="2"/>
  <c r="F17" i="2"/>
  <c r="E17" i="2"/>
  <c r="G16" i="2"/>
  <c r="F16" i="2"/>
  <c r="G15" i="2"/>
  <c r="F15" i="2"/>
  <c r="G14" i="2"/>
  <c r="F14" i="2"/>
  <c r="E16" i="2"/>
  <c r="E15" i="2"/>
  <c r="H5" i="1"/>
  <c r="G5" i="1"/>
  <c r="H4" i="1"/>
  <c r="H3" i="1"/>
  <c r="G33" i="1" l="1"/>
  <c r="G34" i="1"/>
  <c r="G37" i="1"/>
  <c r="G40" i="1" s="1"/>
  <c r="F26" i="2"/>
  <c r="F43" i="2" s="1"/>
  <c r="F21" i="2"/>
  <c r="F25" i="2"/>
  <c r="G26" i="2"/>
  <c r="G43" i="2" s="1"/>
  <c r="G25" i="2"/>
  <c r="G21" i="2"/>
  <c r="F22" i="2" l="1"/>
  <c r="G22" i="2"/>
  <c r="G35" i="2" s="1"/>
  <c r="G23" i="2"/>
  <c r="F23" i="2" l="1"/>
  <c r="G33" i="2"/>
  <c r="G37" i="2"/>
  <c r="G40" i="2" s="1"/>
  <c r="F34" i="2" l="1"/>
  <c r="F37" i="2"/>
  <c r="F40" i="2" s="1"/>
</calcChain>
</file>

<file path=xl/sharedStrings.xml><?xml version="1.0" encoding="utf-8"?>
<sst xmlns="http://schemas.openxmlformats.org/spreadsheetml/2006/main" count="82" uniqueCount="45">
  <si>
    <t>A</t>
  </si>
  <si>
    <t>B</t>
  </si>
  <si>
    <t>Ventas</t>
  </si>
  <si>
    <t>Costo de ventas (variable)</t>
  </si>
  <si>
    <t>Utilidad Bruta</t>
  </si>
  <si>
    <t>Gastos Operativos</t>
  </si>
  <si>
    <t>Depreciaciones</t>
  </si>
  <si>
    <t>Utilidad Operativa</t>
  </si>
  <si>
    <t>Intereses</t>
  </si>
  <si>
    <t>Utilidad antes de impuestos</t>
  </si>
  <si>
    <t>Impuestos</t>
  </si>
  <si>
    <t>Utilidad Neta</t>
  </si>
  <si>
    <t>EBITDA</t>
  </si>
  <si>
    <t>EBIT</t>
  </si>
  <si>
    <t>NOPAT</t>
  </si>
  <si>
    <t>Activos</t>
  </si>
  <si>
    <t>Pasivos (Deuda)</t>
  </si>
  <si>
    <t>Capital</t>
  </si>
  <si>
    <t>ROE</t>
  </si>
  <si>
    <t>ROA</t>
  </si>
  <si>
    <t>Margen Neto</t>
  </si>
  <si>
    <t>Rotación de Activos</t>
  </si>
  <si>
    <t>Apalancamiento</t>
  </si>
  <si>
    <t>Razón de deuda</t>
  </si>
  <si>
    <t>Cobertura de intereses</t>
  </si>
  <si>
    <t>Cobertura de cargos fijos</t>
  </si>
  <si>
    <t>Indique cómo cambia el Balance y el grado de apalancamiento</t>
  </si>
  <si>
    <t>=</t>
  </si>
  <si>
    <t>Pasivo</t>
  </si>
  <si>
    <t>Sin deuda</t>
  </si>
  <si>
    <t>+$500 en activos, financiado con deuda</t>
  </si>
  <si>
    <t>+$1000 en activos, financiados con deuda</t>
  </si>
  <si>
    <t>La compañía piensa duplicar sus operaciones, duplicando el monto de sus activos y el monto de sus ventas.</t>
  </si>
  <si>
    <t>a.</t>
  </si>
  <si>
    <t>¿Cómo cambian sus indicadores si financia la compra de activos A.100% capital  y B.100% deuda (tasa de 5%).</t>
  </si>
  <si>
    <t>Para simplificar el análisis asuma que las relaciones de costo y gasto se mantienen.</t>
  </si>
  <si>
    <t>Asuma que el crédito se contrata a 5 años y se empieza a amortizar el siguiente año.</t>
  </si>
  <si>
    <t>b.</t>
  </si>
  <si>
    <t>¿Cómo cambiaría la razón de cobertura de cargos fijos si el crédito se empieza a amortizar este año?</t>
  </si>
  <si>
    <t>Amortización anual</t>
  </si>
  <si>
    <t>Cobertura de cargos fijos B</t>
  </si>
  <si>
    <t>EBIT + leasings</t>
  </si>
  <si>
    <t>Intereses + leasings + abono a capital/(1-t)</t>
  </si>
  <si>
    <t>NOPAT/Activos = ROIC</t>
  </si>
  <si>
    <t>Abono a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</si>
</sst>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sz val="9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2" fillId="0" borderId="0" xfId="0" applyNumberFormat="1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0" xfId="0" applyFont="1"/>
    <xf numFmtId="165" fontId="2" fillId="0" borderId="0" xfId="1" applyNumberFormat="1" applyFont="1" applyAlignment="1">
      <alignment horizontal="center"/>
    </xf>
    <xf numFmtId="165" fontId="2" fillId="0" borderId="1" xfId="1" applyNumberFormat="1" applyFont="1" applyBorder="1" applyAlignment="1">
      <alignment horizontal="center"/>
    </xf>
    <xf numFmtId="165" fontId="2" fillId="0" borderId="1" xfId="1" quotePrefix="1" applyNumberFormat="1" applyFont="1" applyBorder="1" applyAlignment="1">
      <alignment horizontal="center"/>
    </xf>
    <xf numFmtId="0" fontId="2" fillId="0" borderId="1" xfId="0" quotePrefix="1" applyFont="1" applyBorder="1"/>
    <xf numFmtId="0" fontId="4" fillId="0" borderId="0" xfId="0" applyFont="1"/>
    <xf numFmtId="0" fontId="4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2" fontId="2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3" fontId="2" fillId="2" borderId="0" xfId="0" applyNumberFormat="1" applyFont="1" applyFill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9" fontId="2" fillId="2" borderId="1" xfId="0" applyNumberFormat="1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topLeftCell="A2" workbookViewId="0">
      <selection activeCell="I10" sqref="I10"/>
    </sheetView>
  </sheetViews>
  <sheetFormatPr baseColWidth="10" defaultColWidth="9.140625" defaultRowHeight="15" x14ac:dyDescent="0.25"/>
  <cols>
    <col min="1" max="1" width="27.140625" bestFit="1" customWidth="1"/>
    <col min="3" max="3" width="41.140625" bestFit="1" customWidth="1"/>
    <col min="4" max="4" width="9" bestFit="1" customWidth="1"/>
    <col min="5" max="5" width="8.140625" bestFit="1" customWidth="1"/>
  </cols>
  <sheetData>
    <row r="1" spans="1:8" x14ac:dyDescent="0.25">
      <c r="A1" s="14">
        <v>1</v>
      </c>
      <c r="B1" s="3" t="s">
        <v>26</v>
      </c>
      <c r="C1" s="15"/>
      <c r="D1" s="15"/>
      <c r="E1" s="7"/>
      <c r="F1" s="7"/>
      <c r="G1" s="7"/>
    </row>
    <row r="2" spans="1:8" x14ac:dyDescent="0.25">
      <c r="A2" s="3"/>
      <c r="C2" s="1"/>
      <c r="D2" s="16" t="s">
        <v>15</v>
      </c>
      <c r="E2" s="17" t="s">
        <v>27</v>
      </c>
      <c r="F2" s="4" t="s">
        <v>28</v>
      </c>
      <c r="G2" s="4" t="s">
        <v>17</v>
      </c>
      <c r="H2" s="4" t="s">
        <v>22</v>
      </c>
    </row>
    <row r="3" spans="1:8" x14ac:dyDescent="0.25">
      <c r="A3" s="3"/>
      <c r="C3" s="1" t="s">
        <v>29</v>
      </c>
      <c r="D3" s="4">
        <v>1000</v>
      </c>
      <c r="E3" s="17" t="s">
        <v>27</v>
      </c>
      <c r="F3" s="4">
        <v>0</v>
      </c>
      <c r="G3" s="4">
        <v>1000</v>
      </c>
      <c r="H3" s="4">
        <f>D3/G3</f>
        <v>1</v>
      </c>
    </row>
    <row r="4" spans="1:8" x14ac:dyDescent="0.25">
      <c r="A4" s="3"/>
      <c r="C4" s="18" t="s">
        <v>30</v>
      </c>
      <c r="D4" s="4">
        <v>1500</v>
      </c>
      <c r="E4" s="17" t="s">
        <v>27</v>
      </c>
      <c r="F4" s="4">
        <v>500</v>
      </c>
      <c r="G4" s="4">
        <v>1000</v>
      </c>
      <c r="H4" s="4">
        <f>D4/G4</f>
        <v>1.5</v>
      </c>
    </row>
    <row r="5" spans="1:8" x14ac:dyDescent="0.25">
      <c r="A5" s="3"/>
      <c r="C5" s="18" t="s">
        <v>31</v>
      </c>
      <c r="D5" s="4">
        <v>2500</v>
      </c>
      <c r="E5" s="17" t="s">
        <v>27</v>
      </c>
      <c r="F5" s="4">
        <v>1500</v>
      </c>
      <c r="G5" s="4">
        <f>G4</f>
        <v>1000</v>
      </c>
      <c r="H5" s="4">
        <f>D5/G5</f>
        <v>2.5</v>
      </c>
    </row>
    <row r="6" spans="1:8" x14ac:dyDescent="0.25">
      <c r="A6" s="3"/>
      <c r="B6" s="3"/>
      <c r="C6" s="7"/>
      <c r="D6" s="7"/>
      <c r="E6" s="7"/>
      <c r="F6" s="7"/>
      <c r="G6" s="7"/>
    </row>
    <row r="7" spans="1:8" ht="15.75" x14ac:dyDescent="0.3">
      <c r="A7" s="14">
        <v>2</v>
      </c>
      <c r="B7" s="19" t="s">
        <v>32</v>
      </c>
      <c r="C7" s="7"/>
      <c r="D7" s="7"/>
      <c r="E7" s="7"/>
      <c r="F7" s="7"/>
      <c r="G7" s="7"/>
    </row>
    <row r="8" spans="1:8" ht="15.75" x14ac:dyDescent="0.3">
      <c r="A8" s="20" t="s">
        <v>33</v>
      </c>
      <c r="B8" s="19" t="s">
        <v>34</v>
      </c>
      <c r="C8" s="7"/>
      <c r="D8" s="7"/>
      <c r="E8" s="7"/>
      <c r="F8" s="7"/>
      <c r="G8" s="7"/>
    </row>
    <row r="9" spans="1:8" ht="15.75" x14ac:dyDescent="0.3">
      <c r="A9" s="20"/>
      <c r="B9" s="19" t="s">
        <v>35</v>
      </c>
      <c r="C9" s="7"/>
      <c r="D9" s="7"/>
      <c r="E9" s="7"/>
      <c r="F9" s="7"/>
      <c r="G9" s="7"/>
    </row>
    <row r="10" spans="1:8" ht="15.75" x14ac:dyDescent="0.3">
      <c r="A10" s="20"/>
      <c r="B10" s="19" t="s">
        <v>36</v>
      </c>
      <c r="C10" s="7"/>
      <c r="D10" s="7"/>
      <c r="E10" s="7"/>
      <c r="F10" s="7"/>
      <c r="G10" s="7"/>
    </row>
    <row r="11" spans="1:8" ht="15.75" x14ac:dyDescent="0.3">
      <c r="A11" s="20" t="s">
        <v>37</v>
      </c>
      <c r="B11" s="19" t="s">
        <v>38</v>
      </c>
      <c r="C11" s="7"/>
      <c r="D11" s="7"/>
      <c r="E11" s="7"/>
      <c r="F11" s="7"/>
      <c r="G11" s="7"/>
    </row>
    <row r="12" spans="1:8" x14ac:dyDescent="0.25">
      <c r="A12" s="21"/>
      <c r="B12" s="3"/>
      <c r="C12" s="7"/>
      <c r="D12" s="7"/>
      <c r="E12" s="7"/>
      <c r="F12" s="7"/>
      <c r="G12" s="7"/>
    </row>
    <row r="13" spans="1:8" x14ac:dyDescent="0.25">
      <c r="A13" s="22" t="s">
        <v>33</v>
      </c>
      <c r="C13" s="1"/>
      <c r="D13" s="4"/>
      <c r="E13" s="8"/>
      <c r="F13" s="24" t="s">
        <v>0</v>
      </c>
      <c r="G13" s="4" t="s">
        <v>1</v>
      </c>
    </row>
    <row r="14" spans="1:8" x14ac:dyDescent="0.25">
      <c r="A14" s="3"/>
      <c r="C14" s="1" t="s">
        <v>2</v>
      </c>
      <c r="D14" s="4"/>
      <c r="E14" s="8">
        <v>10000</v>
      </c>
      <c r="F14" s="25">
        <f>E14*2</f>
        <v>20000</v>
      </c>
      <c r="G14" s="8">
        <f>F14</f>
        <v>20000</v>
      </c>
    </row>
    <row r="15" spans="1:8" x14ac:dyDescent="0.25">
      <c r="A15" s="3"/>
      <c r="C15" s="1" t="s">
        <v>3</v>
      </c>
      <c r="D15" s="5">
        <v>0.48</v>
      </c>
      <c r="E15" s="8">
        <f>E14*D15</f>
        <v>4800</v>
      </c>
      <c r="F15" s="25">
        <f>F14*D15</f>
        <v>9600</v>
      </c>
      <c r="G15" s="8">
        <f>G14*D15</f>
        <v>9600</v>
      </c>
    </row>
    <row r="16" spans="1:8" x14ac:dyDescent="0.25">
      <c r="A16" s="3"/>
      <c r="C16" s="2" t="s">
        <v>4</v>
      </c>
      <c r="D16" s="6"/>
      <c r="E16" s="9">
        <f>E14-E15</f>
        <v>5200</v>
      </c>
      <c r="F16" s="26">
        <f>F14-F15</f>
        <v>10400</v>
      </c>
      <c r="G16" s="9">
        <f>G14-G15</f>
        <v>10400</v>
      </c>
    </row>
    <row r="17" spans="1:7" x14ac:dyDescent="0.25">
      <c r="A17" s="3"/>
      <c r="C17" s="1" t="s">
        <v>5</v>
      </c>
      <c r="D17" s="5">
        <v>0.15</v>
      </c>
      <c r="E17" s="8">
        <f>$D$17*E14</f>
        <v>1500</v>
      </c>
      <c r="F17" s="25">
        <f>F14*$D$17</f>
        <v>3000</v>
      </c>
      <c r="G17" s="8">
        <f>G14*$D$17</f>
        <v>3000</v>
      </c>
    </row>
    <row r="18" spans="1:7" x14ac:dyDescent="0.25">
      <c r="A18" s="3"/>
      <c r="C18" s="1" t="s">
        <v>6</v>
      </c>
      <c r="D18" s="5"/>
      <c r="E18" s="8">
        <v>1500</v>
      </c>
      <c r="F18" s="25">
        <f>E18*2</f>
        <v>3000</v>
      </c>
      <c r="G18" s="8">
        <f>F18</f>
        <v>3000</v>
      </c>
    </row>
    <row r="19" spans="1:7" x14ac:dyDescent="0.25">
      <c r="A19" s="3"/>
      <c r="C19" s="2" t="s">
        <v>7</v>
      </c>
      <c r="D19" s="4"/>
      <c r="E19" s="9">
        <f>E16-E17-E18</f>
        <v>2200</v>
      </c>
      <c r="F19" s="26">
        <f t="shared" ref="F19:G19" si="0">F16-F17-F18</f>
        <v>4400</v>
      </c>
      <c r="G19" s="9">
        <f t="shared" si="0"/>
        <v>4400</v>
      </c>
    </row>
    <row r="20" spans="1:7" x14ac:dyDescent="0.25">
      <c r="A20" s="3"/>
      <c r="C20" s="1" t="s">
        <v>8</v>
      </c>
      <c r="D20" s="4"/>
      <c r="E20" s="4">
        <v>0</v>
      </c>
      <c r="F20" s="24">
        <v>0</v>
      </c>
      <c r="G20" s="4">
        <f>(E29*0.05)</f>
        <v>1500</v>
      </c>
    </row>
    <row r="21" spans="1:7" x14ac:dyDescent="0.25">
      <c r="A21" s="3"/>
      <c r="C21" s="2" t="s">
        <v>9</v>
      </c>
      <c r="D21" s="4"/>
      <c r="E21" s="9">
        <f>E19-E20</f>
        <v>2200</v>
      </c>
      <c r="F21" s="26">
        <f t="shared" ref="F21:G21" si="1">F19-F20</f>
        <v>4400</v>
      </c>
      <c r="G21" s="9">
        <f t="shared" si="1"/>
        <v>2900</v>
      </c>
    </row>
    <row r="22" spans="1:7" x14ac:dyDescent="0.25">
      <c r="A22" s="3"/>
      <c r="C22" s="1" t="s">
        <v>10</v>
      </c>
      <c r="D22" s="5">
        <v>0.25</v>
      </c>
      <c r="E22" s="4">
        <f>$D$22*E21</f>
        <v>550</v>
      </c>
      <c r="F22" s="24">
        <f t="shared" ref="F22:G22" si="2">$D$22*F21</f>
        <v>1100</v>
      </c>
      <c r="G22" s="4">
        <f t="shared" si="2"/>
        <v>725</v>
      </c>
    </row>
    <row r="23" spans="1:7" x14ac:dyDescent="0.25">
      <c r="A23" s="3"/>
      <c r="C23" s="2" t="s">
        <v>11</v>
      </c>
      <c r="D23" s="4"/>
      <c r="E23" s="9">
        <f>E21-E22</f>
        <v>1650</v>
      </c>
      <c r="F23" s="26">
        <f t="shared" ref="F23:G23" si="3">F21-F22</f>
        <v>3300</v>
      </c>
      <c r="G23" s="9">
        <f t="shared" si="3"/>
        <v>2175</v>
      </c>
    </row>
    <row r="24" spans="1:7" x14ac:dyDescent="0.25">
      <c r="A24" s="3"/>
      <c r="C24" s="3"/>
      <c r="D24" s="7"/>
      <c r="E24" s="7"/>
      <c r="F24" s="27"/>
      <c r="G24" s="7"/>
    </row>
    <row r="25" spans="1:7" x14ac:dyDescent="0.25">
      <c r="A25" s="3"/>
      <c r="C25" s="2" t="s">
        <v>12</v>
      </c>
      <c r="D25" s="4"/>
      <c r="E25" s="9">
        <f>E19+E18</f>
        <v>3700</v>
      </c>
      <c r="F25" s="26">
        <f t="shared" ref="F25:G25" si="4">F19+F18</f>
        <v>7400</v>
      </c>
      <c r="G25" s="9">
        <f t="shared" si="4"/>
        <v>7400</v>
      </c>
    </row>
    <row r="26" spans="1:7" x14ac:dyDescent="0.25">
      <c r="A26" s="3"/>
      <c r="C26" s="2" t="s">
        <v>13</v>
      </c>
      <c r="D26" s="4"/>
      <c r="E26" s="9">
        <f>E19</f>
        <v>2200</v>
      </c>
      <c r="F26" s="26">
        <f t="shared" ref="F26:G26" si="5">F19</f>
        <v>4400</v>
      </c>
      <c r="G26" s="9">
        <f t="shared" si="5"/>
        <v>4400</v>
      </c>
    </row>
    <row r="27" spans="1:7" x14ac:dyDescent="0.25">
      <c r="A27" s="3"/>
      <c r="C27" s="2" t="s">
        <v>14</v>
      </c>
      <c r="D27" s="4"/>
      <c r="E27" s="9">
        <f>E19*(1-$D$22)</f>
        <v>1650</v>
      </c>
      <c r="F27" s="26">
        <f>F19*(1-$D$22)</f>
        <v>3300</v>
      </c>
      <c r="G27" s="9">
        <f t="shared" ref="G27" si="6">G19*(1-$D$22)</f>
        <v>3300</v>
      </c>
    </row>
    <row r="28" spans="1:7" x14ac:dyDescent="0.25">
      <c r="A28" s="3"/>
      <c r="C28" s="3"/>
      <c r="D28" s="7"/>
      <c r="E28" s="7"/>
      <c r="F28" s="27"/>
      <c r="G28" s="7"/>
    </row>
    <row r="29" spans="1:7" x14ac:dyDescent="0.25">
      <c r="A29" s="3"/>
      <c r="C29" s="1" t="s">
        <v>15</v>
      </c>
      <c r="D29" s="4"/>
      <c r="E29" s="8">
        <v>30000</v>
      </c>
      <c r="F29" s="25">
        <f>E29*2</f>
        <v>60000</v>
      </c>
      <c r="G29" s="8">
        <f>F29</f>
        <v>60000</v>
      </c>
    </row>
    <row r="30" spans="1:7" x14ac:dyDescent="0.25">
      <c r="A30" s="3"/>
      <c r="C30" s="1" t="s">
        <v>16</v>
      </c>
      <c r="D30" s="4"/>
      <c r="E30" s="8">
        <v>0</v>
      </c>
      <c r="F30" s="25">
        <f>E30</f>
        <v>0</v>
      </c>
      <c r="G30" s="8">
        <f>E29</f>
        <v>30000</v>
      </c>
    </row>
    <row r="31" spans="1:7" x14ac:dyDescent="0.25">
      <c r="A31" s="3"/>
      <c r="C31" s="1" t="s">
        <v>17</v>
      </c>
      <c r="D31" s="4"/>
      <c r="E31" s="8">
        <f>E29</f>
        <v>30000</v>
      </c>
      <c r="F31" s="25">
        <f>F29</f>
        <v>60000</v>
      </c>
      <c r="G31" s="8">
        <f>E31</f>
        <v>30000</v>
      </c>
    </row>
    <row r="32" spans="1:7" x14ac:dyDescent="0.25">
      <c r="A32" s="3"/>
      <c r="C32" s="3"/>
      <c r="D32" s="7"/>
      <c r="E32" s="10"/>
      <c r="F32" s="28"/>
      <c r="G32" s="10"/>
    </row>
    <row r="33" spans="1:8" x14ac:dyDescent="0.25">
      <c r="A33" s="3"/>
      <c r="C33" s="1" t="s">
        <v>18</v>
      </c>
      <c r="D33" s="4"/>
      <c r="E33" s="11">
        <f>E23/E31</f>
        <v>5.5E-2</v>
      </c>
      <c r="F33" s="29">
        <f>F23/F31</f>
        <v>5.5E-2</v>
      </c>
      <c r="G33" s="11">
        <f t="shared" ref="G33" si="7">G23/G31</f>
        <v>7.2499999999999995E-2</v>
      </c>
    </row>
    <row r="34" spans="1:8" x14ac:dyDescent="0.25">
      <c r="A34" s="3"/>
      <c r="C34" s="1" t="s">
        <v>19</v>
      </c>
      <c r="D34" s="4"/>
      <c r="E34" s="11">
        <f>E23/E29</f>
        <v>5.5E-2</v>
      </c>
      <c r="F34" s="29">
        <f t="shared" ref="F34:G34" si="8">F23/F29</f>
        <v>5.5E-2</v>
      </c>
      <c r="G34" s="11">
        <f>G23/G29</f>
        <v>3.6249999999999998E-2</v>
      </c>
    </row>
    <row r="35" spans="1:8" x14ac:dyDescent="0.25">
      <c r="A35" s="3"/>
      <c r="C35" s="1" t="s">
        <v>43</v>
      </c>
      <c r="D35" s="4"/>
      <c r="E35" s="11">
        <f>E27/E29</f>
        <v>5.5E-2</v>
      </c>
      <c r="F35" s="29">
        <f>F27/F29</f>
        <v>5.5E-2</v>
      </c>
      <c r="G35" s="11">
        <f t="shared" ref="G35" si="9">G27/G29</f>
        <v>5.5E-2</v>
      </c>
    </row>
    <row r="36" spans="1:8" x14ac:dyDescent="0.25">
      <c r="A36" s="3"/>
      <c r="C36" s="3"/>
      <c r="D36" s="7"/>
      <c r="E36" s="7"/>
      <c r="F36" s="27"/>
      <c r="G36" s="7"/>
    </row>
    <row r="37" spans="1:8" x14ac:dyDescent="0.25">
      <c r="A37" s="3"/>
      <c r="C37" s="1" t="s">
        <v>20</v>
      </c>
      <c r="D37" s="4"/>
      <c r="E37" s="11">
        <f>E23/E14</f>
        <v>0.16500000000000001</v>
      </c>
      <c r="F37" s="29">
        <f t="shared" ref="F37:G37" si="10">F23/F14</f>
        <v>0.16500000000000001</v>
      </c>
      <c r="G37" s="11">
        <f t="shared" si="10"/>
        <v>0.10875</v>
      </c>
    </row>
    <row r="38" spans="1:8" x14ac:dyDescent="0.25">
      <c r="A38" s="3"/>
      <c r="C38" s="1" t="s">
        <v>21</v>
      </c>
      <c r="D38" s="4"/>
      <c r="E38" s="12">
        <f>E14/E29</f>
        <v>0.33333333333333331</v>
      </c>
      <c r="F38" s="30">
        <f t="shared" ref="F38:G38" si="11">F14/F29</f>
        <v>0.33333333333333331</v>
      </c>
      <c r="G38" s="12">
        <f t="shared" si="11"/>
        <v>0.33333333333333331</v>
      </c>
    </row>
    <row r="39" spans="1:8" x14ac:dyDescent="0.25">
      <c r="A39" s="3"/>
      <c r="C39" s="1" t="s">
        <v>22</v>
      </c>
      <c r="D39" s="4"/>
      <c r="E39" s="4">
        <f>E29/E31</f>
        <v>1</v>
      </c>
      <c r="F39" s="24">
        <f t="shared" ref="F39:G39" si="12">F29/F31</f>
        <v>1</v>
      </c>
      <c r="G39" s="4">
        <f t="shared" si="12"/>
        <v>2</v>
      </c>
    </row>
    <row r="40" spans="1:8" x14ac:dyDescent="0.25">
      <c r="A40" s="3"/>
      <c r="C40" s="2" t="s">
        <v>18</v>
      </c>
      <c r="D40" s="6"/>
      <c r="E40" s="13">
        <f>E37*E38*E39</f>
        <v>5.5E-2</v>
      </c>
      <c r="F40" s="31">
        <f t="shared" ref="F40:G40" si="13">F37*F38*F39</f>
        <v>5.5E-2</v>
      </c>
      <c r="G40" s="13">
        <f t="shared" si="13"/>
        <v>7.2499999999999995E-2</v>
      </c>
    </row>
    <row r="41" spans="1:8" x14ac:dyDescent="0.25">
      <c r="A41" s="3"/>
      <c r="C41" s="3"/>
      <c r="D41" s="7"/>
      <c r="E41" s="7"/>
      <c r="F41" s="27"/>
      <c r="G41" s="7"/>
    </row>
    <row r="42" spans="1:8" x14ac:dyDescent="0.25">
      <c r="A42" s="3"/>
      <c r="C42" s="2" t="s">
        <v>23</v>
      </c>
      <c r="D42" s="4"/>
      <c r="E42" s="5">
        <f>E30/E29</f>
        <v>0</v>
      </c>
      <c r="F42" s="32">
        <f t="shared" ref="F42:G42" si="14">F30/F29</f>
        <v>0</v>
      </c>
      <c r="G42" s="5">
        <f t="shared" si="14"/>
        <v>0.5</v>
      </c>
    </row>
    <row r="43" spans="1:8" x14ac:dyDescent="0.25">
      <c r="A43" s="3"/>
      <c r="C43" s="2" t="s">
        <v>24</v>
      </c>
      <c r="D43" s="4"/>
      <c r="E43" s="4" t="e">
        <f>E$26/E$20</f>
        <v>#DIV/0!</v>
      </c>
      <c r="F43" s="24" t="e">
        <f t="shared" ref="F43:G44" si="15">F$26/F$20</f>
        <v>#DIV/0!</v>
      </c>
      <c r="G43" s="4">
        <f t="shared" si="15"/>
        <v>2.9333333333333331</v>
      </c>
    </row>
    <row r="44" spans="1:8" x14ac:dyDescent="0.25">
      <c r="A44" s="3"/>
      <c r="C44" s="2" t="s">
        <v>25</v>
      </c>
      <c r="D44" s="4"/>
      <c r="E44" s="4" t="e">
        <f>E$26/E$20</f>
        <v>#DIV/0!</v>
      </c>
      <c r="F44" s="24" t="e">
        <f t="shared" si="15"/>
        <v>#DIV/0!</v>
      </c>
      <c r="G44" s="4">
        <f t="shared" si="15"/>
        <v>2.9333333333333331</v>
      </c>
    </row>
    <row r="45" spans="1:8" x14ac:dyDescent="0.25">
      <c r="A45" s="3"/>
      <c r="B45" s="14"/>
      <c r="C45" s="7"/>
      <c r="D45" s="7"/>
      <c r="E45" s="7"/>
      <c r="F45" s="23"/>
      <c r="G45" s="7"/>
    </row>
    <row r="46" spans="1:8" x14ac:dyDescent="0.25">
      <c r="A46" s="14" t="s">
        <v>37</v>
      </c>
      <c r="B46" s="3" t="s">
        <v>39</v>
      </c>
      <c r="C46" s="7"/>
      <c r="D46" s="7"/>
      <c r="E46" s="7"/>
      <c r="F46" s="7"/>
      <c r="G46" s="7"/>
    </row>
    <row r="47" spans="1:8" x14ac:dyDescent="0.25">
      <c r="A47" s="3"/>
      <c r="C47" s="14" t="s">
        <v>40</v>
      </c>
      <c r="D47" s="7"/>
      <c r="E47" s="7"/>
      <c r="F47" s="23"/>
      <c r="G47" s="7"/>
    </row>
    <row r="48" spans="1:8" x14ac:dyDescent="0.25">
      <c r="A48" s="3"/>
      <c r="C48" s="3" t="s">
        <v>41</v>
      </c>
      <c r="D48" s="7"/>
      <c r="E48" s="7"/>
      <c r="F48" s="10"/>
      <c r="G48" s="10">
        <f>G26</f>
        <v>4400</v>
      </c>
      <c r="H48">
        <f>G48/G49</f>
        <v>0.4631578947368421</v>
      </c>
    </row>
    <row r="49" spans="1:7" x14ac:dyDescent="0.25">
      <c r="A49" s="3"/>
      <c r="C49" s="3" t="s">
        <v>42</v>
      </c>
      <c r="D49" s="7"/>
      <c r="E49" s="7"/>
      <c r="F49" s="10"/>
      <c r="G49" s="10">
        <f>G20+6000/(0.75)</f>
        <v>9500</v>
      </c>
    </row>
    <row r="50" spans="1:7" x14ac:dyDescent="0.25">
      <c r="C50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6070A-8642-4D8D-8DBC-5A4084B20606}">
  <dimension ref="C13:G44"/>
  <sheetViews>
    <sheetView topLeftCell="A33" workbookViewId="0">
      <selection activeCell="G44" sqref="C13:G44"/>
    </sheetView>
  </sheetViews>
  <sheetFormatPr baseColWidth="10" defaultRowHeight="15" x14ac:dyDescent="0.25"/>
  <cols>
    <col min="3" max="3" width="27.140625" bestFit="1" customWidth="1"/>
  </cols>
  <sheetData>
    <row r="13" spans="3:7" x14ac:dyDescent="0.25">
      <c r="C13" s="1"/>
      <c r="D13" s="4"/>
      <c r="E13" s="8"/>
      <c r="F13" s="4" t="s">
        <v>0</v>
      </c>
      <c r="G13" s="4" t="s">
        <v>1</v>
      </c>
    </row>
    <row r="14" spans="3:7" x14ac:dyDescent="0.25">
      <c r="C14" s="1" t="s">
        <v>2</v>
      </c>
      <c r="D14" s="4"/>
      <c r="E14" s="8">
        <v>10000</v>
      </c>
      <c r="F14" s="8">
        <f>E14*2</f>
        <v>20000</v>
      </c>
      <c r="G14" s="8">
        <f>F14</f>
        <v>20000</v>
      </c>
    </row>
    <row r="15" spans="3:7" x14ac:dyDescent="0.25">
      <c r="C15" s="1" t="s">
        <v>3</v>
      </c>
      <c r="D15" s="5">
        <v>0.48</v>
      </c>
      <c r="E15" s="8">
        <f>E14*D15</f>
        <v>4800</v>
      </c>
      <c r="F15" s="8">
        <f>F14*D15</f>
        <v>9600</v>
      </c>
      <c r="G15" s="8">
        <f>G14*D15</f>
        <v>9600</v>
      </c>
    </row>
    <row r="16" spans="3:7" x14ac:dyDescent="0.25">
      <c r="C16" s="2" t="s">
        <v>4</v>
      </c>
      <c r="D16" s="6"/>
      <c r="E16" s="9">
        <f>E14-E15</f>
        <v>5200</v>
      </c>
      <c r="F16" s="9">
        <f>F14-F15</f>
        <v>10400</v>
      </c>
      <c r="G16" s="9">
        <f>G14-G15</f>
        <v>10400</v>
      </c>
    </row>
    <row r="17" spans="3:7" x14ac:dyDescent="0.25">
      <c r="C17" s="1" t="s">
        <v>5</v>
      </c>
      <c r="D17" s="5">
        <v>0.15</v>
      </c>
      <c r="E17" s="8">
        <f>$D$17*E14</f>
        <v>1500</v>
      </c>
      <c r="F17" s="8">
        <f>F14*$D$17</f>
        <v>3000</v>
      </c>
      <c r="G17" s="8">
        <f>G14*$D$17</f>
        <v>3000</v>
      </c>
    </row>
    <row r="18" spans="3:7" x14ac:dyDescent="0.25">
      <c r="C18" s="1" t="s">
        <v>6</v>
      </c>
      <c r="D18" s="5"/>
      <c r="E18" s="8">
        <v>1500</v>
      </c>
      <c r="F18" s="8">
        <f>E18*2</f>
        <v>3000</v>
      </c>
      <c r="G18" s="8">
        <f>F18</f>
        <v>3000</v>
      </c>
    </row>
    <row r="19" spans="3:7" x14ac:dyDescent="0.25">
      <c r="C19" s="2" t="s">
        <v>7</v>
      </c>
      <c r="D19" s="4"/>
      <c r="E19" s="9">
        <f>E16-E17-E18</f>
        <v>2200</v>
      </c>
      <c r="F19" s="9">
        <f t="shared" ref="F19:G19" si="0">F16-F17-F18</f>
        <v>4400</v>
      </c>
      <c r="G19" s="9">
        <f t="shared" si="0"/>
        <v>4400</v>
      </c>
    </row>
    <row r="20" spans="3:7" x14ac:dyDescent="0.25">
      <c r="C20" s="1" t="s">
        <v>8</v>
      </c>
      <c r="D20" s="4"/>
      <c r="E20" s="4">
        <v>0</v>
      </c>
      <c r="F20" s="4">
        <v>0</v>
      </c>
      <c r="G20" s="4">
        <f>(E29*0.05)</f>
        <v>1500</v>
      </c>
    </row>
    <row r="21" spans="3:7" x14ac:dyDescent="0.25">
      <c r="C21" s="2" t="s">
        <v>9</v>
      </c>
      <c r="D21" s="4"/>
      <c r="E21" s="9">
        <f>E19-E20</f>
        <v>2200</v>
      </c>
      <c r="F21" s="9">
        <f t="shared" ref="F21:G21" si="1">F19-F20</f>
        <v>4400</v>
      </c>
      <c r="G21" s="9">
        <f t="shared" si="1"/>
        <v>2900</v>
      </c>
    </row>
    <row r="22" spans="3:7" x14ac:dyDescent="0.25">
      <c r="C22" s="1" t="s">
        <v>10</v>
      </c>
      <c r="D22" s="5">
        <v>0.25</v>
      </c>
      <c r="E22" s="4">
        <f>$D$22*E21</f>
        <v>550</v>
      </c>
      <c r="F22" s="4">
        <f t="shared" ref="F22:G22" si="2">$D$22*F21</f>
        <v>1100</v>
      </c>
      <c r="G22" s="4">
        <f t="shared" si="2"/>
        <v>725</v>
      </c>
    </row>
    <row r="23" spans="3:7" x14ac:dyDescent="0.25">
      <c r="C23" s="2" t="s">
        <v>11</v>
      </c>
      <c r="D23" s="4"/>
      <c r="E23" s="9">
        <f>E21-E22</f>
        <v>1650</v>
      </c>
      <c r="F23" s="9">
        <f t="shared" ref="F23:G23" si="3">F21-F22</f>
        <v>3300</v>
      </c>
      <c r="G23" s="9">
        <f t="shared" si="3"/>
        <v>2175</v>
      </c>
    </row>
    <row r="24" spans="3:7" x14ac:dyDescent="0.25">
      <c r="C24" s="3"/>
      <c r="D24" s="7"/>
      <c r="E24" s="7"/>
      <c r="F24" s="7"/>
      <c r="G24" s="7"/>
    </row>
    <row r="25" spans="3:7" x14ac:dyDescent="0.25">
      <c r="C25" s="2" t="s">
        <v>12</v>
      </c>
      <c r="D25" s="4"/>
      <c r="E25" s="9">
        <f>E19+E18</f>
        <v>3700</v>
      </c>
      <c r="F25" s="9">
        <f t="shared" ref="F25:G25" si="4">F19+F18</f>
        <v>7400</v>
      </c>
      <c r="G25" s="9">
        <f t="shared" si="4"/>
        <v>7400</v>
      </c>
    </row>
    <row r="26" spans="3:7" x14ac:dyDescent="0.25">
      <c r="C26" s="2" t="s">
        <v>13</v>
      </c>
      <c r="D26" s="4"/>
      <c r="E26" s="9">
        <f>E19</f>
        <v>2200</v>
      </c>
      <c r="F26" s="9">
        <f t="shared" ref="F26:G26" si="5">F19</f>
        <v>4400</v>
      </c>
      <c r="G26" s="9">
        <f t="shared" si="5"/>
        <v>4400</v>
      </c>
    </row>
    <row r="27" spans="3:7" x14ac:dyDescent="0.25">
      <c r="C27" s="2" t="s">
        <v>14</v>
      </c>
      <c r="D27" s="4"/>
      <c r="E27" s="9">
        <f>E19*(1-$D$22)</f>
        <v>1650</v>
      </c>
      <c r="F27" s="9">
        <f>F19*(1-$D$22)</f>
        <v>3300</v>
      </c>
      <c r="G27" s="9">
        <f t="shared" ref="F27:G27" si="6">G19*(1-$D$22)</f>
        <v>3300</v>
      </c>
    </row>
    <row r="28" spans="3:7" x14ac:dyDescent="0.25">
      <c r="C28" s="3"/>
      <c r="D28" s="7"/>
      <c r="E28" s="7"/>
      <c r="F28" s="7"/>
      <c r="G28" s="7"/>
    </row>
    <row r="29" spans="3:7" x14ac:dyDescent="0.25">
      <c r="C29" s="1" t="s">
        <v>15</v>
      </c>
      <c r="D29" s="4"/>
      <c r="E29" s="8">
        <v>30000</v>
      </c>
      <c r="F29" s="8">
        <f>E29*2</f>
        <v>60000</v>
      </c>
      <c r="G29" s="8">
        <f>F29</f>
        <v>60000</v>
      </c>
    </row>
    <row r="30" spans="3:7" x14ac:dyDescent="0.25">
      <c r="C30" s="1" t="s">
        <v>16</v>
      </c>
      <c r="D30" s="4"/>
      <c r="E30" s="8">
        <v>0</v>
      </c>
      <c r="F30" s="8">
        <f>E30</f>
        <v>0</v>
      </c>
      <c r="G30" s="8">
        <f>E29</f>
        <v>30000</v>
      </c>
    </row>
    <row r="31" spans="3:7" x14ac:dyDescent="0.25">
      <c r="C31" s="1" t="s">
        <v>17</v>
      </c>
      <c r="D31" s="4"/>
      <c r="E31" s="8">
        <f>E29</f>
        <v>30000</v>
      </c>
      <c r="F31" s="8">
        <f>F29</f>
        <v>60000</v>
      </c>
      <c r="G31" s="8">
        <f>E31</f>
        <v>30000</v>
      </c>
    </row>
    <row r="32" spans="3:7" x14ac:dyDescent="0.25">
      <c r="C32" s="3"/>
      <c r="D32" s="7"/>
      <c r="E32" s="10"/>
      <c r="F32" s="10"/>
      <c r="G32" s="10"/>
    </row>
    <row r="33" spans="3:7" x14ac:dyDescent="0.25">
      <c r="C33" s="1" t="s">
        <v>18</v>
      </c>
      <c r="D33" s="4"/>
      <c r="E33" s="11">
        <f>E23/E31</f>
        <v>5.5E-2</v>
      </c>
      <c r="F33" s="11">
        <f>F23/F31</f>
        <v>5.5E-2</v>
      </c>
      <c r="G33" s="11">
        <f t="shared" ref="G33" si="7">G23/G31</f>
        <v>7.2499999999999995E-2</v>
      </c>
    </row>
    <row r="34" spans="3:7" x14ac:dyDescent="0.25">
      <c r="C34" s="1" t="s">
        <v>19</v>
      </c>
      <c r="D34" s="4"/>
      <c r="E34" s="11">
        <f>E23/E29</f>
        <v>5.5E-2</v>
      </c>
      <c r="F34" s="11">
        <f t="shared" ref="F34:G34" si="8">F23/F29</f>
        <v>5.5E-2</v>
      </c>
      <c r="G34" s="11">
        <f>G23/G29</f>
        <v>3.6249999999999998E-2</v>
      </c>
    </row>
    <row r="35" spans="3:7" x14ac:dyDescent="0.25">
      <c r="C35" s="1" t="s">
        <v>43</v>
      </c>
      <c r="D35" s="4"/>
      <c r="E35" s="11">
        <f>E27/E29</f>
        <v>5.5E-2</v>
      </c>
      <c r="F35" s="11">
        <f>F27/F29</f>
        <v>5.5E-2</v>
      </c>
      <c r="G35" s="11">
        <f t="shared" ref="F35:G35" si="9">G27/G29</f>
        <v>5.5E-2</v>
      </c>
    </row>
    <row r="36" spans="3:7" x14ac:dyDescent="0.25">
      <c r="C36" s="3"/>
      <c r="D36" s="7"/>
      <c r="E36" s="7"/>
      <c r="F36" s="7"/>
      <c r="G36" s="7"/>
    </row>
    <row r="37" spans="3:7" x14ac:dyDescent="0.25">
      <c r="C37" s="1" t="s">
        <v>20</v>
      </c>
      <c r="D37" s="4"/>
      <c r="E37" s="11">
        <f>E23/E14</f>
        <v>0.16500000000000001</v>
      </c>
      <c r="F37" s="11">
        <f t="shared" ref="F37:G37" si="10">F23/F14</f>
        <v>0.16500000000000001</v>
      </c>
      <c r="G37" s="11">
        <f t="shared" si="10"/>
        <v>0.10875</v>
      </c>
    </row>
    <row r="38" spans="3:7" x14ac:dyDescent="0.25">
      <c r="C38" s="1" t="s">
        <v>21</v>
      </c>
      <c r="D38" s="4"/>
      <c r="E38" s="12">
        <f>E14/E29</f>
        <v>0.33333333333333331</v>
      </c>
      <c r="F38" s="12">
        <f t="shared" ref="F38:G38" si="11">F14/F29</f>
        <v>0.33333333333333331</v>
      </c>
      <c r="G38" s="12">
        <f t="shared" si="11"/>
        <v>0.33333333333333331</v>
      </c>
    </row>
    <row r="39" spans="3:7" x14ac:dyDescent="0.25">
      <c r="C39" s="1" t="s">
        <v>22</v>
      </c>
      <c r="D39" s="4"/>
      <c r="E39" s="4">
        <f>E29/E31</f>
        <v>1</v>
      </c>
      <c r="F39" s="4">
        <f t="shared" ref="F39:G39" si="12">F29/F31</f>
        <v>1</v>
      </c>
      <c r="G39" s="4">
        <f t="shared" si="12"/>
        <v>2</v>
      </c>
    </row>
    <row r="40" spans="3:7" x14ac:dyDescent="0.25">
      <c r="C40" s="2" t="s">
        <v>18</v>
      </c>
      <c r="D40" s="6"/>
      <c r="E40" s="13">
        <f>E37*E38*E39</f>
        <v>5.5E-2</v>
      </c>
      <c r="F40" s="13">
        <f t="shared" ref="F40:G40" si="13">F37*F38*F39</f>
        <v>5.5E-2</v>
      </c>
      <c r="G40" s="13">
        <f t="shared" si="13"/>
        <v>7.2499999999999995E-2</v>
      </c>
    </row>
    <row r="41" spans="3:7" x14ac:dyDescent="0.25">
      <c r="C41" s="3"/>
      <c r="D41" s="7"/>
      <c r="E41" s="7"/>
      <c r="F41" s="7"/>
      <c r="G41" s="7"/>
    </row>
    <row r="42" spans="3:7" x14ac:dyDescent="0.25">
      <c r="C42" s="2" t="s">
        <v>23</v>
      </c>
      <c r="D42" s="4"/>
      <c r="E42" s="5">
        <f>E30/E29</f>
        <v>0</v>
      </c>
      <c r="F42" s="5">
        <f t="shared" ref="F42:G42" si="14">F30/F29</f>
        <v>0</v>
      </c>
      <c r="G42" s="5">
        <f t="shared" si="14"/>
        <v>0.5</v>
      </c>
    </row>
    <row r="43" spans="3:7" x14ac:dyDescent="0.25">
      <c r="C43" s="2" t="s">
        <v>24</v>
      </c>
      <c r="D43" s="4"/>
      <c r="E43" s="4" t="e">
        <f>E26/E20</f>
        <v>#DIV/0!</v>
      </c>
      <c r="F43" s="4" t="e">
        <f t="shared" ref="F43:G43" si="15">F26/F20</f>
        <v>#DIV/0!</v>
      </c>
      <c r="G43" s="4">
        <f t="shared" si="15"/>
        <v>2.9333333333333331</v>
      </c>
    </row>
    <row r="44" spans="3:7" x14ac:dyDescent="0.25">
      <c r="C44" s="2" t="s">
        <v>25</v>
      </c>
      <c r="D44" s="4"/>
      <c r="E44" s="4"/>
      <c r="F44" s="4"/>
      <c r="G44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2017-09-11T17:20:45Z</dcterms:modified>
</cp:coreProperties>
</file>