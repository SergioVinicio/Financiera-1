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29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19200" windowHeight="7455" activeTab="1"/>
  </bookViews>
  <sheets>
    <sheet name="Solución" sheetId="2" r:id="rId1"/>
    <sheet name="Ejercicio" sheetId="3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3" l="1"/>
  <c r="K25" i="3"/>
  <c r="K23" i="3"/>
  <c r="K28" i="3"/>
  <c r="K30" i="3" s="1"/>
  <c r="K15" i="3"/>
  <c r="K27" i="3"/>
  <c r="K11" i="3"/>
  <c r="K26" i="3" l="1"/>
  <c r="G29" i="3"/>
  <c r="G30" i="3"/>
  <c r="G28" i="3"/>
  <c r="G27" i="3"/>
  <c r="D39" i="2"/>
  <c r="C41" i="2"/>
  <c r="C39" i="2"/>
  <c r="C44" i="2"/>
  <c r="K22" i="3"/>
  <c r="K19" i="3"/>
  <c r="K18" i="3"/>
  <c r="K5" i="3"/>
  <c r="K9" i="3"/>
  <c r="K14" i="3"/>
  <c r="K13" i="3"/>
  <c r="K12" i="3"/>
  <c r="K10" i="3"/>
  <c r="K8" i="3"/>
  <c r="K7" i="3"/>
  <c r="K4" i="3"/>
  <c r="G7" i="3" l="1"/>
  <c r="G10" i="3" s="1"/>
  <c r="G4" i="3"/>
  <c r="H3" i="3"/>
  <c r="H4" i="3" s="1"/>
  <c r="H7" i="3" s="1"/>
  <c r="H10" i="3" s="1"/>
  <c r="C27" i="3"/>
  <c r="B27" i="3"/>
  <c r="D26" i="3"/>
  <c r="D25" i="3"/>
  <c r="D24" i="3"/>
  <c r="D23" i="3"/>
  <c r="C21" i="3"/>
  <c r="C28" i="3" s="1"/>
  <c r="B21" i="3"/>
  <c r="B28" i="3" s="1"/>
  <c r="D20" i="3"/>
  <c r="D18" i="3"/>
  <c r="D17" i="3"/>
  <c r="D16" i="3"/>
  <c r="D15" i="3"/>
  <c r="C12" i="3"/>
  <c r="B12" i="3"/>
  <c r="D11" i="3"/>
  <c r="D10" i="3"/>
  <c r="D9" i="3"/>
  <c r="D8" i="3"/>
  <c r="D7" i="3"/>
  <c r="D6" i="3"/>
  <c r="D5" i="3"/>
  <c r="D4" i="3"/>
  <c r="H11" i="3" l="1"/>
  <c r="H12" i="3" s="1"/>
  <c r="G11" i="3"/>
  <c r="G12" i="3" s="1"/>
  <c r="N2" i="2"/>
  <c r="N3" i="2" l="1"/>
  <c r="N4" i="2"/>
  <c r="N5" i="2"/>
  <c r="N6" i="2"/>
  <c r="N7" i="2"/>
  <c r="N8" i="2"/>
  <c r="N9" i="2"/>
  <c r="N10" i="2"/>
  <c r="N11" i="2"/>
  <c r="N13" i="2"/>
  <c r="N14" i="2"/>
  <c r="N15" i="2"/>
  <c r="N16" i="2"/>
  <c r="N17" i="2"/>
  <c r="N18" i="2"/>
  <c r="N19" i="2"/>
  <c r="N20" i="2"/>
  <c r="N21" i="2"/>
  <c r="N22" i="2"/>
  <c r="N23" i="2"/>
  <c r="N25" i="2"/>
  <c r="N26" i="2"/>
  <c r="N27" i="2"/>
  <c r="M26" i="2" l="1"/>
  <c r="C42" i="2"/>
  <c r="C34" i="2"/>
  <c r="C36" i="2"/>
  <c r="C33" i="2"/>
  <c r="C35" i="2" l="1"/>
  <c r="M22" i="2" s="1"/>
  <c r="C43" i="2"/>
  <c r="D34" i="2"/>
  <c r="L9" i="2" l="1"/>
  <c r="L10" i="2"/>
  <c r="L8" i="2"/>
  <c r="L5" i="2"/>
  <c r="L6" i="2"/>
  <c r="L7" i="2"/>
  <c r="L4" i="2"/>
  <c r="D28" i="2"/>
  <c r="C28" i="2"/>
  <c r="E27" i="2"/>
  <c r="E26" i="2"/>
  <c r="E25" i="2"/>
  <c r="M21" i="2" s="1"/>
  <c r="E24" i="2"/>
  <c r="M20" i="2" s="1"/>
  <c r="D22" i="2"/>
  <c r="C22" i="2"/>
  <c r="E21" i="2"/>
  <c r="M19" i="2" s="1"/>
  <c r="E19" i="2"/>
  <c r="M10" i="2" s="1"/>
  <c r="E18" i="2"/>
  <c r="M9" i="2" s="1"/>
  <c r="E17" i="2"/>
  <c r="M8" i="2" s="1"/>
  <c r="E16" i="2"/>
  <c r="M18" i="2" s="1"/>
  <c r="M23" i="2" s="1"/>
  <c r="D13" i="2"/>
  <c r="C13" i="2"/>
  <c r="E12" i="2"/>
  <c r="M3" i="2" s="1"/>
  <c r="E11" i="2"/>
  <c r="M14" i="2" s="1"/>
  <c r="M15" i="2" s="1"/>
  <c r="E10" i="2"/>
  <c r="E9" i="2"/>
  <c r="M7" i="2" s="1"/>
  <c r="E8" i="2"/>
  <c r="M6" i="2" s="1"/>
  <c r="E7" i="2"/>
  <c r="M5" i="2" s="1"/>
  <c r="E6" i="2"/>
  <c r="M4" i="2" s="1"/>
  <c r="H5" i="2"/>
  <c r="H8" i="2" s="1"/>
  <c r="H11" i="2" s="1"/>
  <c r="E5" i="2"/>
  <c r="I4" i="2"/>
  <c r="I5" i="2" s="1"/>
  <c r="I8" i="2" s="1"/>
  <c r="I11" i="2" s="1"/>
  <c r="D29" i="2" l="1"/>
  <c r="C29" i="2"/>
  <c r="H12" i="2"/>
  <c r="H13" i="2" s="1"/>
  <c r="M2" i="2" s="1"/>
  <c r="M11" i="2" s="1"/>
  <c r="I12" i="2"/>
  <c r="I13" i="2" s="1"/>
  <c r="Q15" i="2" l="1"/>
  <c r="M25" i="2"/>
  <c r="M27" i="2" s="1"/>
  <c r="N12" i="2"/>
  <c r="N24" i="2"/>
</calcChain>
</file>

<file path=xl/sharedStrings.xml><?xml version="1.0" encoding="utf-8"?>
<sst xmlns="http://schemas.openxmlformats.org/spreadsheetml/2006/main" count="139" uniqueCount="87">
  <si>
    <t>Corriente</t>
  </si>
  <si>
    <t>Gastos pagados por anticipado</t>
  </si>
  <si>
    <t>Inventarios</t>
  </si>
  <si>
    <t>No Corriente</t>
  </si>
  <si>
    <t>Pasivo Corriente</t>
  </si>
  <si>
    <t>PASIVO</t>
  </si>
  <si>
    <t>ACTIVO</t>
  </si>
  <si>
    <t>Préstamos a corto plazo</t>
  </si>
  <si>
    <t xml:space="preserve">Provisiones </t>
  </si>
  <si>
    <t>Beneficios a empleados</t>
  </si>
  <si>
    <t>Cuentas x cobrar</t>
  </si>
  <si>
    <t>Caja y equivalentes</t>
  </si>
  <si>
    <t>Otras Cuentas x cobrar</t>
  </si>
  <si>
    <t>Propiedad, planta y equipo</t>
  </si>
  <si>
    <t>Depreciación acumulada</t>
  </si>
  <si>
    <t>Cuentas x pagar</t>
  </si>
  <si>
    <t>Préstamos bancario a largo plazo</t>
  </si>
  <si>
    <t>Capital social</t>
  </si>
  <si>
    <t>Reserva legal</t>
  </si>
  <si>
    <t>Utilidades acumuladas</t>
  </si>
  <si>
    <t>Utilidad del ejercicio</t>
  </si>
  <si>
    <t>CAPITAL</t>
  </si>
  <si>
    <t>TOTAL PASIVO y CAPITAL</t>
  </si>
  <si>
    <t>Total Capital</t>
  </si>
  <si>
    <t>Total Pasivo</t>
  </si>
  <si>
    <t>Total Activo</t>
  </si>
  <si>
    <t>Var.</t>
  </si>
  <si>
    <t>Ventas</t>
  </si>
  <si>
    <t>(-) Costo de Ventas</t>
  </si>
  <si>
    <t>Utilidad Bruta</t>
  </si>
  <si>
    <t>(-) Gastos de venta</t>
  </si>
  <si>
    <t>(-) Gastos de administración</t>
  </si>
  <si>
    <t>Utilidad en Operación</t>
  </si>
  <si>
    <t>Gastos no operativos</t>
  </si>
  <si>
    <t>Gastos financieros</t>
  </si>
  <si>
    <t>Utilidad antes de impuestos</t>
  </si>
  <si>
    <t>ISR (30%)</t>
  </si>
  <si>
    <t>Utilidad del periodo</t>
  </si>
  <si>
    <t>NOTAS</t>
  </si>
  <si>
    <t>Durante el 2015 no se realizó ninguna venta de activos fijos</t>
  </si>
  <si>
    <t>Construya el flujo de efectivo utilizando el método indirecto</t>
  </si>
  <si>
    <t>Flujo de Operación</t>
  </si>
  <si>
    <t>Compra de PP&amp;E</t>
  </si>
  <si>
    <t>Flujo de Inversión</t>
  </si>
  <si>
    <t>Utilidades</t>
  </si>
  <si>
    <t>depreciacion</t>
  </si>
  <si>
    <t>Prestamos corto plazo</t>
  </si>
  <si>
    <t>Financiamiento</t>
  </si>
  <si>
    <t>Inversión</t>
  </si>
  <si>
    <t>Utilidades Retenidas</t>
  </si>
  <si>
    <t>Pago de dividendos</t>
  </si>
  <si>
    <t>Utilidades acumuladas al 2014</t>
  </si>
  <si>
    <t>(+) Utilidad 2014</t>
  </si>
  <si>
    <t>(-) Pago de Dividendos</t>
  </si>
  <si>
    <t>Utilidades acumuladas al 2015</t>
  </si>
  <si>
    <t>Utilidades Retenidas 2014</t>
  </si>
  <si>
    <t>Utilidad 2015</t>
  </si>
  <si>
    <t>Utilidades Retenidas 2015</t>
  </si>
  <si>
    <t>Flujo de financiamiento</t>
  </si>
  <si>
    <t>Flujo de caja del periodo</t>
  </si>
  <si>
    <t>Saldo inicial</t>
  </si>
  <si>
    <t>Saldo al final del periodo</t>
  </si>
  <si>
    <t>Flujo de Caja Libre</t>
  </si>
  <si>
    <t>Flujo de Efectivo</t>
  </si>
  <si>
    <t>1 De Enero al 31 de Diciembre del 2015</t>
  </si>
  <si>
    <t>Flujo Operativo</t>
  </si>
  <si>
    <t>Utilidad Neta</t>
  </si>
  <si>
    <t>Depreciacion</t>
  </si>
  <si>
    <t>Variacion Capital Trabajo Neto</t>
  </si>
  <si>
    <t>Cuentas por cobrar</t>
  </si>
  <si>
    <t>Otras cuentas por cobrar</t>
  </si>
  <si>
    <t>Gastos Pagados por Anticipado</t>
  </si>
  <si>
    <t>Cuentas por pagar</t>
  </si>
  <si>
    <t>Beneficios a Empleados</t>
  </si>
  <si>
    <t>Flujo de Inversion</t>
  </si>
  <si>
    <t>Flujo de Financiamiento</t>
  </si>
  <si>
    <t>Prestamo a Largo Plazo</t>
  </si>
  <si>
    <t>Pago de Dividendos</t>
  </si>
  <si>
    <t>Utilidad Retenidad 2014</t>
  </si>
  <si>
    <t>Utilidad Ejercicio 2015</t>
  </si>
  <si>
    <t>Utilidad del 2015</t>
  </si>
  <si>
    <t>Flujo del Periodo</t>
  </si>
  <si>
    <t>Gasto Intereses</t>
  </si>
  <si>
    <t>Gasto Interes</t>
  </si>
  <si>
    <t>Prestamo a Corto Plazo</t>
  </si>
  <si>
    <t>Capital Social</t>
  </si>
  <si>
    <t>Reserva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</si>
</sst>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i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65" fontId="2" fillId="0" borderId="1" xfId="0" applyNumberFormat="1" applyFont="1" applyBorder="1"/>
    <xf numFmtId="164" fontId="2" fillId="0" borderId="0" xfId="0" applyNumberFormat="1" applyFont="1"/>
    <xf numFmtId="0" fontId="1" fillId="0" borderId="0" xfId="0" applyFont="1" applyFill="1"/>
    <xf numFmtId="0" fontId="1" fillId="0" borderId="1" xfId="0" applyFont="1" applyFill="1" applyBorder="1"/>
    <xf numFmtId="164" fontId="1" fillId="0" borderId="1" xfId="0" applyNumberFormat="1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/>
    <xf numFmtId="0" fontId="1" fillId="0" borderId="0" xfId="0" applyFont="1" applyBorder="1"/>
    <xf numFmtId="164" fontId="1" fillId="0" borderId="0" xfId="0" applyNumberFormat="1" applyFont="1" applyBorder="1"/>
    <xf numFmtId="165" fontId="1" fillId="0" borderId="0" xfId="0" applyNumberFormat="1" applyFont="1"/>
    <xf numFmtId="0" fontId="2" fillId="0" borderId="0" xfId="0" applyFont="1" applyBorder="1"/>
    <xf numFmtId="164" fontId="2" fillId="0" borderId="0" xfId="0" applyNumberFormat="1" applyFont="1" applyBorder="1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0" fontId="1" fillId="5" borderId="1" xfId="0" applyFont="1" applyFill="1" applyBorder="1"/>
    <xf numFmtId="164" fontId="1" fillId="5" borderId="1" xfId="0" applyNumberFormat="1" applyFont="1" applyFill="1" applyBorder="1"/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165" fontId="0" fillId="0" borderId="4" xfId="0" applyNumberFormat="1" applyBorder="1"/>
    <xf numFmtId="0" fontId="3" fillId="2" borderId="1" xfId="0" applyFont="1" applyFill="1" applyBorder="1" applyAlignment="1">
      <alignment horizontal="center"/>
    </xf>
    <xf numFmtId="0" fontId="0" fillId="0" borderId="5" xfId="0" applyFill="1" applyBorder="1"/>
    <xf numFmtId="164" fontId="0" fillId="0" borderId="6" xfId="0" applyNumberFormat="1" applyBorder="1"/>
    <xf numFmtId="0" fontId="1" fillId="6" borderId="1" xfId="0" applyFont="1" applyFill="1" applyBorder="1"/>
    <xf numFmtId="164" fontId="1" fillId="6" borderId="1" xfId="0" applyNumberFormat="1" applyFont="1" applyFill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0" fillId="0" borderId="4" xfId="0" applyNumberFormat="1" applyBorder="1"/>
    <xf numFmtId="0" fontId="0" fillId="0" borderId="1" xfId="0" applyFill="1" applyBorder="1"/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opLeftCell="B4" zoomScale="90" zoomScaleNormal="90" workbookViewId="0">
      <selection activeCell="N2" sqref="N2"/>
    </sheetView>
  </sheetViews>
  <sheetFormatPr baseColWidth="10" defaultColWidth="9.140625" defaultRowHeight="16.5" x14ac:dyDescent="0.3"/>
  <cols>
    <col min="1" max="1" width="26" style="1" customWidth="1"/>
    <col min="2" max="2" width="36.7109375" style="1" bestFit="1" customWidth="1"/>
    <col min="3" max="5" width="9.140625" style="1"/>
    <col min="6" max="6" width="9.42578125" style="1" customWidth="1"/>
    <col min="7" max="7" width="30.7109375" style="1" bestFit="1" customWidth="1"/>
    <col min="8" max="11" width="9.140625" style="1"/>
    <col min="12" max="12" width="35.7109375" style="1" bestFit="1" customWidth="1"/>
    <col min="13" max="13" width="10" style="1" bestFit="1" customWidth="1"/>
    <col min="14" max="14" width="9.140625" style="1"/>
    <col min="15" max="15" width="20.85546875" style="1" bestFit="1" customWidth="1"/>
    <col min="16" max="16384" width="9.140625" style="1"/>
  </cols>
  <sheetData>
    <row r="1" spans="1:17" x14ac:dyDescent="0.3">
      <c r="A1" s="2" t="s">
        <v>40</v>
      </c>
    </row>
    <row r="2" spans="1:17" x14ac:dyDescent="0.3">
      <c r="B2" s="4"/>
      <c r="C2" s="5">
        <v>2015</v>
      </c>
      <c r="D2" s="5">
        <v>2014</v>
      </c>
      <c r="E2" s="6" t="s">
        <v>26</v>
      </c>
      <c r="G2" s="4"/>
      <c r="H2" s="5">
        <v>2015</v>
      </c>
      <c r="I2" s="5">
        <v>2014</v>
      </c>
      <c r="L2" s="1" t="s">
        <v>44</v>
      </c>
      <c r="M2" s="19">
        <f>H13</f>
        <v>141.75</v>
      </c>
      <c r="N2" s="1" t="e">
        <f>#REF!</f>
        <v>#REF!</v>
      </c>
    </row>
    <row r="3" spans="1:17" x14ac:dyDescent="0.3">
      <c r="B3" s="15" t="s">
        <v>6</v>
      </c>
      <c r="C3" s="4"/>
      <c r="D3" s="4"/>
      <c r="E3" s="4"/>
      <c r="G3" s="4" t="s">
        <v>27</v>
      </c>
      <c r="H3" s="4">
        <v>2848.6</v>
      </c>
      <c r="I3" s="4">
        <v>2700</v>
      </c>
      <c r="L3" s="1" t="s">
        <v>45</v>
      </c>
      <c r="M3" s="3">
        <f>-E12</f>
        <v>38.25</v>
      </c>
      <c r="N3" s="1" t="e">
        <f>#REF!</f>
        <v>#REF!</v>
      </c>
    </row>
    <row r="4" spans="1:17" x14ac:dyDescent="0.3">
      <c r="B4" s="15" t="s">
        <v>0</v>
      </c>
      <c r="C4" s="4"/>
      <c r="D4" s="4"/>
      <c r="E4" s="4"/>
      <c r="G4" s="4" t="s">
        <v>28</v>
      </c>
      <c r="H4" s="4">
        <v>-1842.8</v>
      </c>
      <c r="I4" s="4">
        <f>-0.65*I3</f>
        <v>-1755</v>
      </c>
      <c r="L4" s="1" t="str">
        <f>B6</f>
        <v>Cuentas x cobrar</v>
      </c>
      <c r="M4" s="18">
        <f>-E6</f>
        <v>-67.5</v>
      </c>
      <c r="N4" s="1" t="e">
        <f>#REF!</f>
        <v>#REF!</v>
      </c>
    </row>
    <row r="5" spans="1:17" x14ac:dyDescent="0.3">
      <c r="B5" s="13" t="s">
        <v>11</v>
      </c>
      <c r="C5" s="8">
        <v>62.5</v>
      </c>
      <c r="D5" s="8">
        <v>90</v>
      </c>
      <c r="E5" s="8">
        <f>C5-D5</f>
        <v>-27.5</v>
      </c>
      <c r="G5" s="5" t="s">
        <v>29</v>
      </c>
      <c r="H5" s="5">
        <f>SUM(H3:H4)</f>
        <v>1005.8</v>
      </c>
      <c r="I5" s="5">
        <f>SUM(I3:I4)</f>
        <v>945</v>
      </c>
      <c r="L5" s="1" t="str">
        <f t="shared" ref="L5:L7" si="0">B7</f>
        <v>Otras Cuentas x cobrar</v>
      </c>
      <c r="M5" s="18">
        <f t="shared" ref="M5:M7" si="1">-E7</f>
        <v>4.5</v>
      </c>
      <c r="N5" s="1" t="e">
        <f>#REF!</f>
        <v>#REF!</v>
      </c>
    </row>
    <row r="6" spans="1:17" x14ac:dyDescent="0.3">
      <c r="A6" s="12"/>
      <c r="B6" s="13" t="s">
        <v>10</v>
      </c>
      <c r="C6" s="14">
        <v>369</v>
      </c>
      <c r="D6" s="14">
        <v>301.5</v>
      </c>
      <c r="E6" s="14">
        <f t="shared" ref="E6:E12" si="2">C6-D6</f>
        <v>67.5</v>
      </c>
      <c r="G6" s="4" t="s">
        <v>30</v>
      </c>
      <c r="H6" s="4">
        <v>-528.79999999999995</v>
      </c>
      <c r="I6" s="4">
        <v>-407.5</v>
      </c>
      <c r="L6" s="1" t="str">
        <f t="shared" si="0"/>
        <v>Gastos pagados por anticipado</v>
      </c>
      <c r="M6" s="18">
        <f t="shared" si="1"/>
        <v>-13.5</v>
      </c>
      <c r="N6" s="1" t="e">
        <f>#REF!</f>
        <v>#REF!</v>
      </c>
    </row>
    <row r="7" spans="1:17" x14ac:dyDescent="0.3">
      <c r="A7" s="12"/>
      <c r="B7" s="13" t="s">
        <v>12</v>
      </c>
      <c r="C7" s="14">
        <v>13.5</v>
      </c>
      <c r="D7" s="14">
        <v>18</v>
      </c>
      <c r="E7" s="14">
        <f t="shared" si="2"/>
        <v>-4.5</v>
      </c>
      <c r="G7" s="4" t="s">
        <v>31</v>
      </c>
      <c r="H7" s="4">
        <v>-220.5</v>
      </c>
      <c r="I7" s="4">
        <v>-180</v>
      </c>
      <c r="L7" s="1" t="str">
        <f t="shared" si="0"/>
        <v>Inventarios</v>
      </c>
      <c r="M7" s="18">
        <f t="shared" si="1"/>
        <v>27</v>
      </c>
      <c r="N7" s="1" t="e">
        <f>#REF!</f>
        <v>#REF!</v>
      </c>
    </row>
    <row r="8" spans="1:17" x14ac:dyDescent="0.3">
      <c r="A8" s="12"/>
      <c r="B8" s="13" t="s">
        <v>1</v>
      </c>
      <c r="C8" s="14">
        <v>67.5</v>
      </c>
      <c r="D8" s="14">
        <v>54</v>
      </c>
      <c r="E8" s="14">
        <f t="shared" si="2"/>
        <v>13.5</v>
      </c>
      <c r="G8" s="5" t="s">
        <v>32</v>
      </c>
      <c r="H8" s="5">
        <f>SUM(H5:H7)</f>
        <v>256.5</v>
      </c>
      <c r="I8" s="5">
        <f>SUM(I5:I7)</f>
        <v>357.5</v>
      </c>
      <c r="L8" s="17" t="str">
        <f>B17</f>
        <v>Cuentas x pagar</v>
      </c>
      <c r="M8" s="18">
        <f>E17</f>
        <v>-9</v>
      </c>
      <c r="N8" s="1" t="e">
        <f>#REF!</f>
        <v>#REF!</v>
      </c>
    </row>
    <row r="9" spans="1:17" x14ac:dyDescent="0.3">
      <c r="A9" s="12"/>
      <c r="B9" s="13" t="s">
        <v>2</v>
      </c>
      <c r="C9" s="14">
        <v>283.5</v>
      </c>
      <c r="D9" s="14">
        <v>310.5</v>
      </c>
      <c r="E9" s="14">
        <f t="shared" si="2"/>
        <v>-27</v>
      </c>
      <c r="G9" s="4" t="s">
        <v>33</v>
      </c>
      <c r="H9" s="4"/>
      <c r="I9" s="4"/>
      <c r="L9" s="17" t="str">
        <f t="shared" ref="L9:L10" si="3">B18</f>
        <v xml:space="preserve">Provisiones </v>
      </c>
      <c r="M9" s="18">
        <f t="shared" ref="M9:M10" si="4">E18</f>
        <v>4.5</v>
      </c>
      <c r="N9" s="1" t="e">
        <f>#REF!</f>
        <v>#REF!</v>
      </c>
    </row>
    <row r="10" spans="1:17" x14ac:dyDescent="0.3">
      <c r="A10" s="12"/>
      <c r="B10" s="15" t="s">
        <v>3</v>
      </c>
      <c r="C10" s="14"/>
      <c r="D10" s="14"/>
      <c r="E10" s="14">
        <f t="shared" si="2"/>
        <v>0</v>
      </c>
      <c r="G10" s="4" t="s">
        <v>34</v>
      </c>
      <c r="H10" s="4">
        <v>-54</v>
      </c>
      <c r="I10" s="4">
        <v>-65</v>
      </c>
      <c r="L10" s="17" t="str">
        <f t="shared" si="3"/>
        <v>Beneficios a empleados</v>
      </c>
      <c r="M10" s="18">
        <f t="shared" si="4"/>
        <v>4.5</v>
      </c>
      <c r="N10" s="1" t="e">
        <f>#REF!</f>
        <v>#REF!</v>
      </c>
    </row>
    <row r="11" spans="1:17" x14ac:dyDescent="0.3">
      <c r="A11" s="12"/>
      <c r="B11" s="13" t="s">
        <v>13</v>
      </c>
      <c r="C11" s="14">
        <v>900</v>
      </c>
      <c r="D11" s="14">
        <v>882</v>
      </c>
      <c r="E11" s="14">
        <f t="shared" si="2"/>
        <v>18</v>
      </c>
      <c r="G11" s="5" t="s">
        <v>35</v>
      </c>
      <c r="H11" s="5">
        <f>SUM(H8:H10)</f>
        <v>202.5</v>
      </c>
      <c r="I11" s="5">
        <f>SUM(I8:I10)</f>
        <v>292.5</v>
      </c>
      <c r="L11" s="20" t="s">
        <v>41</v>
      </c>
      <c r="M11" s="21">
        <f>SUM(M2:M10)</f>
        <v>130.5</v>
      </c>
      <c r="N11" s="1" t="e">
        <f>#REF!</f>
        <v>#REF!</v>
      </c>
    </row>
    <row r="12" spans="1:17" x14ac:dyDescent="0.3">
      <c r="A12" s="12"/>
      <c r="B12" s="13" t="s">
        <v>14</v>
      </c>
      <c r="C12" s="14">
        <v>-171</v>
      </c>
      <c r="D12" s="14">
        <v>-132.75</v>
      </c>
      <c r="E12" s="14">
        <f t="shared" si="2"/>
        <v>-38.25</v>
      </c>
      <c r="G12" s="4" t="s">
        <v>36</v>
      </c>
      <c r="H12" s="9">
        <f>-0.3*H11</f>
        <v>-60.75</v>
      </c>
      <c r="I12" s="9">
        <f>-0.3*I11</f>
        <v>-87.75</v>
      </c>
      <c r="L12" s="17"/>
      <c r="M12" s="18"/>
      <c r="N12" s="1" t="e">
        <f>#REF!</f>
        <v>#REF!</v>
      </c>
    </row>
    <row r="13" spans="1:17" x14ac:dyDescent="0.3">
      <c r="A13" s="12"/>
      <c r="B13" s="15" t="s">
        <v>25</v>
      </c>
      <c r="C13" s="16">
        <f>SUM(C5:C12)</f>
        <v>1525</v>
      </c>
      <c r="D13" s="16">
        <f>SUM(D5:D12)</f>
        <v>1523.25</v>
      </c>
      <c r="E13" s="14"/>
      <c r="G13" s="5" t="s">
        <v>37</v>
      </c>
      <c r="H13" s="10">
        <f>H11+H12</f>
        <v>141.75</v>
      </c>
      <c r="I13" s="10">
        <f>I11+I12</f>
        <v>204.75</v>
      </c>
      <c r="L13" s="20" t="s">
        <v>48</v>
      </c>
      <c r="M13" s="18"/>
      <c r="N13" s="1" t="e">
        <f>#REF!</f>
        <v>#REF!</v>
      </c>
    </row>
    <row r="14" spans="1:17" x14ac:dyDescent="0.3">
      <c r="A14" s="12"/>
      <c r="B14" s="15" t="s">
        <v>5</v>
      </c>
      <c r="C14" s="14"/>
      <c r="D14" s="14"/>
      <c r="E14" s="14"/>
      <c r="L14" s="17" t="s">
        <v>42</v>
      </c>
      <c r="M14" s="18">
        <f>-E11</f>
        <v>-18</v>
      </c>
      <c r="N14" s="1" t="e">
        <f>#REF!</f>
        <v>#REF!</v>
      </c>
    </row>
    <row r="15" spans="1:17" x14ac:dyDescent="0.3">
      <c r="A15" s="12"/>
      <c r="B15" s="15" t="s">
        <v>4</v>
      </c>
      <c r="C15" s="14"/>
      <c r="D15" s="14"/>
      <c r="E15" s="14"/>
      <c r="L15" s="20" t="s">
        <v>43</v>
      </c>
      <c r="M15" s="21">
        <f>M14</f>
        <v>-18</v>
      </c>
      <c r="N15" s="1" t="e">
        <f>#REF!</f>
        <v>#REF!</v>
      </c>
      <c r="O15" s="2" t="s">
        <v>62</v>
      </c>
      <c r="P15" s="2"/>
      <c r="Q15" s="11">
        <f>M11+M15</f>
        <v>112.5</v>
      </c>
    </row>
    <row r="16" spans="1:17" x14ac:dyDescent="0.3">
      <c r="A16" s="12"/>
      <c r="B16" s="13" t="s">
        <v>7</v>
      </c>
      <c r="C16" s="14">
        <v>108</v>
      </c>
      <c r="D16" s="14">
        <v>90</v>
      </c>
      <c r="E16" s="14">
        <f t="shared" ref="E16:E19" si="5">C16-D16</f>
        <v>18</v>
      </c>
      <c r="G16" s="2" t="s">
        <v>38</v>
      </c>
      <c r="L16" s="20"/>
      <c r="M16" s="18"/>
      <c r="N16" s="1" t="e">
        <f>#REF!</f>
        <v>#REF!</v>
      </c>
    </row>
    <row r="17" spans="1:14" x14ac:dyDescent="0.3">
      <c r="A17" s="12"/>
      <c r="B17" s="13" t="s">
        <v>15</v>
      </c>
      <c r="C17" s="14">
        <v>369</v>
      </c>
      <c r="D17" s="14">
        <v>378</v>
      </c>
      <c r="E17" s="14">
        <f t="shared" si="5"/>
        <v>-9</v>
      </c>
      <c r="G17" s="1" t="s">
        <v>39</v>
      </c>
      <c r="L17" s="20" t="s">
        <v>47</v>
      </c>
      <c r="M17" s="18"/>
      <c r="N17" s="1" t="e">
        <f>#REF!</f>
        <v>#REF!</v>
      </c>
    </row>
    <row r="18" spans="1:14" x14ac:dyDescent="0.3">
      <c r="A18" s="12"/>
      <c r="B18" s="13" t="s">
        <v>8</v>
      </c>
      <c r="C18" s="14">
        <v>54</v>
      </c>
      <c r="D18" s="14">
        <v>49.5</v>
      </c>
      <c r="E18" s="14">
        <f t="shared" si="5"/>
        <v>4.5</v>
      </c>
      <c r="L18" s="1" t="s">
        <v>46</v>
      </c>
      <c r="M18" s="3">
        <f>E16</f>
        <v>18</v>
      </c>
      <c r="N18" s="1" t="e">
        <f>#REF!</f>
        <v>#REF!</v>
      </c>
    </row>
    <row r="19" spans="1:14" x14ac:dyDescent="0.3">
      <c r="A19" s="12"/>
      <c r="B19" s="13" t="s">
        <v>9</v>
      </c>
      <c r="C19" s="14">
        <v>13.5</v>
      </c>
      <c r="D19" s="14">
        <v>9</v>
      </c>
      <c r="E19" s="14">
        <f t="shared" si="5"/>
        <v>4.5</v>
      </c>
      <c r="L19" s="13" t="s">
        <v>16</v>
      </c>
      <c r="M19" s="3">
        <f>E21</f>
        <v>-108</v>
      </c>
      <c r="N19" s="1" t="e">
        <f>#REF!</f>
        <v>#REF!</v>
      </c>
    </row>
    <row r="20" spans="1:14" x14ac:dyDescent="0.3">
      <c r="A20" s="12"/>
      <c r="B20" s="15" t="s">
        <v>3</v>
      </c>
      <c r="C20" s="14"/>
      <c r="D20" s="14"/>
      <c r="E20" s="14"/>
      <c r="L20" s="4" t="s">
        <v>17</v>
      </c>
      <c r="M20" s="3">
        <f>E24</f>
        <v>0</v>
      </c>
      <c r="N20" s="1" t="e">
        <f>#REF!</f>
        <v>#REF!</v>
      </c>
    </row>
    <row r="21" spans="1:14" x14ac:dyDescent="0.3">
      <c r="A21" s="12"/>
      <c r="B21" s="13" t="s">
        <v>16</v>
      </c>
      <c r="C21" s="14">
        <v>162</v>
      </c>
      <c r="D21" s="14">
        <v>270</v>
      </c>
      <c r="E21" s="14">
        <f>C21-D21</f>
        <v>-108</v>
      </c>
      <c r="I21" s="3"/>
      <c r="J21" s="3"/>
      <c r="L21" s="4" t="s">
        <v>18</v>
      </c>
      <c r="M21" s="3">
        <f>E25</f>
        <v>0</v>
      </c>
      <c r="N21" s="1" t="e">
        <f>#REF!</f>
        <v>#REF!</v>
      </c>
    </row>
    <row r="22" spans="1:14" x14ac:dyDescent="0.3">
      <c r="A22" s="12"/>
      <c r="B22" s="15" t="s">
        <v>24</v>
      </c>
      <c r="C22" s="16">
        <f>SUM(C16:C21)</f>
        <v>706.5</v>
      </c>
      <c r="D22" s="16">
        <f>SUM(D16:D21)</f>
        <v>796.5</v>
      </c>
      <c r="E22" s="14"/>
      <c r="L22" s="4" t="s">
        <v>50</v>
      </c>
      <c r="M22" s="3">
        <f>-C35</f>
        <v>-50</v>
      </c>
      <c r="N22" s="1" t="e">
        <f>#REF!</f>
        <v>#REF!</v>
      </c>
    </row>
    <row r="23" spans="1:14" x14ac:dyDescent="0.3">
      <c r="A23" s="12"/>
      <c r="B23" s="15" t="s">
        <v>21</v>
      </c>
      <c r="C23" s="14"/>
      <c r="D23" s="14"/>
      <c r="E23" s="14"/>
      <c r="L23" s="2" t="s">
        <v>58</v>
      </c>
      <c r="M23" s="11">
        <f>SUM(M18:M22)</f>
        <v>-140</v>
      </c>
      <c r="N23" s="1" t="e">
        <f>#REF!</f>
        <v>#REF!</v>
      </c>
    </row>
    <row r="24" spans="1:14" x14ac:dyDescent="0.3">
      <c r="B24" s="13" t="s">
        <v>17</v>
      </c>
      <c r="C24" s="8">
        <v>360</v>
      </c>
      <c r="D24" s="8">
        <v>360</v>
      </c>
      <c r="E24" s="8">
        <f t="shared" ref="E24:E27" si="6">C24-D24</f>
        <v>0</v>
      </c>
      <c r="N24" s="1" t="e">
        <f>#REF!</f>
        <v>#REF!</v>
      </c>
    </row>
    <row r="25" spans="1:14" x14ac:dyDescent="0.3">
      <c r="B25" s="13" t="s">
        <v>18</v>
      </c>
      <c r="C25" s="8">
        <v>72</v>
      </c>
      <c r="D25" s="8">
        <v>72</v>
      </c>
      <c r="E25" s="8">
        <f t="shared" si="6"/>
        <v>0</v>
      </c>
      <c r="L25" s="2" t="s">
        <v>59</v>
      </c>
      <c r="M25" s="11">
        <f>SUM(M11,M15,M23)</f>
        <v>-27.5</v>
      </c>
      <c r="N25" s="1" t="e">
        <f>#REF!</f>
        <v>#REF!</v>
      </c>
    </row>
    <row r="26" spans="1:14" x14ac:dyDescent="0.3">
      <c r="B26" s="13" t="s">
        <v>19</v>
      </c>
      <c r="C26" s="8">
        <v>244.75</v>
      </c>
      <c r="D26" s="8">
        <v>90</v>
      </c>
      <c r="E26" s="8">
        <f t="shared" si="6"/>
        <v>154.75</v>
      </c>
      <c r="L26" s="1" t="s">
        <v>60</v>
      </c>
      <c r="M26" s="3">
        <f>D5</f>
        <v>90</v>
      </c>
      <c r="N26" s="1" t="e">
        <f>#REF!</f>
        <v>#REF!</v>
      </c>
    </row>
    <row r="27" spans="1:14" x14ac:dyDescent="0.3">
      <c r="B27" s="13" t="s">
        <v>20</v>
      </c>
      <c r="C27" s="8">
        <v>141.75</v>
      </c>
      <c r="D27" s="8">
        <v>204.75</v>
      </c>
      <c r="E27" s="8">
        <f t="shared" si="6"/>
        <v>-63</v>
      </c>
      <c r="L27" s="11" t="s">
        <v>61</v>
      </c>
      <c r="M27" s="11">
        <f>M25+M26</f>
        <v>62.5</v>
      </c>
      <c r="N27" s="1" t="e">
        <f>#REF!</f>
        <v>#REF!</v>
      </c>
    </row>
    <row r="28" spans="1:14" x14ac:dyDescent="0.3">
      <c r="B28" s="15" t="s">
        <v>23</v>
      </c>
      <c r="C28" s="7">
        <f>SUM(C24:C27)</f>
        <v>818.5</v>
      </c>
      <c r="D28" s="7">
        <f>SUM(D24:D27)</f>
        <v>726.75</v>
      </c>
      <c r="E28" s="4"/>
      <c r="L28" s="3"/>
      <c r="M28" s="3"/>
    </row>
    <row r="29" spans="1:14" x14ac:dyDescent="0.3">
      <c r="B29" s="15" t="s">
        <v>22</v>
      </c>
      <c r="C29" s="7">
        <f>C22+C28</f>
        <v>1525</v>
      </c>
      <c r="D29" s="7">
        <f>D22+D28</f>
        <v>1523.25</v>
      </c>
      <c r="E29" s="4"/>
      <c r="L29" s="3"/>
    </row>
    <row r="30" spans="1:14" x14ac:dyDescent="0.3">
      <c r="B30" s="12"/>
    </row>
    <row r="31" spans="1:14" x14ac:dyDescent="0.3">
      <c r="B31" s="2" t="s">
        <v>19</v>
      </c>
      <c r="C31" s="3"/>
    </row>
    <row r="33" spans="2:6" x14ac:dyDescent="0.3">
      <c r="B33" s="1" t="s">
        <v>51</v>
      </c>
      <c r="C33" s="3">
        <f>D26</f>
        <v>90</v>
      </c>
    </row>
    <row r="34" spans="2:6" x14ac:dyDescent="0.3">
      <c r="B34" s="1" t="s">
        <v>52</v>
      </c>
      <c r="C34" s="3">
        <f>D27</f>
        <v>204.75</v>
      </c>
      <c r="D34" s="3">
        <f>C33+C34</f>
        <v>294.75</v>
      </c>
    </row>
    <row r="35" spans="2:6" x14ac:dyDescent="0.3">
      <c r="B35" s="22" t="s">
        <v>53</v>
      </c>
      <c r="C35" s="23">
        <f>C33+C34-C36</f>
        <v>50</v>
      </c>
    </row>
    <row r="36" spans="2:6" x14ac:dyDescent="0.3">
      <c r="B36" s="1" t="s">
        <v>54</v>
      </c>
      <c r="C36" s="3">
        <f>C26</f>
        <v>244.75</v>
      </c>
    </row>
    <row r="39" spans="2:6" x14ac:dyDescent="0.3">
      <c r="B39" s="2" t="s">
        <v>49</v>
      </c>
      <c r="C39" s="3">
        <f>C26+C27</f>
        <v>386.5</v>
      </c>
      <c r="D39" s="3">
        <f>D26+D27</f>
        <v>294.75</v>
      </c>
      <c r="F39" s="3"/>
    </row>
    <row r="40" spans="2:6" x14ac:dyDescent="0.3">
      <c r="F40" s="3"/>
    </row>
    <row r="41" spans="2:6" x14ac:dyDescent="0.3">
      <c r="B41" s="1" t="s">
        <v>55</v>
      </c>
      <c r="C41" s="3">
        <f>D39</f>
        <v>294.75</v>
      </c>
    </row>
    <row r="42" spans="2:6" x14ac:dyDescent="0.3">
      <c r="B42" s="1" t="s">
        <v>56</v>
      </c>
      <c r="C42" s="3">
        <f>C27</f>
        <v>141.75</v>
      </c>
    </row>
    <row r="43" spans="2:6" x14ac:dyDescent="0.3">
      <c r="B43" s="22" t="s">
        <v>53</v>
      </c>
      <c r="C43" s="23">
        <f>C41+C42-C44</f>
        <v>50</v>
      </c>
    </row>
    <row r="44" spans="2:6" x14ac:dyDescent="0.3">
      <c r="B44" s="1" t="s">
        <v>57</v>
      </c>
      <c r="C44" s="3">
        <f>C39</f>
        <v>386.5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topLeftCell="A10" zoomScale="80" zoomScaleNormal="80" workbookViewId="0">
      <selection activeCell="I29" sqref="I29"/>
    </sheetView>
  </sheetViews>
  <sheetFormatPr baseColWidth="10" defaultRowHeight="15" x14ac:dyDescent="0.25"/>
  <cols>
    <col min="1" max="1" width="36.42578125" bestFit="1" customWidth="1"/>
    <col min="6" max="6" width="30.42578125" bestFit="1" customWidth="1"/>
    <col min="10" max="10" width="32.140625" bestFit="1" customWidth="1"/>
  </cols>
  <sheetData>
    <row r="1" spans="1:11" ht="16.5" x14ac:dyDescent="0.3">
      <c r="A1" s="4"/>
      <c r="B1" s="5">
        <v>2015</v>
      </c>
      <c r="C1" s="5">
        <v>2014</v>
      </c>
      <c r="D1" s="6" t="s">
        <v>26</v>
      </c>
      <c r="F1" s="4"/>
      <c r="G1" s="5">
        <v>2015</v>
      </c>
      <c r="H1" s="5">
        <v>2014</v>
      </c>
      <c r="J1" t="s">
        <v>63</v>
      </c>
      <c r="K1" t="s">
        <v>64</v>
      </c>
    </row>
    <row r="2" spans="1:11" ht="16.5" x14ac:dyDescent="0.3">
      <c r="A2" s="15" t="s">
        <v>6</v>
      </c>
      <c r="B2" s="4"/>
      <c r="C2" s="4"/>
      <c r="D2" s="4"/>
      <c r="F2" s="4" t="s">
        <v>27</v>
      </c>
      <c r="G2" s="4">
        <v>2848.6</v>
      </c>
      <c r="H2" s="4">
        <v>2700</v>
      </c>
    </row>
    <row r="3" spans="1:11" ht="16.5" x14ac:dyDescent="0.3">
      <c r="A3" s="15" t="s">
        <v>0</v>
      </c>
      <c r="B3" s="4"/>
      <c r="C3" s="4"/>
      <c r="D3" s="4"/>
      <c r="F3" s="4" t="s">
        <v>28</v>
      </c>
      <c r="G3" s="4">
        <v>-1842.8</v>
      </c>
      <c r="H3" s="4">
        <f>-0.65*H2</f>
        <v>-1755</v>
      </c>
      <c r="J3" s="40" t="s">
        <v>65</v>
      </c>
      <c r="K3" s="40"/>
    </row>
    <row r="4" spans="1:11" ht="16.5" x14ac:dyDescent="0.3">
      <c r="A4" s="25" t="s">
        <v>11</v>
      </c>
      <c r="B4" s="26">
        <v>62.5</v>
      </c>
      <c r="C4" s="26">
        <v>90</v>
      </c>
      <c r="D4" s="26">
        <f>B4-C4</f>
        <v>-27.5</v>
      </c>
      <c r="F4" s="5" t="s">
        <v>29</v>
      </c>
      <c r="G4" s="5">
        <f>SUM(G2:G3)</f>
        <v>1005.8</v>
      </c>
      <c r="H4" s="5">
        <f>SUM(H2:H3)</f>
        <v>945</v>
      </c>
      <c r="J4" s="33" t="s">
        <v>66</v>
      </c>
      <c r="K4" s="34">
        <f>G12</f>
        <v>141.75</v>
      </c>
    </row>
    <row r="5" spans="1:11" ht="16.5" x14ac:dyDescent="0.3">
      <c r="A5" s="27" t="s">
        <v>10</v>
      </c>
      <c r="B5" s="28">
        <v>369</v>
      </c>
      <c r="C5" s="28">
        <v>301.5</v>
      </c>
      <c r="D5" s="28">
        <f t="shared" ref="D5:D11" si="0">B5-C5</f>
        <v>67.5</v>
      </c>
      <c r="F5" s="4" t="s">
        <v>30</v>
      </c>
      <c r="G5" s="4">
        <v>-528.79999999999995</v>
      </c>
      <c r="H5" s="4">
        <v>-407.5</v>
      </c>
      <c r="J5" s="33" t="s">
        <v>67</v>
      </c>
      <c r="K5" s="35">
        <f>-D11</f>
        <v>38.25</v>
      </c>
    </row>
    <row r="6" spans="1:11" ht="16.5" x14ac:dyDescent="0.3">
      <c r="A6" s="27" t="s">
        <v>12</v>
      </c>
      <c r="B6" s="28">
        <v>13.5</v>
      </c>
      <c r="C6" s="28">
        <v>18</v>
      </c>
      <c r="D6" s="28">
        <f t="shared" si="0"/>
        <v>-4.5</v>
      </c>
      <c r="F6" s="4" t="s">
        <v>31</v>
      </c>
      <c r="G6" s="4">
        <v>-220.5</v>
      </c>
      <c r="H6" s="4">
        <v>-180</v>
      </c>
      <c r="J6" s="45" t="s">
        <v>68</v>
      </c>
      <c r="K6" s="46"/>
    </row>
    <row r="7" spans="1:11" ht="16.5" x14ac:dyDescent="0.3">
      <c r="A7" s="27" t="s">
        <v>1</v>
      </c>
      <c r="B7" s="28">
        <v>67.5</v>
      </c>
      <c r="C7" s="28">
        <v>54</v>
      </c>
      <c r="D7" s="28">
        <f t="shared" si="0"/>
        <v>13.5</v>
      </c>
      <c r="F7" s="5" t="s">
        <v>32</v>
      </c>
      <c r="G7" s="5">
        <f>SUM(G4:G6)</f>
        <v>256.5</v>
      </c>
      <c r="H7" s="5">
        <f>SUM(H4:H6)</f>
        <v>357.5</v>
      </c>
      <c r="J7" s="33" t="s">
        <v>69</v>
      </c>
      <c r="K7" s="35">
        <f>-D5</f>
        <v>-67.5</v>
      </c>
    </row>
    <row r="8" spans="1:11" ht="16.5" x14ac:dyDescent="0.3">
      <c r="A8" s="27" t="s">
        <v>2</v>
      </c>
      <c r="B8" s="28">
        <v>283.5</v>
      </c>
      <c r="C8" s="28">
        <v>310.5</v>
      </c>
      <c r="D8" s="28">
        <f t="shared" si="0"/>
        <v>-27</v>
      </c>
      <c r="F8" s="4" t="s">
        <v>33</v>
      </c>
      <c r="G8" s="4"/>
      <c r="H8" s="4"/>
      <c r="J8" s="33" t="s">
        <v>70</v>
      </c>
      <c r="K8" s="35">
        <f>-D6</f>
        <v>4.5</v>
      </c>
    </row>
    <row r="9" spans="1:11" ht="16.5" x14ac:dyDescent="0.3">
      <c r="A9" s="15" t="s">
        <v>3</v>
      </c>
      <c r="B9" s="14"/>
      <c r="C9" s="14"/>
      <c r="D9" s="14">
        <f t="shared" si="0"/>
        <v>0</v>
      </c>
      <c r="F9" s="4" t="s">
        <v>34</v>
      </c>
      <c r="G9" s="4">
        <v>-54</v>
      </c>
      <c r="H9" s="4">
        <v>-65</v>
      </c>
      <c r="J9" s="33" t="s">
        <v>71</v>
      </c>
      <c r="K9" s="35">
        <f>-D7</f>
        <v>-13.5</v>
      </c>
    </row>
    <row r="10" spans="1:11" ht="16.5" x14ac:dyDescent="0.3">
      <c r="A10" s="43" t="s">
        <v>13</v>
      </c>
      <c r="B10" s="44">
        <v>900</v>
      </c>
      <c r="C10" s="44">
        <v>882</v>
      </c>
      <c r="D10" s="44">
        <f t="shared" si="0"/>
        <v>18</v>
      </c>
      <c r="F10" s="5" t="s">
        <v>35</v>
      </c>
      <c r="G10" s="5">
        <f>SUM(G7:G9)</f>
        <v>202.5</v>
      </c>
      <c r="H10" s="5">
        <f>SUM(H7:H9)</f>
        <v>292.5</v>
      </c>
      <c r="J10" s="33" t="s">
        <v>2</v>
      </c>
      <c r="K10" s="35">
        <f>-D8</f>
        <v>27</v>
      </c>
    </row>
    <row r="11" spans="1:11" ht="16.5" x14ac:dyDescent="0.3">
      <c r="A11" s="31" t="s">
        <v>14</v>
      </c>
      <c r="B11" s="32">
        <v>-171</v>
      </c>
      <c r="C11" s="32">
        <v>-132.75</v>
      </c>
      <c r="D11" s="32">
        <f t="shared" si="0"/>
        <v>-38.25</v>
      </c>
      <c r="F11" s="4" t="s">
        <v>36</v>
      </c>
      <c r="G11" s="9">
        <f>-0.3*G10</f>
        <v>-60.75</v>
      </c>
      <c r="H11" s="9">
        <f>-0.3*H10</f>
        <v>-87.75</v>
      </c>
      <c r="J11" s="33" t="s">
        <v>82</v>
      </c>
      <c r="K11" s="35">
        <f>-G9</f>
        <v>54</v>
      </c>
    </row>
    <row r="12" spans="1:11" ht="16.5" x14ac:dyDescent="0.3">
      <c r="A12" s="15" t="s">
        <v>25</v>
      </c>
      <c r="B12" s="16">
        <f>SUM(B4:B11)</f>
        <v>1525</v>
      </c>
      <c r="C12" s="16">
        <f>SUM(C4:C11)</f>
        <v>1523.25</v>
      </c>
      <c r="D12" s="14"/>
      <c r="F12" s="5" t="s">
        <v>37</v>
      </c>
      <c r="G12" s="10">
        <f>G10+G11</f>
        <v>141.75</v>
      </c>
      <c r="H12" s="10">
        <f>H10+H11</f>
        <v>204.75</v>
      </c>
      <c r="J12" s="33" t="s">
        <v>72</v>
      </c>
      <c r="K12" s="35">
        <f>D16</f>
        <v>-9</v>
      </c>
    </row>
    <row r="13" spans="1:11" ht="16.5" x14ac:dyDescent="0.3">
      <c r="A13" s="15" t="s">
        <v>5</v>
      </c>
      <c r="B13" s="14"/>
      <c r="C13" s="14"/>
      <c r="D13" s="14"/>
      <c r="J13" s="33" t="s">
        <v>8</v>
      </c>
      <c r="K13" s="35">
        <f>D17</f>
        <v>4.5</v>
      </c>
    </row>
    <row r="14" spans="1:11" ht="17.25" thickBot="1" x14ac:dyDescent="0.35">
      <c r="A14" s="15" t="s">
        <v>4</v>
      </c>
      <c r="B14" s="14"/>
      <c r="C14" s="14"/>
      <c r="D14" s="14"/>
      <c r="J14" s="36" t="s">
        <v>73</v>
      </c>
      <c r="K14" s="37">
        <f>D18</f>
        <v>4.5</v>
      </c>
    </row>
    <row r="15" spans="1:11" ht="17.25" thickBot="1" x14ac:dyDescent="0.35">
      <c r="A15" s="27" t="s">
        <v>7</v>
      </c>
      <c r="B15" s="28">
        <v>108</v>
      </c>
      <c r="C15" s="28">
        <v>90</v>
      </c>
      <c r="D15" s="28">
        <f t="shared" ref="D15:D18" si="1">B15-C15</f>
        <v>18</v>
      </c>
      <c r="J15" s="38" t="s">
        <v>65</v>
      </c>
      <c r="K15" s="39">
        <f>SUM(K4:K14)</f>
        <v>184.5</v>
      </c>
    </row>
    <row r="16" spans="1:11" ht="16.5" x14ac:dyDescent="0.3">
      <c r="A16" s="27" t="s">
        <v>15</v>
      </c>
      <c r="B16" s="28">
        <v>369</v>
      </c>
      <c r="C16" s="28">
        <v>378</v>
      </c>
      <c r="D16" s="28">
        <f t="shared" si="1"/>
        <v>-9</v>
      </c>
    </row>
    <row r="17" spans="1:11" ht="16.5" x14ac:dyDescent="0.3">
      <c r="A17" s="27" t="s">
        <v>8</v>
      </c>
      <c r="B17" s="28">
        <v>54</v>
      </c>
      <c r="C17" s="28">
        <v>49.5</v>
      </c>
      <c r="D17" s="28">
        <f t="shared" si="1"/>
        <v>4.5</v>
      </c>
      <c r="J17" s="49" t="s">
        <v>74</v>
      </c>
      <c r="K17" s="50"/>
    </row>
    <row r="18" spans="1:11" ht="17.25" thickBot="1" x14ac:dyDescent="0.35">
      <c r="A18" s="27" t="s">
        <v>9</v>
      </c>
      <c r="B18" s="28">
        <v>13.5</v>
      </c>
      <c r="C18" s="28">
        <v>9</v>
      </c>
      <c r="D18" s="28">
        <f t="shared" si="1"/>
        <v>4.5</v>
      </c>
      <c r="J18" s="36" t="s">
        <v>42</v>
      </c>
      <c r="K18" s="37">
        <f>-D10</f>
        <v>-18</v>
      </c>
    </row>
    <row r="19" spans="1:11" ht="17.25" thickBot="1" x14ac:dyDescent="0.35">
      <c r="A19" s="15" t="s">
        <v>3</v>
      </c>
      <c r="B19" s="14"/>
      <c r="C19" s="14"/>
      <c r="D19" s="14"/>
      <c r="J19" s="41" t="s">
        <v>74</v>
      </c>
      <c r="K19" s="42">
        <f>K18</f>
        <v>-18</v>
      </c>
    </row>
    <row r="20" spans="1:11" ht="16.5" x14ac:dyDescent="0.3">
      <c r="A20" s="29" t="s">
        <v>16</v>
      </c>
      <c r="B20" s="30">
        <v>162</v>
      </c>
      <c r="C20" s="30">
        <v>270</v>
      </c>
      <c r="D20" s="30">
        <f>B20-C20</f>
        <v>-108</v>
      </c>
    </row>
    <row r="21" spans="1:11" ht="16.5" x14ac:dyDescent="0.3">
      <c r="A21" s="15" t="s">
        <v>24</v>
      </c>
      <c r="B21" s="16">
        <f>SUM(B15:B20)</f>
        <v>706.5</v>
      </c>
      <c r="C21" s="16">
        <f>SUM(C15:C20)</f>
        <v>796.5</v>
      </c>
      <c r="D21" s="14"/>
      <c r="J21" s="51" t="s">
        <v>75</v>
      </c>
      <c r="K21" s="52"/>
    </row>
    <row r="22" spans="1:11" ht="16.5" x14ac:dyDescent="0.3">
      <c r="A22" s="15" t="s">
        <v>21</v>
      </c>
      <c r="B22" s="14"/>
      <c r="C22" s="14"/>
      <c r="D22" s="14"/>
      <c r="J22" s="33" t="s">
        <v>76</v>
      </c>
      <c r="K22" s="35">
        <f>D20</f>
        <v>-108</v>
      </c>
    </row>
    <row r="23" spans="1:11" ht="16.5" x14ac:dyDescent="0.3">
      <c r="A23" s="29" t="s">
        <v>17</v>
      </c>
      <c r="B23" s="30">
        <v>360</v>
      </c>
      <c r="C23" s="30">
        <v>360</v>
      </c>
      <c r="D23" s="30">
        <f t="shared" ref="D23:D26" si="2">B23-C23</f>
        <v>0</v>
      </c>
      <c r="J23" s="48" t="s">
        <v>84</v>
      </c>
      <c r="K23" s="35">
        <f>D15</f>
        <v>18</v>
      </c>
    </row>
    <row r="24" spans="1:11" ht="16.5" x14ac:dyDescent="0.3">
      <c r="A24" s="29" t="s">
        <v>18</v>
      </c>
      <c r="B24" s="30">
        <v>72</v>
      </c>
      <c r="C24" s="30">
        <v>72</v>
      </c>
      <c r="D24" s="30">
        <f t="shared" si="2"/>
        <v>0</v>
      </c>
      <c r="J24" s="33" t="s">
        <v>85</v>
      </c>
      <c r="K24" s="35">
        <f>D23</f>
        <v>0</v>
      </c>
    </row>
    <row r="25" spans="1:11" ht="16.5" x14ac:dyDescent="0.3">
      <c r="A25" s="29" t="s">
        <v>19</v>
      </c>
      <c r="B25" s="30">
        <v>244.75</v>
      </c>
      <c r="C25" s="30">
        <v>90</v>
      </c>
      <c r="D25" s="30">
        <f t="shared" si="2"/>
        <v>154.75</v>
      </c>
      <c r="J25" s="33" t="s">
        <v>86</v>
      </c>
      <c r="K25" s="35">
        <f>D24</f>
        <v>0</v>
      </c>
    </row>
    <row r="26" spans="1:11" ht="16.5" x14ac:dyDescent="0.3">
      <c r="A26" s="29" t="s">
        <v>20</v>
      </c>
      <c r="B26" s="30">
        <v>141.75</v>
      </c>
      <c r="C26" s="30">
        <v>204.75</v>
      </c>
      <c r="D26" s="30">
        <f t="shared" si="2"/>
        <v>-63</v>
      </c>
      <c r="J26" s="33" t="s">
        <v>77</v>
      </c>
      <c r="K26" s="35">
        <f>G29</f>
        <v>-50</v>
      </c>
    </row>
    <row r="27" spans="1:11" ht="17.25" thickBot="1" x14ac:dyDescent="0.35">
      <c r="A27" s="15" t="s">
        <v>23</v>
      </c>
      <c r="B27" s="7">
        <f>SUM(B23:B26)</f>
        <v>818.5</v>
      </c>
      <c r="C27" s="7">
        <f>SUM(C23:C26)</f>
        <v>726.75</v>
      </c>
      <c r="D27" s="4"/>
      <c r="F27" t="s">
        <v>78</v>
      </c>
      <c r="G27" s="24">
        <f>C25+C26</f>
        <v>294.75</v>
      </c>
      <c r="J27" s="36" t="s">
        <v>83</v>
      </c>
      <c r="K27" s="36">
        <f>G9</f>
        <v>-54</v>
      </c>
    </row>
    <row r="28" spans="1:11" ht="17.25" thickBot="1" x14ac:dyDescent="0.35">
      <c r="A28" s="15" t="s">
        <v>22</v>
      </c>
      <c r="B28" s="7">
        <f>B21+B27</f>
        <v>1525</v>
      </c>
      <c r="C28" s="7">
        <f>C21+C27</f>
        <v>1523.25</v>
      </c>
      <c r="D28" s="4"/>
      <c r="F28" t="s">
        <v>79</v>
      </c>
      <c r="G28" s="24">
        <f>B26</f>
        <v>141.75</v>
      </c>
      <c r="J28" s="38" t="s">
        <v>75</v>
      </c>
      <c r="K28" s="47">
        <f>SUM(K22:K27)</f>
        <v>-194</v>
      </c>
    </row>
    <row r="29" spans="1:11" ht="15.75" thickBot="1" x14ac:dyDescent="0.3">
      <c r="F29" t="s">
        <v>77</v>
      </c>
      <c r="G29" s="24">
        <f>G30-G28-G27</f>
        <v>-50</v>
      </c>
    </row>
    <row r="30" spans="1:11" ht="15.75" thickBot="1" x14ac:dyDescent="0.3">
      <c r="F30" t="s">
        <v>80</v>
      </c>
      <c r="G30" s="24">
        <f>B25+B26</f>
        <v>386.5</v>
      </c>
      <c r="J30" s="53" t="s">
        <v>81</v>
      </c>
      <c r="K30" s="42">
        <f>K28+K19+K15</f>
        <v>-27.5</v>
      </c>
    </row>
  </sheetData>
  <mergeCells count="4">
    <mergeCell ref="J3:K3"/>
    <mergeCell ref="J6:K6"/>
    <mergeCell ref="J17:K17"/>
    <mergeCell ref="J21:K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Solución</vt:lpstr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</dc:creator>
  <cp:lastModifiedBy>Vinix</cp:lastModifiedBy>
  <dcterms:created xsi:type="dcterms:W3CDTF">2016-08-24T00:30:21Z</dcterms:created>
  <dcterms:modified xsi:type="dcterms:W3CDTF">2017-08-14T16:55:12Z</dcterms:modified>
</cp:coreProperties>
</file>