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Financiera I\Ejercicios\"/>
    </mc:Choice>
  </mc:AlternateContent>
  <bookViews>
    <workbookView xWindow="0" yWindow="0" windowWidth="19200" windowHeight="7020" activeTab="3" xr2:uid="{00000000-000D-0000-FFFF-FFFF00000000}"/>
  </bookViews>
  <sheets>
    <sheet name="P1" sheetId="1" r:id="rId1"/>
    <sheet name="P2" sheetId="2" r:id="rId2"/>
    <sheet name="P3" sheetId="3" r:id="rId3"/>
    <sheet name="P4" sheetId="4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8" i="4" l="1"/>
  <c r="N36" i="4"/>
  <c r="N35" i="4"/>
  <c r="F18" i="1"/>
  <c r="F17" i="1"/>
  <c r="F14" i="1"/>
  <c r="E13" i="1"/>
  <c r="E12" i="1"/>
  <c r="E11" i="1"/>
  <c r="F10" i="1"/>
  <c r="E8" i="1"/>
  <c r="E19" i="1" s="1"/>
  <c r="F7" i="1"/>
  <c r="F6" i="1"/>
  <c r="F19" i="1" l="1"/>
  <c r="O37" i="4"/>
  <c r="N42" i="4" s="1"/>
  <c r="K25" i="4"/>
  <c r="K34" i="4" s="1"/>
  <c r="N30" i="4"/>
  <c r="N29" i="4"/>
  <c r="G11" i="2" l="1"/>
  <c r="K42" i="4" l="1"/>
  <c r="K29" i="4"/>
  <c r="K24" i="4"/>
  <c r="K14" i="4"/>
  <c r="G18" i="2"/>
  <c r="G17" i="2"/>
  <c r="G15" i="2"/>
  <c r="G14" i="2"/>
  <c r="G13" i="2"/>
  <c r="G12" i="2"/>
  <c r="G10" i="2"/>
  <c r="G9" i="2"/>
  <c r="G19" i="2" s="1"/>
  <c r="C14" i="3"/>
  <c r="C16" i="3" s="1"/>
  <c r="Q33" i="4" l="1"/>
  <c r="Q30" i="4"/>
  <c r="N47" i="4"/>
  <c r="N32" i="4"/>
  <c r="O31" i="4" s="1"/>
  <c r="N41" i="4" l="1"/>
  <c r="N43" i="4" s="1"/>
  <c r="N46" i="4" l="1"/>
  <c r="N48" i="4" s="1"/>
  <c r="K30" i="4" s="1"/>
  <c r="H32" i="4"/>
  <c r="H31" i="4"/>
  <c r="H30" i="4"/>
  <c r="G29" i="4"/>
  <c r="G33" i="4" s="1"/>
  <c r="F29" i="4"/>
  <c r="F33" i="4" s="1"/>
  <c r="H28" i="4"/>
  <c r="H27" i="4"/>
  <c r="K21" i="4" s="1"/>
  <c r="H26" i="4"/>
  <c r="H25" i="4"/>
  <c r="H24" i="4"/>
  <c r="H21" i="4"/>
  <c r="H20" i="4"/>
  <c r="H19" i="4"/>
  <c r="H18" i="4"/>
  <c r="G17" i="4"/>
  <c r="G22" i="4" s="1"/>
  <c r="F17" i="4"/>
  <c r="F22" i="4" s="1"/>
  <c r="H16" i="4"/>
  <c r="H15" i="4"/>
  <c r="C15" i="4"/>
  <c r="C19" i="4" s="1"/>
  <c r="C22" i="4" s="1"/>
  <c r="H14" i="4"/>
  <c r="H13" i="4"/>
  <c r="K31" i="4" l="1"/>
  <c r="K16" i="4"/>
  <c r="K35" i="4"/>
  <c r="K36" i="4"/>
  <c r="K17" i="4"/>
  <c r="K19" i="4"/>
  <c r="K22" i="4"/>
  <c r="K37" i="4"/>
  <c r="K18" i="4"/>
  <c r="K20" i="4"/>
  <c r="H22" i="4"/>
  <c r="H29" i="4"/>
  <c r="H33" i="4"/>
  <c r="C23" i="4"/>
  <c r="C24" i="4" s="1"/>
  <c r="K13" i="4" s="1"/>
  <c r="H17" i="4"/>
  <c r="K26" i="4" l="1"/>
  <c r="N25" i="4"/>
  <c r="Q31" i="4"/>
  <c r="R31" i="4" s="1"/>
  <c r="K38" i="4" s="1"/>
  <c r="K39" i="4" l="1"/>
  <c r="K41" i="4" s="1"/>
  <c r="K45" i="4" s="1"/>
  <c r="K4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Fernández</author>
  </authors>
  <commentList>
    <comment ref="G12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La depreciación en el método indirecto siempre se suma, pues la utilidad neta la tomó como un gasto pero en realidad no requirió efectivo.  </t>
        </r>
      </text>
    </comment>
  </commentList>
</comments>
</file>

<file path=xl/sharedStrings.xml><?xml version="1.0" encoding="utf-8"?>
<sst xmlns="http://schemas.openxmlformats.org/spreadsheetml/2006/main" count="206" uniqueCount="144">
  <si>
    <t>Pregunta 1</t>
  </si>
  <si>
    <t>Venta de activos en subsidiaria cerrada</t>
  </si>
  <si>
    <t>Pérdida por venta de activos de subsidiaria</t>
  </si>
  <si>
    <t>Contratación de préstamo bancario</t>
  </si>
  <si>
    <t>Compra de maquinaria y equipo</t>
  </si>
  <si>
    <t>Inversión en bonos de otra compañía</t>
  </si>
  <si>
    <t>Compra de derechos de marca</t>
  </si>
  <si>
    <t>Utilización de sobregiro autorizado en banco</t>
  </si>
  <si>
    <t>Depreciación de maquinaria y equipo</t>
  </si>
  <si>
    <t>Incremento en provisión de indemnizaciones</t>
  </si>
  <si>
    <t>Pago de dividendos</t>
  </si>
  <si>
    <t xml:space="preserve"> Luego calcule el flujo de actividades de inversión y el flujo de actividades de financiamiento para una empresa que muestra los siguientes registros durante el año.</t>
  </si>
  <si>
    <t>Identifique si las siguientes transacciones generan un ingreso o egreso de efectivo.</t>
  </si>
  <si>
    <t>Pregunta 2</t>
  </si>
  <si>
    <t>Incremento en saldo de cuentas x cobrar</t>
  </si>
  <si>
    <t>Reducción de inventario por venta realizada</t>
  </si>
  <si>
    <t>Reducción de inventario por baja de inventario obsoleto</t>
  </si>
  <si>
    <t>Inventario</t>
  </si>
  <si>
    <t>Baja de gastos pagados por anticipado</t>
  </si>
  <si>
    <t>Incremento en saldo de caja</t>
  </si>
  <si>
    <t>Reducción de impuestos x pagar</t>
  </si>
  <si>
    <t>Reducción de anticipos de clientes</t>
  </si>
  <si>
    <t>ER del 1 enero - 31 de Diciembre</t>
  </si>
  <si>
    <t>BG al 31 de Diciembre</t>
  </si>
  <si>
    <t>Cambio</t>
  </si>
  <si>
    <t>Ventas</t>
  </si>
  <si>
    <t>Caja y Bancos</t>
  </si>
  <si>
    <t>Costo de Ventas</t>
  </si>
  <si>
    <t>Cuentas x Cobrar</t>
  </si>
  <si>
    <t>Utilidad Bruta</t>
  </si>
  <si>
    <t>Sueldos y salarios</t>
  </si>
  <si>
    <t>Gastos anticipados</t>
  </si>
  <si>
    <t>Depreciaciones</t>
  </si>
  <si>
    <t>Activos Corrientes</t>
  </si>
  <si>
    <t>Otros gastos operativos</t>
  </si>
  <si>
    <t>Terrenos</t>
  </si>
  <si>
    <t>Utilidad Operativa</t>
  </si>
  <si>
    <t>Edificios</t>
  </si>
  <si>
    <t>Ganancia por venta de equipo</t>
  </si>
  <si>
    <t>Equipo *</t>
  </si>
  <si>
    <t>Gastos por intereses</t>
  </si>
  <si>
    <t>Depreciación Acum.</t>
  </si>
  <si>
    <t>Utilidad antes de impuestos</t>
  </si>
  <si>
    <t>Total Activos</t>
  </si>
  <si>
    <t xml:space="preserve">Impuestos </t>
  </si>
  <si>
    <t>Utilidad Neta</t>
  </si>
  <si>
    <t>Cuentas x Pagar</t>
  </si>
  <si>
    <t>Salarios x Pagar</t>
  </si>
  <si>
    <t>Intereses x Pagar</t>
  </si>
  <si>
    <t>Impuestos x Pagar</t>
  </si>
  <si>
    <t>Otras provisones</t>
  </si>
  <si>
    <t>Pasivo Circulante</t>
  </si>
  <si>
    <t>Deuda a largo plazo</t>
  </si>
  <si>
    <t>Acciones Comunes</t>
  </si>
  <si>
    <t>Utilidades Retenidas</t>
  </si>
  <si>
    <t>Total pasivo + patrimonio</t>
  </si>
  <si>
    <t>Pregunta 3</t>
  </si>
  <si>
    <t>Pregunta 4</t>
  </si>
  <si>
    <t>Notas</t>
  </si>
  <si>
    <t xml:space="preserve">Compra de equipo por </t>
  </si>
  <si>
    <t>Venta de equipo para el que se tiene una</t>
  </si>
  <si>
    <t xml:space="preserve">ganancia de </t>
  </si>
  <si>
    <t>*La cuenta de equipo muestra variaciones por:</t>
  </si>
  <si>
    <t xml:space="preserve">En ese mismo periodo emite deuda a largo plazo por $100,000 y utiliza esos fondos para la compra de una línea de producción. </t>
  </si>
  <si>
    <t>Una empresa contrata deuda a corto plazo por $50,000 y usa el efectivo para pagar saldos a proveedores.</t>
  </si>
  <si>
    <t>¿Cómo cambia su flujo de efectivo en cada una de sus clasificaciones?</t>
  </si>
  <si>
    <t>Ingreso</t>
  </si>
  <si>
    <t>--</t>
  </si>
  <si>
    <t>Egreso</t>
  </si>
  <si>
    <t>Inversión</t>
  </si>
  <si>
    <t>Flujo de Operación</t>
  </si>
  <si>
    <t>Flujo de Inversión</t>
  </si>
  <si>
    <t>Flujo de Financiamiento</t>
  </si>
  <si>
    <t>Contratación de deuda</t>
  </si>
  <si>
    <t>Pago a proveedores</t>
  </si>
  <si>
    <t>Compra de línea de producción</t>
  </si>
  <si>
    <t>Activo</t>
  </si>
  <si>
    <t>Baja</t>
  </si>
  <si>
    <t>Incremento</t>
  </si>
  <si>
    <t>Pasivo</t>
  </si>
  <si>
    <t>(+) Depreciaciones</t>
  </si>
  <si>
    <t>Otros ajustes</t>
  </si>
  <si>
    <t>Compra de equipo</t>
  </si>
  <si>
    <t>Saldo 2014</t>
  </si>
  <si>
    <t>Equipo</t>
  </si>
  <si>
    <t>=Saldo 2015</t>
  </si>
  <si>
    <t>Depreciación Acumulada</t>
  </si>
  <si>
    <t>Valor en libros del equipo vendido</t>
  </si>
  <si>
    <t>Valor bruto</t>
  </si>
  <si>
    <t>Valor en libros</t>
  </si>
  <si>
    <t>Precio de venta del equipo vendido</t>
  </si>
  <si>
    <t xml:space="preserve">Ganancia </t>
  </si>
  <si>
    <t>Precio de venta</t>
  </si>
  <si>
    <t>(+) utilidad del año</t>
  </si>
  <si>
    <t>Flujo del Periodo</t>
  </si>
  <si>
    <t>Flujo de  Operación</t>
  </si>
  <si>
    <t>Flujo Operación</t>
  </si>
  <si>
    <t>Venta del equipo</t>
  </si>
  <si>
    <t>Flujo de Caja Libre</t>
  </si>
  <si>
    <t>Saldo inicial caja</t>
  </si>
  <si>
    <t>Flujo al final periodo</t>
  </si>
  <si>
    <t>Pago de divendos</t>
  </si>
  <si>
    <t>Flujo del periodo</t>
  </si>
  <si>
    <t>Cuentas Operativas</t>
  </si>
  <si>
    <t>Cuentas de Inversión</t>
  </si>
  <si>
    <t>Cuentas de Financiamiento</t>
  </si>
  <si>
    <t>Cuentas que pueden combinar 2 clasificaciones:</t>
  </si>
  <si>
    <t>*Operativa - Depreciación del periodo</t>
  </si>
  <si>
    <t>*Inversión - Baja por venta de activo (efecto en ingresos por venta de activos)</t>
  </si>
  <si>
    <t>*Operativa - Utilidad del Periodo (ya tomada en cuenta en punto de partida de flujo de operación)</t>
  </si>
  <si>
    <t>*Financiamiento-Pago de dividendos</t>
  </si>
  <si>
    <t>(-) Depreciación acum. De lo que vendí</t>
  </si>
  <si>
    <t xml:space="preserve">(-) dividendos </t>
  </si>
  <si>
    <t>Comprobación</t>
  </si>
  <si>
    <t>Financiamiento</t>
  </si>
  <si>
    <t>Pago de intereses</t>
  </si>
  <si>
    <t>Emisión de bonos</t>
  </si>
  <si>
    <t>Re-compra de acciones</t>
  </si>
  <si>
    <t>Reducción de cuentas x pagar</t>
  </si>
  <si>
    <t>Con la siguiente información:</t>
  </si>
  <si>
    <t xml:space="preserve">a.    Identifique para los activos vendidos: </t>
  </si>
  <si>
    <t>                                           i.    su valor en equipo bruto</t>
  </si>
  <si>
    <t>                                          ii.    su depreciación acumulada</t>
  </si>
  <si>
    <t xml:space="preserve">                                         iii.    su valor en libros </t>
  </si>
  <si>
    <t>                                        iv.    el precio de venta</t>
  </si>
  <si>
    <t xml:space="preserve">b.    Calcule cuánto fue el  pago de dividendos. </t>
  </si>
  <si>
    <r>
      <t xml:space="preserve">c.    </t>
    </r>
    <r>
      <rPr>
        <sz val="10"/>
        <color theme="1"/>
        <rFont val="Century Gothic"/>
        <family val="2"/>
      </rPr>
      <t>Construya el flujo de efectivo por el método indirecto</t>
    </r>
  </si>
  <si>
    <t>a. Identifique si la transacción afecta una cuenta de activo, pasivo o patrimonio</t>
  </si>
  <si>
    <t>b. Indique que tipo de ajuste originarían bajo el método indirecto (positivo o negtivo) al flujo de operación</t>
  </si>
  <si>
    <t>c. Partiendo de un supuesto de utilidad neta de $40,000, ¿cuál sería el flujo de operación?</t>
  </si>
  <si>
    <t>Activo, Pasivo o Capital</t>
  </si>
  <si>
    <t>Ajuste (+ o -)</t>
  </si>
  <si>
    <t>Flujo Operativo</t>
  </si>
  <si>
    <t>+</t>
  </si>
  <si>
    <t>-</t>
  </si>
  <si>
    <t>?</t>
  </si>
  <si>
    <t>Re-clasificación de intereses</t>
  </si>
  <si>
    <t>Ingreso/Egreso</t>
  </si>
  <si>
    <t>(+) Compras</t>
  </si>
  <si>
    <t>(-) Venta</t>
  </si>
  <si>
    <t>(+) Depreciación del año</t>
  </si>
  <si>
    <t>(-) Depreciación acum. De equipo vendido</t>
  </si>
  <si>
    <t>Var. en capital de trabajo neto</t>
  </si>
  <si>
    <t>Flujo disponible para los proveedores de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</si>
</sst>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i/>
      <u/>
      <sz val="10"/>
      <color theme="1"/>
      <name val="Century Gothic"/>
      <family val="2"/>
    </font>
    <font>
      <sz val="9"/>
      <color indexed="81"/>
      <name val="Tahoma"/>
      <family val="2"/>
    </font>
    <font>
      <i/>
      <sz val="10"/>
      <color theme="1"/>
      <name val="Century Gothic"/>
      <family val="2"/>
    </font>
    <font>
      <sz val="10"/>
      <color rgb="FF000000"/>
      <name val="Century Gothic"/>
      <family val="2"/>
    </font>
    <font>
      <sz val="11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wrapText="1"/>
    </xf>
    <xf numFmtId="3" fontId="2" fillId="0" borderId="0" xfId="0" applyNumberFormat="1" applyFont="1"/>
    <xf numFmtId="3" fontId="1" fillId="0" borderId="0" xfId="0" applyNumberFormat="1" applyFont="1"/>
    <xf numFmtId="9" fontId="2" fillId="0" borderId="0" xfId="0" applyNumberFormat="1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3" fontId="2" fillId="0" borderId="0" xfId="0" applyNumberFormat="1" applyFont="1" applyFill="1"/>
    <xf numFmtId="3" fontId="1" fillId="0" borderId="0" xfId="0" applyNumberFormat="1" applyFont="1" applyFill="1"/>
    <xf numFmtId="0" fontId="0" fillId="0" borderId="0" xfId="0" applyFill="1"/>
    <xf numFmtId="0" fontId="0" fillId="0" borderId="0" xfId="0" applyAlignment="1">
      <alignment horizontal="right"/>
    </xf>
    <xf numFmtId="0" fontId="2" fillId="0" borderId="0" xfId="0" applyFont="1" applyAlignment="1">
      <alignment horizontal="left" vertical="center" indent="5"/>
    </xf>
    <xf numFmtId="0" fontId="2" fillId="0" borderId="0" xfId="0" quotePrefix="1" applyFont="1"/>
    <xf numFmtId="164" fontId="2" fillId="0" borderId="0" xfId="0" applyNumberFormat="1" applyFont="1"/>
    <xf numFmtId="0" fontId="3" fillId="0" borderId="0" xfId="0" applyFont="1"/>
    <xf numFmtId="164" fontId="1" fillId="0" borderId="0" xfId="0" applyNumberFormat="1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4" borderId="0" xfId="0" applyFill="1"/>
    <xf numFmtId="0" fontId="0" fillId="3" borderId="0" xfId="0" applyFill="1"/>
    <xf numFmtId="3" fontId="2" fillId="2" borderId="0" xfId="0" applyNumberFormat="1" applyFont="1" applyFill="1"/>
    <xf numFmtId="0" fontId="1" fillId="2" borderId="0" xfId="0" applyFont="1" applyFill="1"/>
    <xf numFmtId="3" fontId="1" fillId="2" borderId="0" xfId="0" applyNumberFormat="1" applyFont="1" applyFill="1"/>
    <xf numFmtId="3" fontId="5" fillId="0" borderId="0" xfId="0" applyNumberFormat="1" applyFont="1"/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 indent="4"/>
    </xf>
    <xf numFmtId="164" fontId="2" fillId="0" borderId="1" xfId="0" quotePrefix="1" applyNumberFormat="1" applyFont="1" applyBorder="1"/>
    <xf numFmtId="0" fontId="2" fillId="0" borderId="1" xfId="0" quotePrefix="1" applyFont="1" applyBorder="1"/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/>
    </xf>
    <xf numFmtId="0" fontId="6" fillId="0" borderId="1" xfId="0" applyFont="1" applyBorder="1" applyAlignment="1">
      <alignment horizontal="center" vertical="center" wrapText="1"/>
    </xf>
    <xf numFmtId="3" fontId="2" fillId="3" borderId="0" xfId="0" applyNumberFormat="1" applyFont="1" applyFill="1"/>
    <xf numFmtId="3" fontId="2" fillId="4" borderId="0" xfId="0" applyNumberFormat="1" applyFont="1" applyFill="1"/>
    <xf numFmtId="0" fontId="2" fillId="5" borderId="0" xfId="0" applyFont="1" applyFill="1"/>
    <xf numFmtId="3" fontId="2" fillId="5" borderId="0" xfId="0" applyNumberFormat="1" applyFont="1" applyFill="1"/>
    <xf numFmtId="0" fontId="0" fillId="5" borderId="0" xfId="0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zoomScaleNormal="100" workbookViewId="0">
      <selection activeCell="H11" sqref="H11"/>
    </sheetView>
  </sheetViews>
  <sheetFormatPr baseColWidth="10" defaultColWidth="9.140625" defaultRowHeight="13.5" x14ac:dyDescent="0.25"/>
  <cols>
    <col min="1" max="1" width="9.140625" style="2"/>
    <col min="2" max="2" width="48.140625" style="2" customWidth="1"/>
    <col min="3" max="3" width="10.7109375" style="2" bestFit="1" customWidth="1"/>
    <col min="4" max="4" width="9.140625" style="2"/>
    <col min="5" max="5" width="9.85546875" style="2" bestFit="1" customWidth="1"/>
    <col min="6" max="7" width="10.5703125" style="2" bestFit="1" customWidth="1"/>
    <col min="8" max="8" width="15.5703125" style="2" bestFit="1" customWidth="1"/>
    <col min="9" max="16384" width="9.140625" style="2"/>
  </cols>
  <sheetData>
    <row r="1" spans="1:8" x14ac:dyDescent="0.25">
      <c r="A1" s="1" t="s">
        <v>0</v>
      </c>
    </row>
    <row r="2" spans="1:8" x14ac:dyDescent="0.25">
      <c r="A2" s="1"/>
      <c r="B2" s="1" t="s">
        <v>12</v>
      </c>
    </row>
    <row r="3" spans="1:8" x14ac:dyDescent="0.25">
      <c r="B3" s="4" t="s">
        <v>11</v>
      </c>
    </row>
    <row r="4" spans="1:8" x14ac:dyDescent="0.25">
      <c r="B4" s="4"/>
    </row>
    <row r="5" spans="1:8" ht="27" x14ac:dyDescent="0.25">
      <c r="B5" s="1"/>
      <c r="D5" s="38" t="s">
        <v>137</v>
      </c>
      <c r="E5" s="38" t="s">
        <v>69</v>
      </c>
      <c r="F5" s="38" t="s">
        <v>114</v>
      </c>
    </row>
    <row r="6" spans="1:8" x14ac:dyDescent="0.25">
      <c r="B6" s="5" t="s">
        <v>115</v>
      </c>
      <c r="C6" s="6">
        <v>15000</v>
      </c>
      <c r="D6" s="5" t="s">
        <v>68</v>
      </c>
      <c r="E6" s="5"/>
      <c r="F6" s="6">
        <f>-C6</f>
        <v>-15000</v>
      </c>
      <c r="G6" s="20"/>
      <c r="H6" s="20"/>
    </row>
    <row r="7" spans="1:8" x14ac:dyDescent="0.25">
      <c r="B7" s="5" t="s">
        <v>116</v>
      </c>
      <c r="C7" s="32">
        <v>75000</v>
      </c>
      <c r="D7" s="5" t="s">
        <v>66</v>
      </c>
      <c r="E7" s="5"/>
      <c r="F7" s="6">
        <f>C7</f>
        <v>75000</v>
      </c>
      <c r="G7" s="20"/>
      <c r="H7" s="20"/>
    </row>
    <row r="8" spans="1:8" x14ac:dyDescent="0.25">
      <c r="B8" s="5" t="s">
        <v>1</v>
      </c>
      <c r="C8" s="6">
        <v>100000</v>
      </c>
      <c r="D8" s="5" t="s">
        <v>66</v>
      </c>
      <c r="E8" s="6">
        <f>C8</f>
        <v>100000</v>
      </c>
      <c r="F8" s="5"/>
      <c r="G8" s="20"/>
    </row>
    <row r="9" spans="1:8" x14ac:dyDescent="0.25">
      <c r="B9" s="5" t="s">
        <v>2</v>
      </c>
      <c r="C9" s="6">
        <v>50000</v>
      </c>
      <c r="D9" s="35" t="s">
        <v>67</v>
      </c>
      <c r="E9" s="5"/>
      <c r="F9" s="5"/>
    </row>
    <row r="10" spans="1:8" x14ac:dyDescent="0.25">
      <c r="B10" s="5" t="s">
        <v>3</v>
      </c>
      <c r="C10" s="6">
        <v>150000</v>
      </c>
      <c r="D10" s="5" t="s">
        <v>66</v>
      </c>
      <c r="E10" s="5"/>
      <c r="F10" s="6">
        <f>C10</f>
        <v>150000</v>
      </c>
      <c r="G10" s="20"/>
      <c r="H10" s="20"/>
    </row>
    <row r="11" spans="1:8" x14ac:dyDescent="0.25">
      <c r="B11" s="5" t="s">
        <v>4</v>
      </c>
      <c r="C11" s="6">
        <v>200000</v>
      </c>
      <c r="D11" s="5" t="s">
        <v>68</v>
      </c>
      <c r="E11" s="6">
        <f>-C11</f>
        <v>-200000</v>
      </c>
      <c r="F11" s="5"/>
      <c r="G11" s="20"/>
    </row>
    <row r="12" spans="1:8" x14ac:dyDescent="0.25">
      <c r="B12" s="5" t="s">
        <v>5</v>
      </c>
      <c r="C12" s="6">
        <v>25000</v>
      </c>
      <c r="D12" s="5" t="s">
        <v>68</v>
      </c>
      <c r="E12" s="6">
        <f>-C12</f>
        <v>-25000</v>
      </c>
      <c r="F12" s="5"/>
      <c r="G12" s="20"/>
    </row>
    <row r="13" spans="1:8" x14ac:dyDescent="0.25">
      <c r="B13" s="5" t="s">
        <v>6</v>
      </c>
      <c r="C13" s="6">
        <v>20000</v>
      </c>
      <c r="D13" s="5" t="s">
        <v>68</v>
      </c>
      <c r="E13" s="6">
        <f>-C13</f>
        <v>-20000</v>
      </c>
      <c r="F13" s="5"/>
      <c r="G13" s="20"/>
    </row>
    <row r="14" spans="1:8" x14ac:dyDescent="0.25">
      <c r="B14" s="5" t="s">
        <v>7</v>
      </c>
      <c r="C14" s="6">
        <v>10000</v>
      </c>
      <c r="D14" s="5" t="s">
        <v>66</v>
      </c>
      <c r="E14" s="5"/>
      <c r="F14" s="6">
        <f>C14</f>
        <v>10000</v>
      </c>
      <c r="G14" s="20"/>
      <c r="H14" s="20"/>
    </row>
    <row r="15" spans="1:8" x14ac:dyDescent="0.25">
      <c r="B15" s="5" t="s">
        <v>8</v>
      </c>
      <c r="C15" s="6">
        <v>20000</v>
      </c>
      <c r="D15" s="35" t="s">
        <v>67</v>
      </c>
      <c r="E15" s="5"/>
      <c r="F15" s="5"/>
    </row>
    <row r="16" spans="1:8" x14ac:dyDescent="0.25">
      <c r="B16" s="5" t="s">
        <v>9</v>
      </c>
      <c r="C16" s="6">
        <v>5000</v>
      </c>
      <c r="D16" s="35" t="s">
        <v>67</v>
      </c>
      <c r="E16" s="5"/>
      <c r="F16" s="5"/>
    </row>
    <row r="17" spans="1:8" x14ac:dyDescent="0.25">
      <c r="B17" s="5" t="s">
        <v>117</v>
      </c>
      <c r="C17" s="6">
        <v>30000</v>
      </c>
      <c r="D17" s="5" t="s">
        <v>68</v>
      </c>
      <c r="E17" s="5"/>
      <c r="F17" s="6">
        <f>-C17</f>
        <v>-30000</v>
      </c>
      <c r="G17" s="20"/>
    </row>
    <row r="18" spans="1:8" x14ac:dyDescent="0.25">
      <c r="B18" s="5" t="s">
        <v>10</v>
      </c>
      <c r="C18" s="6">
        <v>10000</v>
      </c>
      <c r="D18" s="5" t="s">
        <v>68</v>
      </c>
      <c r="E18" s="5"/>
      <c r="F18" s="6">
        <f>-C18</f>
        <v>-10000</v>
      </c>
      <c r="G18" s="20"/>
      <c r="H18" s="20"/>
    </row>
    <row r="19" spans="1:8" ht="15" x14ac:dyDescent="0.25">
      <c r="B19"/>
      <c r="C19"/>
      <c r="E19" s="20">
        <f>SUM(E6:E18)</f>
        <v>-145000</v>
      </c>
      <c r="F19" s="20">
        <f>SUM(F6:F18)</f>
        <v>180000</v>
      </c>
      <c r="G19" s="22"/>
    </row>
    <row r="22" spans="1:8" x14ac:dyDescent="0.25">
      <c r="B22" s="3"/>
    </row>
    <row r="29" spans="1:8" x14ac:dyDescent="0.25">
      <c r="A29" s="1"/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zoomScaleNormal="100" workbookViewId="0">
      <selection activeCell="A2" sqref="A2"/>
    </sheetView>
  </sheetViews>
  <sheetFormatPr baseColWidth="10" defaultColWidth="9.140625" defaultRowHeight="13.5" x14ac:dyDescent="0.25"/>
  <cols>
    <col min="1" max="1" width="9.140625" style="2"/>
    <col min="2" max="2" width="43.7109375" style="2" bestFit="1" customWidth="1"/>
    <col min="3" max="3" width="9.140625" style="2"/>
    <col min="4" max="7" width="13.28515625" style="2" customWidth="1"/>
    <col min="8" max="16384" width="9.140625" style="2"/>
  </cols>
  <sheetData>
    <row r="1" spans="1:7" x14ac:dyDescent="0.25">
      <c r="A1" s="1" t="s">
        <v>13</v>
      </c>
    </row>
    <row r="2" spans="1:7" x14ac:dyDescent="0.25">
      <c r="A2" s="1"/>
      <c r="B2" s="2" t="s">
        <v>119</v>
      </c>
    </row>
    <row r="3" spans="1:7" x14ac:dyDescent="0.25">
      <c r="A3" s="1"/>
      <c r="B3" s="2" t="s">
        <v>127</v>
      </c>
    </row>
    <row r="4" spans="1:7" x14ac:dyDescent="0.25">
      <c r="A4" s="1"/>
      <c r="B4" s="2" t="s">
        <v>128</v>
      </c>
    </row>
    <row r="5" spans="1:7" x14ac:dyDescent="0.25">
      <c r="A5" s="1"/>
      <c r="B5" s="3" t="s">
        <v>129</v>
      </c>
    </row>
    <row r="7" spans="1:7" ht="40.5" x14ac:dyDescent="0.25">
      <c r="D7" s="7" t="s">
        <v>130</v>
      </c>
      <c r="E7" s="5"/>
      <c r="F7" s="7" t="s">
        <v>131</v>
      </c>
      <c r="G7" s="5" t="s">
        <v>132</v>
      </c>
    </row>
    <row r="8" spans="1:7" x14ac:dyDescent="0.25">
      <c r="B8" s="5"/>
      <c r="C8" s="5"/>
      <c r="D8" s="7"/>
      <c r="E8" s="7"/>
      <c r="F8" s="5"/>
      <c r="G8" s="6">
        <v>40000</v>
      </c>
    </row>
    <row r="9" spans="1:7" x14ac:dyDescent="0.25">
      <c r="B9" s="5" t="s">
        <v>18</v>
      </c>
      <c r="C9" s="6">
        <v>10000</v>
      </c>
      <c r="D9" s="6" t="s">
        <v>76</v>
      </c>
      <c r="E9" s="5" t="s">
        <v>77</v>
      </c>
      <c r="F9" s="5" t="s">
        <v>133</v>
      </c>
      <c r="G9" s="6">
        <f>C9</f>
        <v>10000</v>
      </c>
    </row>
    <row r="10" spans="1:7" x14ac:dyDescent="0.25">
      <c r="B10" s="5" t="s">
        <v>14</v>
      </c>
      <c r="C10" s="6">
        <v>16000</v>
      </c>
      <c r="D10" s="6" t="s">
        <v>76</v>
      </c>
      <c r="E10" s="5" t="s">
        <v>78</v>
      </c>
      <c r="F10" s="5" t="s">
        <v>134</v>
      </c>
      <c r="G10" s="6">
        <f>-C10</f>
        <v>-16000</v>
      </c>
    </row>
    <row r="11" spans="1:7" x14ac:dyDescent="0.25">
      <c r="B11" s="5" t="s">
        <v>118</v>
      </c>
      <c r="C11" s="6">
        <v>12000</v>
      </c>
      <c r="D11" s="6" t="s">
        <v>79</v>
      </c>
      <c r="E11" s="5" t="s">
        <v>77</v>
      </c>
      <c r="F11" s="5" t="s">
        <v>134</v>
      </c>
      <c r="G11" s="6">
        <f>-C11</f>
        <v>-12000</v>
      </c>
    </row>
    <row r="12" spans="1:7" x14ac:dyDescent="0.25">
      <c r="B12" s="5" t="s">
        <v>8</v>
      </c>
      <c r="C12" s="6">
        <v>20000</v>
      </c>
      <c r="D12" s="6" t="s">
        <v>76</v>
      </c>
      <c r="E12" s="5" t="s">
        <v>78</v>
      </c>
      <c r="F12" s="5" t="s">
        <v>133</v>
      </c>
      <c r="G12" s="6">
        <f>C12</f>
        <v>20000</v>
      </c>
    </row>
    <row r="13" spans="1:7" x14ac:dyDescent="0.25">
      <c r="B13" s="5" t="s">
        <v>9</v>
      </c>
      <c r="C13" s="6">
        <v>5000</v>
      </c>
      <c r="D13" s="6" t="s">
        <v>79</v>
      </c>
      <c r="E13" s="5" t="s">
        <v>78</v>
      </c>
      <c r="F13" s="5" t="s">
        <v>133</v>
      </c>
      <c r="G13" s="6">
        <f>C13</f>
        <v>5000</v>
      </c>
    </row>
    <row r="14" spans="1:7" x14ac:dyDescent="0.25">
      <c r="B14" s="5" t="s">
        <v>15</v>
      </c>
      <c r="C14" s="6">
        <v>18000</v>
      </c>
      <c r="D14" s="6" t="s">
        <v>76</v>
      </c>
      <c r="E14" s="5" t="s">
        <v>77</v>
      </c>
      <c r="F14" s="5" t="s">
        <v>133</v>
      </c>
      <c r="G14" s="6">
        <f>C14</f>
        <v>18000</v>
      </c>
    </row>
    <row r="15" spans="1:7" ht="27" x14ac:dyDescent="0.25">
      <c r="B15" s="7" t="s">
        <v>16</v>
      </c>
      <c r="C15" s="6">
        <v>3000</v>
      </c>
      <c r="D15" s="6" t="s">
        <v>76</v>
      </c>
      <c r="E15" s="5" t="s">
        <v>77</v>
      </c>
      <c r="F15" s="5" t="s">
        <v>133</v>
      </c>
      <c r="G15" s="6">
        <f>C15</f>
        <v>3000</v>
      </c>
    </row>
    <row r="16" spans="1:7" x14ac:dyDescent="0.25">
      <c r="B16" s="7" t="s">
        <v>19</v>
      </c>
      <c r="C16" s="6">
        <v>4000</v>
      </c>
      <c r="D16" s="34" t="s">
        <v>67</v>
      </c>
      <c r="E16" s="5"/>
      <c r="F16" s="35"/>
      <c r="G16" s="6"/>
    </row>
    <row r="17" spans="1:7" x14ac:dyDescent="0.25">
      <c r="B17" s="7" t="s">
        <v>20</v>
      </c>
      <c r="C17" s="6">
        <v>9000</v>
      </c>
      <c r="D17" s="6" t="s">
        <v>79</v>
      </c>
      <c r="E17" s="5" t="s">
        <v>77</v>
      </c>
      <c r="F17" s="5" t="s">
        <v>134</v>
      </c>
      <c r="G17" s="6">
        <f>-C17</f>
        <v>-9000</v>
      </c>
    </row>
    <row r="18" spans="1:7" x14ac:dyDescent="0.25">
      <c r="B18" s="7" t="s">
        <v>21</v>
      </c>
      <c r="C18" s="6">
        <v>500</v>
      </c>
      <c r="D18" s="6" t="s">
        <v>79</v>
      </c>
      <c r="E18" s="5" t="s">
        <v>77</v>
      </c>
      <c r="F18" s="5" t="s">
        <v>134</v>
      </c>
      <c r="G18" s="6">
        <f>-C18</f>
        <v>-500</v>
      </c>
    </row>
    <row r="19" spans="1:7" x14ac:dyDescent="0.25">
      <c r="G19" s="22">
        <f>SUM(G8:G18)</f>
        <v>58500</v>
      </c>
    </row>
    <row r="21" spans="1:7" x14ac:dyDescent="0.25">
      <c r="A21" s="1"/>
    </row>
    <row r="22" spans="1:7" x14ac:dyDescent="0.25">
      <c r="A22" s="1"/>
    </row>
    <row r="23" spans="1:7" x14ac:dyDescent="0.25">
      <c r="A23" s="1"/>
    </row>
    <row r="24" spans="1:7" x14ac:dyDescent="0.25">
      <c r="A24" s="1"/>
    </row>
    <row r="25" spans="1:7" x14ac:dyDescent="0.25">
      <c r="A25" s="1"/>
      <c r="B25" s="3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Normal="100" workbookViewId="0">
      <selection activeCell="A2" sqref="A2"/>
    </sheetView>
  </sheetViews>
  <sheetFormatPr baseColWidth="10" defaultColWidth="9.140625" defaultRowHeight="13.5" x14ac:dyDescent="0.25"/>
  <cols>
    <col min="1" max="1" width="9.140625" style="2"/>
    <col min="2" max="2" width="31.85546875" style="2" bestFit="1" customWidth="1"/>
    <col min="3" max="3" width="10.5703125" style="2" bestFit="1" customWidth="1"/>
    <col min="4" max="16384" width="9.140625" style="2"/>
  </cols>
  <sheetData>
    <row r="1" spans="1:3" x14ac:dyDescent="0.25">
      <c r="A1" s="1" t="s">
        <v>56</v>
      </c>
    </row>
    <row r="3" spans="1:3" x14ac:dyDescent="0.25">
      <c r="A3" s="2" t="s">
        <v>64</v>
      </c>
    </row>
    <row r="4" spans="1:3" x14ac:dyDescent="0.25">
      <c r="A4" s="2" t="s">
        <v>63</v>
      </c>
    </row>
    <row r="5" spans="1:3" x14ac:dyDescent="0.25">
      <c r="A5" s="2" t="s">
        <v>65</v>
      </c>
    </row>
    <row r="6" spans="1:3" x14ac:dyDescent="0.25">
      <c r="A6" s="18"/>
    </row>
    <row r="7" spans="1:3" x14ac:dyDescent="0.25">
      <c r="B7" s="1" t="s">
        <v>95</v>
      </c>
    </row>
    <row r="8" spans="1:3" x14ac:dyDescent="0.25">
      <c r="B8" s="2" t="s">
        <v>74</v>
      </c>
      <c r="C8" s="8">
        <v>-50000</v>
      </c>
    </row>
    <row r="10" spans="1:3" x14ac:dyDescent="0.25">
      <c r="B10" s="1" t="s">
        <v>71</v>
      </c>
    </row>
    <row r="11" spans="1:3" x14ac:dyDescent="0.25">
      <c r="B11" s="2" t="s">
        <v>75</v>
      </c>
      <c r="C11" s="8">
        <v>-100000</v>
      </c>
    </row>
    <row r="13" spans="1:3" x14ac:dyDescent="0.25">
      <c r="B13" s="1" t="s">
        <v>72</v>
      </c>
    </row>
    <row r="14" spans="1:3" x14ac:dyDescent="0.25">
      <c r="B14" s="2" t="s">
        <v>73</v>
      </c>
      <c r="C14" s="8">
        <f>50000+100000</f>
        <v>150000</v>
      </c>
    </row>
    <row r="16" spans="1:3" x14ac:dyDescent="0.25">
      <c r="B16" s="1" t="s">
        <v>102</v>
      </c>
      <c r="C16" s="9">
        <f>SUM(C8:C14)</f>
        <v>0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8"/>
  <sheetViews>
    <sheetView tabSelected="1" topLeftCell="F13" workbookViewId="0">
      <selection activeCell="A2" sqref="A2"/>
    </sheetView>
  </sheetViews>
  <sheetFormatPr baseColWidth="10" defaultColWidth="9.140625" defaultRowHeight="15" x14ac:dyDescent="0.25"/>
  <cols>
    <col min="2" max="2" width="31.85546875" bestFit="1" customWidth="1"/>
    <col min="5" max="5" width="28.28515625" customWidth="1"/>
    <col min="10" max="10" width="30.85546875" style="2" bestFit="1" customWidth="1"/>
    <col min="11" max="12" width="9.140625" style="2"/>
    <col min="13" max="13" width="19.7109375" style="2" bestFit="1" customWidth="1"/>
    <col min="14" max="15" width="9.140625" style="2"/>
    <col min="16" max="16" width="23.5703125" style="2" bestFit="1" customWidth="1"/>
    <col min="17" max="18" width="9.140625" style="2"/>
    <col min="19" max="19" width="18.85546875" style="2" bestFit="1" customWidth="1"/>
    <col min="20" max="20" width="9.140625" style="2"/>
    <col min="22" max="22" width="16.140625" style="2" bestFit="1" customWidth="1"/>
  </cols>
  <sheetData>
    <row r="1" spans="1:20" x14ac:dyDescent="0.25">
      <c r="A1" s="1" t="s">
        <v>57</v>
      </c>
    </row>
    <row r="2" spans="1:20" x14ac:dyDescent="0.25">
      <c r="A2" s="1"/>
      <c r="B2" s="2" t="s">
        <v>119</v>
      </c>
    </row>
    <row r="3" spans="1:20" x14ac:dyDescent="0.25">
      <c r="A3" s="1"/>
      <c r="B3" s="3" t="s">
        <v>120</v>
      </c>
    </row>
    <row r="4" spans="1:20" x14ac:dyDescent="0.25">
      <c r="A4" s="1"/>
      <c r="B4" s="33" t="s">
        <v>121</v>
      </c>
    </row>
    <row r="5" spans="1:20" x14ac:dyDescent="0.25">
      <c r="A5" s="1"/>
      <c r="B5" s="33" t="s">
        <v>122</v>
      </c>
    </row>
    <row r="6" spans="1:20" x14ac:dyDescent="0.25">
      <c r="A6" s="1"/>
      <c r="B6" s="33" t="s">
        <v>123</v>
      </c>
    </row>
    <row r="7" spans="1:20" x14ac:dyDescent="0.25">
      <c r="A7" s="1"/>
      <c r="B7" s="33" t="s">
        <v>124</v>
      </c>
    </row>
    <row r="8" spans="1:20" x14ac:dyDescent="0.25">
      <c r="A8" s="1"/>
      <c r="B8" s="3" t="s">
        <v>125</v>
      </c>
    </row>
    <row r="9" spans="1:20" ht="14.25" customHeight="1" x14ac:dyDescent="0.25">
      <c r="B9" s="4" t="s">
        <v>126</v>
      </c>
    </row>
    <row r="10" spans="1:20" ht="14.25" customHeight="1" x14ac:dyDescent="0.25">
      <c r="B10" s="4"/>
    </row>
    <row r="11" spans="1:20" ht="14.25" customHeight="1" x14ac:dyDescent="0.25">
      <c r="B11" s="4"/>
    </row>
    <row r="12" spans="1:20" x14ac:dyDescent="0.25">
      <c r="B12" s="1" t="s">
        <v>22</v>
      </c>
      <c r="C12" s="1"/>
      <c r="D12" s="1"/>
      <c r="E12" s="11" t="s">
        <v>23</v>
      </c>
      <c r="F12" s="12">
        <v>2014</v>
      </c>
      <c r="G12" s="12">
        <v>2015</v>
      </c>
      <c r="H12" s="11" t="s">
        <v>24</v>
      </c>
      <c r="J12" s="1" t="s">
        <v>96</v>
      </c>
      <c r="T12" s="8"/>
    </row>
    <row r="13" spans="1:20" x14ac:dyDescent="0.25">
      <c r="B13" s="2" t="s">
        <v>25</v>
      </c>
      <c r="C13" s="8">
        <v>23598</v>
      </c>
      <c r="D13" s="2"/>
      <c r="E13" s="13" t="s">
        <v>26</v>
      </c>
      <c r="F13" s="14">
        <v>1163</v>
      </c>
      <c r="G13" s="14">
        <v>1011</v>
      </c>
      <c r="H13" s="14">
        <f>G13-F13</f>
        <v>-152</v>
      </c>
      <c r="J13" s="13" t="s">
        <v>45</v>
      </c>
      <c r="K13" s="14">
        <f>C24</f>
        <v>2210.34</v>
      </c>
      <c r="L13" s="13"/>
      <c r="O13" s="13"/>
      <c r="R13" s="14"/>
      <c r="S13" s="8"/>
      <c r="T13" s="8"/>
    </row>
    <row r="14" spans="1:20" x14ac:dyDescent="0.25">
      <c r="B14" s="2" t="s">
        <v>27</v>
      </c>
      <c r="C14" s="8">
        <v>11456</v>
      </c>
      <c r="D14" s="2"/>
      <c r="E14" s="25" t="s">
        <v>28</v>
      </c>
      <c r="F14" s="40">
        <v>957</v>
      </c>
      <c r="G14" s="40">
        <v>1012</v>
      </c>
      <c r="H14" s="40">
        <f t="shared" ref="H14:H33" si="0">G14-F14</f>
        <v>55</v>
      </c>
      <c r="J14" s="13" t="s">
        <v>80</v>
      </c>
      <c r="K14" s="14">
        <f>C17</f>
        <v>1052</v>
      </c>
      <c r="L14" s="13"/>
      <c r="O14" s="13"/>
      <c r="R14" s="14"/>
      <c r="S14" s="8"/>
      <c r="T14" s="8"/>
    </row>
    <row r="15" spans="1:20" x14ac:dyDescent="0.25">
      <c r="B15" s="1" t="s">
        <v>29</v>
      </c>
      <c r="C15" s="9">
        <f>C13-C14</f>
        <v>12142</v>
      </c>
      <c r="D15" s="2"/>
      <c r="E15" s="25" t="s">
        <v>17</v>
      </c>
      <c r="F15" s="40">
        <v>3277</v>
      </c>
      <c r="G15" s="40">
        <v>3984</v>
      </c>
      <c r="H15" s="40">
        <f t="shared" si="0"/>
        <v>707</v>
      </c>
      <c r="J15" s="21" t="s">
        <v>142</v>
      </c>
      <c r="K15" s="14"/>
      <c r="L15" s="13"/>
      <c r="O15" s="13"/>
      <c r="R15" s="14"/>
      <c r="S15" s="8"/>
      <c r="T15" s="8"/>
    </row>
    <row r="16" spans="1:20" x14ac:dyDescent="0.25">
      <c r="B16" s="2" t="s">
        <v>30</v>
      </c>
      <c r="C16" s="8">
        <v>4123</v>
      </c>
      <c r="D16" s="2"/>
      <c r="E16" s="25" t="s">
        <v>31</v>
      </c>
      <c r="F16" s="40">
        <v>178</v>
      </c>
      <c r="G16" s="40">
        <v>155</v>
      </c>
      <c r="H16" s="40">
        <f t="shared" si="0"/>
        <v>-23</v>
      </c>
      <c r="J16" s="13" t="s">
        <v>28</v>
      </c>
      <c r="K16" s="14">
        <f>-H14</f>
        <v>-55</v>
      </c>
      <c r="L16" s="13"/>
      <c r="O16" s="11"/>
      <c r="R16" s="15"/>
    </row>
    <row r="17" spans="1:20" x14ac:dyDescent="0.25">
      <c r="B17" s="2" t="s">
        <v>32</v>
      </c>
      <c r="C17" s="8">
        <v>1052</v>
      </c>
      <c r="D17" s="2"/>
      <c r="E17" s="11" t="s">
        <v>33</v>
      </c>
      <c r="F17" s="15">
        <f>SUM(F13:F16)</f>
        <v>5575</v>
      </c>
      <c r="G17" s="15">
        <f>SUM(G13:G16)</f>
        <v>6162</v>
      </c>
      <c r="H17" s="15">
        <f t="shared" si="0"/>
        <v>587</v>
      </c>
      <c r="J17" s="13" t="s">
        <v>17</v>
      </c>
      <c r="K17" s="14">
        <f t="shared" ref="K17:K18" si="1">-H15</f>
        <v>-707</v>
      </c>
      <c r="L17" s="13"/>
      <c r="M17" s="13"/>
      <c r="N17" s="13"/>
      <c r="O17" s="13"/>
      <c r="R17" s="13"/>
    </row>
    <row r="18" spans="1:20" x14ac:dyDescent="0.25">
      <c r="B18" s="2" t="s">
        <v>34</v>
      </c>
      <c r="C18" s="8">
        <v>3577</v>
      </c>
      <c r="D18" s="2"/>
      <c r="E18" s="24" t="s">
        <v>35</v>
      </c>
      <c r="F18" s="39">
        <v>510</v>
      </c>
      <c r="G18" s="39">
        <v>510</v>
      </c>
      <c r="H18" s="39">
        <f t="shared" si="0"/>
        <v>0</v>
      </c>
      <c r="J18" s="13" t="s">
        <v>31</v>
      </c>
      <c r="K18" s="14">
        <f t="shared" si="1"/>
        <v>23</v>
      </c>
      <c r="L18" s="13"/>
      <c r="M18" s="13"/>
      <c r="N18" s="13"/>
      <c r="O18" s="13"/>
      <c r="R18" s="13"/>
    </row>
    <row r="19" spans="1:20" x14ac:dyDescent="0.25">
      <c r="B19" s="1" t="s">
        <v>36</v>
      </c>
      <c r="C19" s="9">
        <f>C15-SUM(C16:C18)</f>
        <v>3390</v>
      </c>
      <c r="D19" s="10"/>
      <c r="E19" s="24" t="s">
        <v>37</v>
      </c>
      <c r="F19" s="39">
        <v>3680</v>
      </c>
      <c r="G19" s="39">
        <v>3680</v>
      </c>
      <c r="H19" s="39">
        <f t="shared" si="0"/>
        <v>0</v>
      </c>
      <c r="J19" s="13" t="s">
        <v>46</v>
      </c>
      <c r="K19" s="14">
        <f>H24</f>
        <v>263</v>
      </c>
      <c r="L19" s="13"/>
      <c r="M19" s="13"/>
      <c r="N19" s="13"/>
      <c r="O19" s="13"/>
      <c r="P19" s="13"/>
      <c r="Q19" s="13"/>
      <c r="R19" s="14"/>
      <c r="S19" s="8"/>
      <c r="T19" s="8"/>
    </row>
    <row r="20" spans="1:20" x14ac:dyDescent="0.25">
      <c r="B20" s="2" t="s">
        <v>38</v>
      </c>
      <c r="C20" s="8">
        <v>205</v>
      </c>
      <c r="D20" s="2"/>
      <c r="E20" s="24" t="s">
        <v>39</v>
      </c>
      <c r="F20" s="39">
        <v>8555</v>
      </c>
      <c r="G20" s="39">
        <v>8798</v>
      </c>
      <c r="H20" s="39">
        <f t="shared" si="0"/>
        <v>243</v>
      </c>
      <c r="J20" s="13" t="s">
        <v>47</v>
      </c>
      <c r="K20" s="14">
        <f t="shared" ref="K20" si="2">H25</f>
        <v>10</v>
      </c>
      <c r="L20" s="13"/>
      <c r="M20" s="13"/>
      <c r="N20" s="13"/>
      <c r="O20" s="13"/>
      <c r="P20" s="13"/>
      <c r="Q20" s="14"/>
      <c r="R20" s="14"/>
    </row>
    <row r="21" spans="1:20" x14ac:dyDescent="0.25">
      <c r="B21" s="2" t="s">
        <v>40</v>
      </c>
      <c r="C21" s="8">
        <v>-246</v>
      </c>
      <c r="D21" s="2"/>
      <c r="E21" s="13" t="s">
        <v>41</v>
      </c>
      <c r="F21" s="14">
        <v>-2891</v>
      </c>
      <c r="G21" s="14">
        <v>-3443</v>
      </c>
      <c r="H21" s="14">
        <f t="shared" si="0"/>
        <v>-552</v>
      </c>
      <c r="J21" s="13" t="s">
        <v>49</v>
      </c>
      <c r="K21" s="14">
        <f>H27</f>
        <v>5</v>
      </c>
      <c r="L21" s="13"/>
      <c r="M21" s="13"/>
      <c r="N21" s="13"/>
      <c r="O21" s="13"/>
      <c r="P21" s="13"/>
      <c r="Q21" s="14"/>
      <c r="R21" s="14"/>
      <c r="S21" s="8"/>
      <c r="T21" s="8"/>
    </row>
    <row r="22" spans="1:20" x14ac:dyDescent="0.25">
      <c r="B22" s="1" t="s">
        <v>42</v>
      </c>
      <c r="C22" s="9">
        <f>SUM(C19:C21)</f>
        <v>3349</v>
      </c>
      <c r="D22" s="2"/>
      <c r="E22" s="11" t="s">
        <v>43</v>
      </c>
      <c r="F22" s="15">
        <f>SUM(F17:F21)</f>
        <v>15429</v>
      </c>
      <c r="G22" s="15">
        <f>SUM(G17:G21)</f>
        <v>15707</v>
      </c>
      <c r="H22" s="15">
        <f t="shared" si="0"/>
        <v>278</v>
      </c>
      <c r="J22" s="13" t="s">
        <v>50</v>
      </c>
      <c r="K22" s="14">
        <f>H28</f>
        <v>22</v>
      </c>
      <c r="L22" s="13"/>
      <c r="M22" s="13"/>
      <c r="N22" s="13"/>
      <c r="O22" s="13"/>
      <c r="P22" s="13"/>
      <c r="Q22" s="14"/>
      <c r="R22" s="14"/>
      <c r="S22" s="8"/>
      <c r="T22" s="8"/>
    </row>
    <row r="23" spans="1:20" x14ac:dyDescent="0.25">
      <c r="B23" s="2" t="s">
        <v>44</v>
      </c>
      <c r="C23" s="8">
        <f>C22*0.34</f>
        <v>1138.6600000000001</v>
      </c>
      <c r="D23" s="2"/>
      <c r="E23" s="13"/>
      <c r="F23" s="14"/>
      <c r="G23" s="14"/>
      <c r="H23" s="14"/>
      <c r="J23" s="21" t="s">
        <v>81</v>
      </c>
      <c r="L23" s="13"/>
      <c r="M23" s="13"/>
      <c r="N23" s="13"/>
      <c r="O23" s="13"/>
      <c r="P23" s="13"/>
      <c r="Q23" s="14"/>
      <c r="R23" s="13"/>
    </row>
    <row r="24" spans="1:20" x14ac:dyDescent="0.25">
      <c r="B24" s="1" t="s">
        <v>45</v>
      </c>
      <c r="C24" s="9">
        <f>C22-C23</f>
        <v>2210.34</v>
      </c>
      <c r="D24" s="2"/>
      <c r="E24" s="25" t="s">
        <v>46</v>
      </c>
      <c r="F24" s="40">
        <v>3325</v>
      </c>
      <c r="G24" s="40">
        <v>3588</v>
      </c>
      <c r="H24" s="40">
        <f t="shared" si="0"/>
        <v>263</v>
      </c>
      <c r="J24" s="13" t="s">
        <v>38</v>
      </c>
      <c r="K24" s="14">
        <f>-C20</f>
        <v>-205</v>
      </c>
      <c r="L24" s="13"/>
      <c r="M24" s="13"/>
      <c r="N24" s="13"/>
      <c r="O24" s="13"/>
      <c r="P24" s="13"/>
      <c r="Q24" s="13"/>
      <c r="R24" s="13"/>
    </row>
    <row r="25" spans="1:20" x14ac:dyDescent="0.25">
      <c r="B25" s="2"/>
      <c r="C25" s="2"/>
      <c r="D25" s="2"/>
      <c r="E25" s="25" t="s">
        <v>47</v>
      </c>
      <c r="F25" s="40">
        <v>75</v>
      </c>
      <c r="G25" s="40">
        <v>85</v>
      </c>
      <c r="H25" s="40">
        <f t="shared" si="0"/>
        <v>10</v>
      </c>
      <c r="J25" s="2" t="s">
        <v>136</v>
      </c>
      <c r="K25" s="8">
        <f>-C21</f>
        <v>246</v>
      </c>
      <c r="M25" s="1" t="s">
        <v>98</v>
      </c>
      <c r="N25" s="9">
        <f>K26+K31</f>
        <v>2326.34</v>
      </c>
      <c r="P25" s="13"/>
      <c r="Q25" s="13"/>
    </row>
    <row r="26" spans="1:20" x14ac:dyDescent="0.25">
      <c r="B26" s="2"/>
      <c r="C26" s="2"/>
      <c r="D26" s="2"/>
      <c r="E26" s="41" t="s">
        <v>48</v>
      </c>
      <c r="F26" s="42">
        <v>74</v>
      </c>
      <c r="G26" s="42">
        <v>62</v>
      </c>
      <c r="H26" s="42">
        <f t="shared" si="0"/>
        <v>-12</v>
      </c>
      <c r="J26" s="1" t="s">
        <v>70</v>
      </c>
      <c r="K26" s="9">
        <f>SUM(K13:K25)</f>
        <v>2864.34</v>
      </c>
      <c r="M26" s="2" t="s">
        <v>143</v>
      </c>
    </row>
    <row r="27" spans="1:20" x14ac:dyDescent="0.25">
      <c r="B27" s="1" t="s">
        <v>58</v>
      </c>
      <c r="C27" s="2"/>
      <c r="D27" s="2"/>
      <c r="E27" s="25" t="s">
        <v>49</v>
      </c>
      <c r="F27" s="40">
        <v>50</v>
      </c>
      <c r="G27" s="40">
        <v>55</v>
      </c>
      <c r="H27" s="40">
        <f t="shared" si="0"/>
        <v>5</v>
      </c>
    </row>
    <row r="28" spans="1:20" x14ac:dyDescent="0.25">
      <c r="A28" s="17"/>
      <c r="B28" s="2" t="s">
        <v>62</v>
      </c>
      <c r="C28" s="2"/>
      <c r="D28" s="2"/>
      <c r="E28" s="25" t="s">
        <v>50</v>
      </c>
      <c r="F28" s="40">
        <v>1104</v>
      </c>
      <c r="G28" s="40">
        <v>1126</v>
      </c>
      <c r="H28" s="40">
        <f t="shared" si="0"/>
        <v>22</v>
      </c>
      <c r="J28" s="1" t="s">
        <v>71</v>
      </c>
      <c r="M28" s="1" t="s">
        <v>84</v>
      </c>
    </row>
    <row r="29" spans="1:20" x14ac:dyDescent="0.25">
      <c r="B29" s="2" t="s">
        <v>59</v>
      </c>
      <c r="C29" s="2">
        <v>1300</v>
      </c>
      <c r="D29" s="2"/>
      <c r="E29" s="11" t="s">
        <v>51</v>
      </c>
      <c r="F29" s="15">
        <f>SUM(F24:F28)</f>
        <v>4628</v>
      </c>
      <c r="G29" s="15">
        <f>SUM(G24:G28)</f>
        <v>4916</v>
      </c>
      <c r="H29" s="15">
        <f t="shared" si="0"/>
        <v>288</v>
      </c>
      <c r="J29" s="13" t="s">
        <v>82</v>
      </c>
      <c r="K29" s="13">
        <f>-C29</f>
        <v>-1300</v>
      </c>
      <c r="M29" s="2" t="s">
        <v>83</v>
      </c>
      <c r="N29" s="8">
        <f>F20</f>
        <v>8555</v>
      </c>
      <c r="P29" s="1" t="s">
        <v>54</v>
      </c>
    </row>
    <row r="30" spans="1:20" x14ac:dyDescent="0.25">
      <c r="B30" s="2" t="s">
        <v>60</v>
      </c>
      <c r="C30" s="2"/>
      <c r="D30" s="2"/>
      <c r="E30" s="41" t="s">
        <v>52</v>
      </c>
      <c r="F30" s="42">
        <v>3575</v>
      </c>
      <c r="G30" s="42">
        <v>3075</v>
      </c>
      <c r="H30" s="42">
        <f t="shared" si="0"/>
        <v>-500</v>
      </c>
      <c r="J30" s="13" t="s">
        <v>97</v>
      </c>
      <c r="K30" s="14">
        <f>N48</f>
        <v>762</v>
      </c>
      <c r="M30" s="2" t="s">
        <v>138</v>
      </c>
      <c r="N30" s="2">
        <f>C29</f>
        <v>1300</v>
      </c>
      <c r="O30" s="8"/>
      <c r="P30" s="2" t="s">
        <v>83</v>
      </c>
      <c r="Q30" s="8">
        <f>F32</f>
        <v>2876</v>
      </c>
    </row>
    <row r="31" spans="1:20" x14ac:dyDescent="0.25">
      <c r="B31" s="2" t="s">
        <v>61</v>
      </c>
      <c r="C31" s="2">
        <v>205</v>
      </c>
      <c r="D31" s="2"/>
      <c r="E31" s="41" t="s">
        <v>53</v>
      </c>
      <c r="F31" s="42">
        <v>4350</v>
      </c>
      <c r="G31" s="42">
        <v>3750</v>
      </c>
      <c r="H31" s="42">
        <f t="shared" si="0"/>
        <v>-600</v>
      </c>
      <c r="J31" s="11" t="s">
        <v>71</v>
      </c>
      <c r="K31" s="11">
        <f>SUM(K29:K30)</f>
        <v>-538</v>
      </c>
      <c r="M31" s="23" t="s">
        <v>139</v>
      </c>
      <c r="N31" s="37" t="s">
        <v>135</v>
      </c>
      <c r="O31" s="28">
        <f>N29+N30-N32</f>
        <v>1057</v>
      </c>
      <c r="P31" s="2" t="s">
        <v>93</v>
      </c>
      <c r="Q31" s="8">
        <f>C24</f>
        <v>2210.34</v>
      </c>
      <c r="R31" s="28">
        <f>Q30+Q31-Q33</f>
        <v>1120.3400000000001</v>
      </c>
    </row>
    <row r="32" spans="1:20" x14ac:dyDescent="0.25">
      <c r="B32" s="2"/>
      <c r="C32" s="2"/>
      <c r="D32" s="2"/>
      <c r="E32" s="13" t="s">
        <v>54</v>
      </c>
      <c r="F32" s="14">
        <v>2876</v>
      </c>
      <c r="G32" s="14">
        <v>3966</v>
      </c>
      <c r="H32" s="14">
        <f t="shared" si="0"/>
        <v>1090</v>
      </c>
      <c r="M32" s="19" t="s">
        <v>85</v>
      </c>
      <c r="N32" s="8">
        <f>G20</f>
        <v>8798</v>
      </c>
      <c r="P32" s="23" t="s">
        <v>112</v>
      </c>
      <c r="Q32" s="36" t="s">
        <v>135</v>
      </c>
    </row>
    <row r="33" spans="2:17" x14ac:dyDescent="0.25">
      <c r="B33" s="2"/>
      <c r="C33" s="2"/>
      <c r="D33" s="2"/>
      <c r="E33" s="11" t="s">
        <v>55</v>
      </c>
      <c r="F33" s="15">
        <f>SUM(F29:F32)</f>
        <v>15429</v>
      </c>
      <c r="G33" s="15">
        <f>SUM(G29:G32)</f>
        <v>15707</v>
      </c>
      <c r="H33" s="15">
        <f t="shared" si="0"/>
        <v>278</v>
      </c>
      <c r="J33" s="1" t="s">
        <v>72</v>
      </c>
      <c r="P33" s="19" t="s">
        <v>85</v>
      </c>
      <c r="Q33" s="8">
        <f>G32</f>
        <v>3966</v>
      </c>
    </row>
    <row r="34" spans="2:17" x14ac:dyDescent="0.25">
      <c r="B34" s="2"/>
      <c r="C34" s="2"/>
      <c r="D34" s="2"/>
      <c r="E34" s="13"/>
      <c r="F34" s="13"/>
      <c r="G34" s="13"/>
      <c r="H34" s="13"/>
      <c r="J34" s="2" t="s">
        <v>115</v>
      </c>
      <c r="K34" s="8">
        <f>-K25</f>
        <v>-246</v>
      </c>
      <c r="M34" s="1" t="s">
        <v>86</v>
      </c>
      <c r="N34" s="8"/>
    </row>
    <row r="35" spans="2:17" x14ac:dyDescent="0.25">
      <c r="B35" s="2"/>
      <c r="C35" s="2"/>
      <c r="D35" s="2"/>
      <c r="E35" s="13"/>
      <c r="F35" s="13"/>
      <c r="G35" s="14"/>
      <c r="H35" s="13"/>
      <c r="J35" s="13" t="s">
        <v>48</v>
      </c>
      <c r="K35" s="14">
        <f>H26</f>
        <v>-12</v>
      </c>
      <c r="M35" s="2" t="s">
        <v>83</v>
      </c>
      <c r="N35" s="8">
        <f>-F21</f>
        <v>2891</v>
      </c>
    </row>
    <row r="36" spans="2:17" x14ac:dyDescent="0.25">
      <c r="E36" s="16"/>
      <c r="F36" s="16"/>
      <c r="G36" s="16"/>
      <c r="H36" s="16"/>
      <c r="J36" s="13" t="s">
        <v>52</v>
      </c>
      <c r="K36" s="14">
        <f>H30</f>
        <v>-500</v>
      </c>
      <c r="M36" s="2" t="s">
        <v>140</v>
      </c>
      <c r="N36" s="8">
        <f>C17</f>
        <v>1052</v>
      </c>
    </row>
    <row r="37" spans="2:17" x14ac:dyDescent="0.25">
      <c r="B37" s="26"/>
      <c r="C37" s="13" t="s">
        <v>103</v>
      </c>
      <c r="G37" s="16"/>
      <c r="H37" s="16"/>
      <c r="J37" s="13" t="s">
        <v>53</v>
      </c>
      <c r="K37" s="14">
        <f>H31</f>
        <v>-600</v>
      </c>
      <c r="M37" s="23" t="s">
        <v>141</v>
      </c>
      <c r="N37" s="37" t="s">
        <v>135</v>
      </c>
      <c r="O37" s="28">
        <f>N35+N36-N38</f>
        <v>500</v>
      </c>
    </row>
    <row r="38" spans="2:17" x14ac:dyDescent="0.25">
      <c r="B38" s="27"/>
      <c r="C38" s="13" t="s">
        <v>104</v>
      </c>
      <c r="G38" s="16"/>
      <c r="H38" s="16"/>
      <c r="J38" s="13" t="s">
        <v>101</v>
      </c>
      <c r="K38" s="14">
        <f>-R31</f>
        <v>-1120.3400000000001</v>
      </c>
      <c r="M38" s="19" t="s">
        <v>85</v>
      </c>
      <c r="N38" s="8">
        <f>-G21</f>
        <v>3443</v>
      </c>
    </row>
    <row r="39" spans="2:17" x14ac:dyDescent="0.25">
      <c r="B39" s="43"/>
      <c r="C39" s="13" t="s">
        <v>105</v>
      </c>
      <c r="G39" s="16"/>
      <c r="H39" s="16"/>
      <c r="J39" s="11" t="s">
        <v>72</v>
      </c>
      <c r="K39" s="15">
        <f>SUM(K34:K38)</f>
        <v>-2478.34</v>
      </c>
    </row>
    <row r="40" spans="2:17" x14ac:dyDescent="0.25">
      <c r="E40" s="16"/>
      <c r="F40" s="16"/>
      <c r="G40" s="16"/>
      <c r="H40" s="16"/>
      <c r="M40" s="1" t="s">
        <v>87</v>
      </c>
    </row>
    <row r="41" spans="2:17" x14ac:dyDescent="0.25">
      <c r="B41" s="2" t="s">
        <v>106</v>
      </c>
      <c r="J41" s="9" t="s">
        <v>94</v>
      </c>
      <c r="K41" s="9">
        <f>SUM(K26,K31,K39)</f>
        <v>-152</v>
      </c>
      <c r="M41" s="2" t="s">
        <v>88</v>
      </c>
      <c r="N41" s="8">
        <f>O31</f>
        <v>1057</v>
      </c>
    </row>
    <row r="42" spans="2:17" x14ac:dyDescent="0.25">
      <c r="B42" s="2" t="s">
        <v>86</v>
      </c>
      <c r="C42" s="13" t="s">
        <v>107</v>
      </c>
      <c r="J42" s="2" t="s">
        <v>99</v>
      </c>
      <c r="K42" s="8">
        <f>F13</f>
        <v>1163</v>
      </c>
      <c r="M42" s="2" t="s">
        <v>111</v>
      </c>
      <c r="N42" s="8">
        <f>O37</f>
        <v>500</v>
      </c>
    </row>
    <row r="43" spans="2:17" x14ac:dyDescent="0.25">
      <c r="C43" s="13" t="s">
        <v>108</v>
      </c>
      <c r="J43" s="1" t="s">
        <v>100</v>
      </c>
      <c r="K43" s="9">
        <f>K41+K42</f>
        <v>1011</v>
      </c>
      <c r="M43" s="23" t="s">
        <v>89</v>
      </c>
      <c r="N43" s="28">
        <f>N41-N42</f>
        <v>557</v>
      </c>
    </row>
    <row r="44" spans="2:17" x14ac:dyDescent="0.25">
      <c r="B44" s="2" t="s">
        <v>54</v>
      </c>
      <c r="C44" s="13" t="s">
        <v>109</v>
      </c>
    </row>
    <row r="45" spans="2:17" x14ac:dyDescent="0.25">
      <c r="C45" s="13" t="s">
        <v>110</v>
      </c>
      <c r="J45" s="31" t="s">
        <v>113</v>
      </c>
      <c r="K45" s="31">
        <f>H13-K41</f>
        <v>0</v>
      </c>
      <c r="M45" s="1" t="s">
        <v>90</v>
      </c>
    </row>
    <row r="46" spans="2:17" ht="16.5" x14ac:dyDescent="0.3">
      <c r="F46" s="44"/>
      <c r="M46" s="2" t="s">
        <v>89</v>
      </c>
      <c r="N46" s="8">
        <f>N43</f>
        <v>557</v>
      </c>
    </row>
    <row r="47" spans="2:17" x14ac:dyDescent="0.25">
      <c r="M47" s="2" t="s">
        <v>91</v>
      </c>
      <c r="N47" s="8">
        <f>C20</f>
        <v>205</v>
      </c>
    </row>
    <row r="48" spans="2:17" x14ac:dyDescent="0.25">
      <c r="M48" s="29" t="s">
        <v>92</v>
      </c>
      <c r="N48" s="30">
        <f>SUM(N46:N47)</f>
        <v>762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</dc:creator>
  <cp:lastModifiedBy>Vinix</cp:lastModifiedBy>
  <dcterms:created xsi:type="dcterms:W3CDTF">2016-08-09T18:21:28Z</dcterms:created>
  <dcterms:modified xsi:type="dcterms:W3CDTF">2017-09-06T03:52:45Z</dcterms:modified>
</cp:coreProperties>
</file>