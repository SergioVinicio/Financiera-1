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10230" windowHeight="7500" xr2:uid="{00000000-000D-0000-FFFF-FFFF00000000}"/>
  </bookViews>
  <sheets>
    <sheet name="Caso 1 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" i="1" l="1"/>
  <c r="H5" i="1"/>
  <c r="L30" i="1" l="1"/>
  <c r="M21" i="1" s="1"/>
  <c r="L23" i="1"/>
  <c r="C20" i="1"/>
  <c r="L18" i="1"/>
  <c r="M18" i="1" s="1"/>
  <c r="T11" i="1" s="1"/>
  <c r="R17" i="1"/>
  <c r="L17" i="1"/>
  <c r="R16" i="1"/>
  <c r="C15" i="1"/>
  <c r="R12" i="1"/>
  <c r="L12" i="1"/>
  <c r="M12" i="1" s="1"/>
  <c r="T17" i="1" s="1"/>
  <c r="R11" i="1"/>
  <c r="H11" i="1"/>
  <c r="I11" i="1" s="1"/>
  <c r="C11" i="1"/>
  <c r="R10" i="1"/>
  <c r="H10" i="1"/>
  <c r="I10" i="1" s="1"/>
  <c r="C10" i="1"/>
  <c r="H12" i="1" s="1"/>
  <c r="R9" i="1"/>
  <c r="L9" i="1"/>
  <c r="L11" i="1" s="1"/>
  <c r="M11" i="1" s="1"/>
  <c r="C9" i="1"/>
  <c r="R8" i="1"/>
  <c r="H8" i="1"/>
  <c r="I8" i="1" s="1"/>
  <c r="L7" i="1"/>
  <c r="M7" i="1" s="1"/>
  <c r="T9" i="1" s="1"/>
  <c r="H7" i="1"/>
  <c r="L10" i="1" s="1"/>
  <c r="M10" i="1" s="1"/>
  <c r="T6" i="1"/>
  <c r="H6" i="1"/>
  <c r="I6" i="1" s="1"/>
  <c r="L5" i="1"/>
  <c r="M5" i="1" s="1"/>
  <c r="I5" i="1"/>
  <c r="L6" i="1"/>
  <c r="M6" i="1" s="1"/>
  <c r="T8" i="1" s="1"/>
  <c r="I14" i="1" l="1"/>
  <c r="T13" i="1" s="1"/>
  <c r="T21" i="1" s="1"/>
  <c r="T20" i="1"/>
  <c r="M8" i="1"/>
  <c r="L8" i="1"/>
  <c r="I12" i="1"/>
  <c r="T7" i="1"/>
  <c r="L13" i="1"/>
  <c r="M13" i="1" s="1"/>
  <c r="I9" i="1"/>
  <c r="I13" i="1" s="1"/>
  <c r="I15" i="1" s="1"/>
  <c r="M9" i="1"/>
  <c r="T16" i="1" s="1"/>
  <c r="T18" i="1" s="1"/>
  <c r="M17" i="1"/>
  <c r="I7" i="1"/>
  <c r="H9" i="1"/>
  <c r="H13" i="1" s="1"/>
  <c r="H15" i="1" s="1"/>
  <c r="L14" i="1"/>
  <c r="M14" i="1" s="1"/>
  <c r="M15" i="1" s="1"/>
  <c r="I16" i="1" l="1"/>
  <c r="M19" i="1" s="1"/>
  <c r="T12" i="1" s="1"/>
  <c r="M20" i="1"/>
  <c r="M22" i="1" s="1"/>
  <c r="T10" i="1"/>
  <c r="H16" i="1"/>
  <c r="L19" i="1" s="1"/>
  <c r="L20" i="1" s="1"/>
  <c r="L22" i="1" s="1"/>
  <c r="L15" i="1"/>
  <c r="H17" i="1" l="1"/>
  <c r="L24" i="1" s="1"/>
  <c r="L25" i="1" s="1"/>
  <c r="L27" i="1" s="1"/>
  <c r="L29" i="1" s="1"/>
  <c r="L31" i="1" s="1"/>
  <c r="I17" i="1"/>
  <c r="U8" i="1"/>
  <c r="T22" i="1" l="1"/>
  <c r="T23" i="1" s="1"/>
  <c r="T5" i="1"/>
  <c r="T14" i="1" s="1"/>
  <c r="T25" i="1" s="1"/>
  <c r="M24" i="1"/>
  <c r="M25" i="1" s="1"/>
  <c r="M27" i="1" s="1"/>
  <c r="M29" i="1" s="1"/>
</calcChain>
</file>

<file path=xl/sharedStrings.xml><?xml version="1.0" encoding="utf-8"?>
<sst xmlns="http://schemas.openxmlformats.org/spreadsheetml/2006/main" count="115" uniqueCount="75">
  <si>
    <t>Supuestos de proyección</t>
  </si>
  <si>
    <t>Estado de Resultados</t>
  </si>
  <si>
    <t>Balance General</t>
  </si>
  <si>
    <t>Flujo de Efectivo</t>
  </si>
  <si>
    <t>ER</t>
  </si>
  <si>
    <t>BG</t>
  </si>
  <si>
    <t>1era proyección</t>
  </si>
  <si>
    <t>Retroalimentación</t>
  </si>
  <si>
    <t>Ventas</t>
  </si>
  <si>
    <t>X</t>
  </si>
  <si>
    <t>Caja y Bancos</t>
  </si>
  <si>
    <t>Utilidad Neta</t>
  </si>
  <si>
    <t>Costo de ventas</t>
  </si>
  <si>
    <t>CXC</t>
  </si>
  <si>
    <t>DPC</t>
  </si>
  <si>
    <t>Dep. equipo</t>
  </si>
  <si>
    <t xml:space="preserve">Renta </t>
  </si>
  <si>
    <t>Inventarios</t>
  </si>
  <si>
    <t>Ventas diarias</t>
  </si>
  <si>
    <t>Amort. Intangible</t>
  </si>
  <si>
    <t>Gastos adm</t>
  </si>
  <si>
    <t>Renta</t>
  </si>
  <si>
    <t>Activo Circulante</t>
  </si>
  <si>
    <t>Dep. de equipo</t>
  </si>
  <si>
    <t>Utilidad Bruta</t>
  </si>
  <si>
    <t>PP&amp;E, bruto</t>
  </si>
  <si>
    <t>Amort. Año 1</t>
  </si>
  <si>
    <t>Dep. Acum</t>
  </si>
  <si>
    <t>Gastos de ventas</t>
  </si>
  <si>
    <t>Gastos e ventas</t>
  </si>
  <si>
    <t>PP&amp;E, neto</t>
  </si>
  <si>
    <t>Tasa efectivo de impuestos</t>
  </si>
  <si>
    <t>Amort. Patente</t>
  </si>
  <si>
    <t>Intangibles</t>
  </si>
  <si>
    <t>Socios fundadores</t>
  </si>
  <si>
    <t>Utilidad Operativa</t>
  </si>
  <si>
    <t>Amort. Acum</t>
  </si>
  <si>
    <t>Ajuste intereses</t>
  </si>
  <si>
    <t>Familiares</t>
  </si>
  <si>
    <t>Intereses</t>
  </si>
  <si>
    <t>Intangibles, neto</t>
  </si>
  <si>
    <t>Flujo Operativo</t>
  </si>
  <si>
    <t>Acciones comunes</t>
  </si>
  <si>
    <t>Utilidad antes de impuestos</t>
  </si>
  <si>
    <t>Total Activo</t>
  </si>
  <si>
    <t>Maq. Y equipo</t>
  </si>
  <si>
    <t>Impuestos</t>
  </si>
  <si>
    <t>Años de depreciación</t>
  </si>
  <si>
    <t>CXP</t>
  </si>
  <si>
    <t>DPP</t>
  </si>
  <si>
    <t>Sueldos x pagar</t>
  </si>
  <si>
    <t>Compras diarias</t>
  </si>
  <si>
    <t>Flujo de Inversión</t>
  </si>
  <si>
    <t>Años de amortización</t>
  </si>
  <si>
    <t>Impuestos x pagar</t>
  </si>
  <si>
    <t>Amort. Intangibles</t>
  </si>
  <si>
    <t>Pasivo Circulante</t>
  </si>
  <si>
    <t>Deuda</t>
  </si>
  <si>
    <t>Amort. 1 año</t>
  </si>
  <si>
    <t>% Gastos de venta</t>
  </si>
  <si>
    <t>Total Pasivo</t>
  </si>
  <si>
    <t>Compras</t>
  </si>
  <si>
    <t>Flujo de Financiamiento</t>
  </si>
  <si>
    <t>Utilidades Retenidas</t>
  </si>
  <si>
    <t>Total Capital</t>
  </si>
  <si>
    <t>Flujo de Caja</t>
  </si>
  <si>
    <t>Saldo inventario</t>
  </si>
  <si>
    <t>Total Pasivo + Capital</t>
  </si>
  <si>
    <t>Monto máx. deuda</t>
  </si>
  <si>
    <t>FAN</t>
  </si>
  <si>
    <t>Tasa de interés</t>
  </si>
  <si>
    <t>Dividendos</t>
  </si>
  <si>
    <t>Acc Comunes</t>
  </si>
  <si>
    <t>Cuadre de Balance</t>
  </si>
  <si>
    <t>Flujo consumido por capital de trabajo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</si>
</sst>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2" borderId="0" xfId="0" applyFont="1" applyFill="1"/>
    <xf numFmtId="43" fontId="2" fillId="0" borderId="1" xfId="1" applyFont="1" applyBorder="1"/>
    <xf numFmtId="43" fontId="2" fillId="0" borderId="0" xfId="0" applyNumberFormat="1" applyFont="1"/>
    <xf numFmtId="43" fontId="3" fillId="0" borderId="0" xfId="0" applyNumberFormat="1" applyFont="1"/>
    <xf numFmtId="43" fontId="2" fillId="0" borderId="1" xfId="0" applyNumberFormat="1" applyFont="1" applyBorder="1"/>
    <xf numFmtId="9" fontId="2" fillId="0" borderId="1" xfId="0" applyNumberFormat="1" applyFont="1" applyBorder="1"/>
    <xf numFmtId="43" fontId="2" fillId="2" borderId="0" xfId="0" applyNumberFormat="1" applyFont="1" applyFill="1"/>
    <xf numFmtId="43" fontId="3" fillId="2" borderId="0" xfId="0" applyNumberFormat="1" applyFont="1" applyFill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33"/>
  <sheetViews>
    <sheetView tabSelected="1" topLeftCell="H13" zoomScaleNormal="100" workbookViewId="0">
      <selection activeCell="M24" sqref="M24"/>
    </sheetView>
  </sheetViews>
  <sheetFormatPr defaultRowHeight="13.5" x14ac:dyDescent="0.25"/>
  <cols>
    <col min="1" max="1" width="9.140625" style="1"/>
    <col min="2" max="2" width="26.5703125" style="1" bestFit="1" customWidth="1"/>
    <col min="3" max="3" width="13.5703125" style="1" customWidth="1"/>
    <col min="4" max="6" width="9.140625" style="1"/>
    <col min="7" max="7" width="27.28515625" style="1" bestFit="1" customWidth="1"/>
    <col min="8" max="8" width="16.42578125" style="1" bestFit="1" customWidth="1"/>
    <col min="9" max="9" width="16.42578125" style="1" customWidth="1"/>
    <col min="10" max="10" width="9.140625" style="1"/>
    <col min="11" max="11" width="21.5703125" style="1" bestFit="1" customWidth="1"/>
    <col min="12" max="12" width="12.42578125" style="1" bestFit="1" customWidth="1"/>
    <col min="13" max="13" width="12.42578125" style="1" customWidth="1"/>
    <col min="14" max="17" width="9.140625" style="1"/>
    <col min="18" max="18" width="16.140625" style="1" bestFit="1" customWidth="1"/>
    <col min="19" max="19" width="9.140625" style="1"/>
    <col min="20" max="20" width="12.42578125" style="1" bestFit="1" customWidth="1"/>
    <col min="21" max="21" width="11.28515625" style="1" bestFit="1" customWidth="1"/>
    <col min="22" max="16384" width="9.140625" style="1"/>
  </cols>
  <sheetData>
    <row r="3" spans="1:22" x14ac:dyDescent="0.25">
      <c r="B3" s="2" t="s">
        <v>0</v>
      </c>
      <c r="G3" s="2" t="s">
        <v>1</v>
      </c>
      <c r="K3" s="2" t="s">
        <v>2</v>
      </c>
      <c r="R3" s="2" t="s">
        <v>3</v>
      </c>
    </row>
    <row r="4" spans="1:22" x14ac:dyDescent="0.25">
      <c r="B4" s="3"/>
      <c r="C4" s="3"/>
      <c r="D4" s="3" t="s">
        <v>4</v>
      </c>
      <c r="E4" s="3" t="s">
        <v>5</v>
      </c>
      <c r="H4" s="2" t="s">
        <v>6</v>
      </c>
      <c r="I4" s="2" t="s">
        <v>7</v>
      </c>
      <c r="L4" s="2" t="s">
        <v>6</v>
      </c>
      <c r="M4" s="2" t="s">
        <v>7</v>
      </c>
    </row>
    <row r="5" spans="1:22" x14ac:dyDescent="0.25">
      <c r="A5" s="4"/>
      <c r="B5" s="3" t="s">
        <v>8</v>
      </c>
      <c r="C5" s="5">
        <v>1380000</v>
      </c>
      <c r="D5" s="3" t="s">
        <v>9</v>
      </c>
      <c r="E5" s="3"/>
      <c r="G5" s="1" t="s">
        <v>8</v>
      </c>
      <c r="H5" s="6">
        <f>C5</f>
        <v>1380000</v>
      </c>
      <c r="I5" s="6">
        <f>H5</f>
        <v>1380000</v>
      </c>
      <c r="K5" s="1" t="s">
        <v>10</v>
      </c>
      <c r="L5" s="6">
        <f>C28</f>
        <v>10000</v>
      </c>
      <c r="M5" s="6">
        <f>L5</f>
        <v>10000</v>
      </c>
      <c r="R5" s="1" t="s">
        <v>11</v>
      </c>
      <c r="T5" s="6">
        <f>I17</f>
        <v>128812.5</v>
      </c>
    </row>
    <row r="6" spans="1:22" x14ac:dyDescent="0.25">
      <c r="A6" s="4"/>
      <c r="B6" s="3" t="s">
        <v>12</v>
      </c>
      <c r="C6" s="5">
        <v>792000</v>
      </c>
      <c r="D6" s="3" t="s">
        <v>9</v>
      </c>
      <c r="E6" s="3"/>
      <c r="G6" s="1" t="s">
        <v>12</v>
      </c>
      <c r="H6" s="6">
        <f>C6</f>
        <v>792000</v>
      </c>
      <c r="I6" s="6">
        <f t="shared" ref="I6:I12" si="0">H6</f>
        <v>792000</v>
      </c>
      <c r="K6" s="1" t="s">
        <v>13</v>
      </c>
      <c r="L6" s="6">
        <f>C24*(H5/360)</f>
        <v>153333.33333333334</v>
      </c>
      <c r="M6" s="6">
        <f t="shared" ref="M6:M14" si="1">L6</f>
        <v>153333.33333333334</v>
      </c>
      <c r="O6" s="1" t="s">
        <v>14</v>
      </c>
      <c r="P6" s="1" t="s">
        <v>13</v>
      </c>
      <c r="R6" s="1" t="s">
        <v>15</v>
      </c>
      <c r="T6" s="6">
        <f>H7</f>
        <v>24000</v>
      </c>
    </row>
    <row r="7" spans="1:22" x14ac:dyDescent="0.25">
      <c r="A7" s="4"/>
      <c r="B7" s="3" t="s">
        <v>16</v>
      </c>
      <c r="C7" s="5">
        <v>96000</v>
      </c>
      <c r="D7" s="3" t="s">
        <v>9</v>
      </c>
      <c r="E7" s="3"/>
      <c r="G7" s="1" t="s">
        <v>15</v>
      </c>
      <c r="H7" s="6">
        <f>C9</f>
        <v>24000</v>
      </c>
      <c r="I7" s="6">
        <f t="shared" si="0"/>
        <v>24000</v>
      </c>
      <c r="K7" s="1" t="s">
        <v>17</v>
      </c>
      <c r="L7" s="6">
        <f>C26</f>
        <v>180000</v>
      </c>
      <c r="M7" s="6">
        <f t="shared" si="1"/>
        <v>180000</v>
      </c>
      <c r="P7" s="1" t="s">
        <v>18</v>
      </c>
      <c r="R7" s="1" t="s">
        <v>19</v>
      </c>
      <c r="T7" s="6">
        <f>H12</f>
        <v>2250</v>
      </c>
    </row>
    <row r="8" spans="1:22" x14ac:dyDescent="0.25">
      <c r="A8" s="4"/>
      <c r="B8" s="3" t="s">
        <v>20</v>
      </c>
      <c r="C8" s="5">
        <v>180000</v>
      </c>
      <c r="D8" s="3" t="s">
        <v>9</v>
      </c>
      <c r="E8" s="3"/>
      <c r="G8" s="1" t="s">
        <v>21</v>
      </c>
      <c r="H8" s="6">
        <f>C7</f>
        <v>96000</v>
      </c>
      <c r="I8" s="6">
        <f t="shared" si="0"/>
        <v>96000</v>
      </c>
      <c r="K8" s="2" t="s">
        <v>22</v>
      </c>
      <c r="L8" s="7">
        <f>SUM(L5:L7)</f>
        <v>343333.33333333337</v>
      </c>
      <c r="M8" s="7">
        <f>SUM(M5:M7)</f>
        <v>343333.33333333337</v>
      </c>
      <c r="R8" s="1" t="str">
        <f>K6</f>
        <v>CXC</v>
      </c>
      <c r="T8" s="6">
        <f>-(M6-0)</f>
        <v>-153333.33333333334</v>
      </c>
      <c r="U8" s="6">
        <f>SUM(T8:T12)</f>
        <v>-234562.50000000006</v>
      </c>
      <c r="V8" s="1" t="s">
        <v>74</v>
      </c>
    </row>
    <row r="9" spans="1:22" x14ac:dyDescent="0.25">
      <c r="A9" s="4"/>
      <c r="B9" s="3" t="s">
        <v>23</v>
      </c>
      <c r="C9" s="5">
        <f>C16/C17</f>
        <v>24000</v>
      </c>
      <c r="D9" s="3" t="s">
        <v>9</v>
      </c>
      <c r="E9" s="3" t="s">
        <v>9</v>
      </c>
      <c r="G9" s="2" t="s">
        <v>24</v>
      </c>
      <c r="H9" s="7">
        <f>H5-SUM(H6:H8)</f>
        <v>468000</v>
      </c>
      <c r="I9" s="7">
        <f>I5-SUM(I6:I8)</f>
        <v>468000</v>
      </c>
      <c r="K9" s="1" t="s">
        <v>25</v>
      </c>
      <c r="L9" s="6">
        <f>C16</f>
        <v>120000</v>
      </c>
      <c r="M9" s="6">
        <f t="shared" si="1"/>
        <v>120000</v>
      </c>
      <c r="R9" s="1" t="str">
        <f>K7</f>
        <v>Inventarios</v>
      </c>
      <c r="T9" s="6">
        <f>-(M7-0)</f>
        <v>-180000</v>
      </c>
    </row>
    <row r="10" spans="1:22" x14ac:dyDescent="0.25">
      <c r="A10" s="4"/>
      <c r="B10" s="3" t="s">
        <v>26</v>
      </c>
      <c r="C10" s="5">
        <f>C20*C21</f>
        <v>2250</v>
      </c>
      <c r="D10" s="3" t="s">
        <v>9</v>
      </c>
      <c r="E10" s="3" t="s">
        <v>9</v>
      </c>
      <c r="G10" s="1" t="s">
        <v>20</v>
      </c>
      <c r="H10" s="6">
        <f>C8</f>
        <v>180000</v>
      </c>
      <c r="I10" s="6">
        <f t="shared" si="0"/>
        <v>180000</v>
      </c>
      <c r="K10" s="1" t="s">
        <v>27</v>
      </c>
      <c r="L10" s="6">
        <f>-H7</f>
        <v>-24000</v>
      </c>
      <c r="M10" s="6">
        <f t="shared" si="1"/>
        <v>-24000</v>
      </c>
      <c r="R10" s="1" t="str">
        <f>K17</f>
        <v>CXP</v>
      </c>
      <c r="T10" s="6">
        <f>(M17-0)</f>
        <v>45833.333333333336</v>
      </c>
    </row>
    <row r="11" spans="1:22" x14ac:dyDescent="0.25">
      <c r="A11" s="4"/>
      <c r="B11" s="3" t="s">
        <v>28</v>
      </c>
      <c r="C11" s="8">
        <f>C22*C5</f>
        <v>110400</v>
      </c>
      <c r="D11" s="3" t="s">
        <v>9</v>
      </c>
      <c r="E11" s="3"/>
      <c r="G11" s="1" t="s">
        <v>29</v>
      </c>
      <c r="H11" s="6">
        <f>C11</f>
        <v>110400</v>
      </c>
      <c r="I11" s="6">
        <f t="shared" si="0"/>
        <v>110400</v>
      </c>
      <c r="K11" s="1" t="s">
        <v>30</v>
      </c>
      <c r="L11" s="6">
        <f>SUM(L9:L10)</f>
        <v>96000</v>
      </c>
      <c r="M11" s="6">
        <f t="shared" si="1"/>
        <v>96000</v>
      </c>
      <c r="R11" s="1" t="str">
        <f t="shared" ref="R11:R12" si="2">K18</f>
        <v>Sueldos x pagar</v>
      </c>
      <c r="T11" s="6">
        <f t="shared" ref="T11:T12" si="3">(M18-0)</f>
        <v>10000</v>
      </c>
    </row>
    <row r="12" spans="1:22" x14ac:dyDescent="0.25">
      <c r="B12" s="3" t="s">
        <v>31</v>
      </c>
      <c r="C12" s="9">
        <v>0.25</v>
      </c>
      <c r="D12" s="3" t="s">
        <v>9</v>
      </c>
      <c r="E12" s="3" t="s">
        <v>9</v>
      </c>
      <c r="G12" s="1" t="s">
        <v>32</v>
      </c>
      <c r="H12" s="6">
        <f>C10</f>
        <v>2250</v>
      </c>
      <c r="I12" s="6">
        <f t="shared" si="0"/>
        <v>2250</v>
      </c>
      <c r="K12" s="1" t="s">
        <v>33</v>
      </c>
      <c r="L12" s="6">
        <f>C18</f>
        <v>9000</v>
      </c>
      <c r="M12" s="6">
        <f t="shared" si="1"/>
        <v>9000</v>
      </c>
      <c r="R12" s="1" t="str">
        <f t="shared" si="2"/>
        <v>Impuestos x pagar</v>
      </c>
      <c r="T12" s="6">
        <f t="shared" si="3"/>
        <v>42937.5</v>
      </c>
    </row>
    <row r="13" spans="1:22" x14ac:dyDescent="0.25">
      <c r="B13" s="3" t="s">
        <v>34</v>
      </c>
      <c r="C13" s="5">
        <v>80000</v>
      </c>
      <c r="D13" s="3"/>
      <c r="E13" s="3"/>
      <c r="G13" s="2" t="s">
        <v>35</v>
      </c>
      <c r="H13" s="7">
        <f>H9-SUM(H10:H12)</f>
        <v>175350</v>
      </c>
      <c r="I13" s="7">
        <f>I9-SUM(I10:I12)</f>
        <v>175350</v>
      </c>
      <c r="K13" s="1" t="s">
        <v>36</v>
      </c>
      <c r="L13" s="6">
        <f>-H12</f>
        <v>-2250</v>
      </c>
      <c r="M13" s="6">
        <f t="shared" si="1"/>
        <v>-2250</v>
      </c>
      <c r="R13" s="1" t="s">
        <v>37</v>
      </c>
      <c r="T13" s="6">
        <f>I14</f>
        <v>3600</v>
      </c>
    </row>
    <row r="14" spans="1:22" x14ac:dyDescent="0.25">
      <c r="B14" s="3" t="s">
        <v>38</v>
      </c>
      <c r="C14" s="5">
        <v>20000</v>
      </c>
      <c r="D14" s="3"/>
      <c r="E14" s="3"/>
      <c r="G14" s="1" t="s">
        <v>39</v>
      </c>
      <c r="H14" s="1">
        <v>0</v>
      </c>
      <c r="I14" s="10">
        <f>M21*C30</f>
        <v>3600</v>
      </c>
      <c r="K14" s="1" t="s">
        <v>40</v>
      </c>
      <c r="L14" s="6">
        <f>L12+L13</f>
        <v>6750</v>
      </c>
      <c r="M14" s="6">
        <f t="shared" si="1"/>
        <v>6750</v>
      </c>
      <c r="R14" s="2" t="s">
        <v>41</v>
      </c>
      <c r="T14" s="7">
        <f>SUM(T5:T13)</f>
        <v>-75900</v>
      </c>
    </row>
    <row r="15" spans="1:22" x14ac:dyDescent="0.25">
      <c r="B15" s="3" t="s">
        <v>42</v>
      </c>
      <c r="C15" s="8">
        <f>C13+C14</f>
        <v>100000</v>
      </c>
      <c r="D15" s="3"/>
      <c r="E15" s="3" t="s">
        <v>9</v>
      </c>
      <c r="G15" s="2" t="s">
        <v>43</v>
      </c>
      <c r="H15" s="7">
        <f>H13-H14</f>
        <v>175350</v>
      </c>
      <c r="I15" s="11">
        <f>I13-I14</f>
        <v>171750</v>
      </c>
      <c r="K15" s="2" t="s">
        <v>44</v>
      </c>
      <c r="L15" s="7">
        <f>SUM(L8,L11,L14)</f>
        <v>446083.33333333337</v>
      </c>
      <c r="M15" s="7">
        <f>SUM(M8,M11,M14)</f>
        <v>446083.33333333337</v>
      </c>
    </row>
    <row r="16" spans="1:22" x14ac:dyDescent="0.25">
      <c r="B16" s="3" t="s">
        <v>45</v>
      </c>
      <c r="C16" s="5">
        <v>120000</v>
      </c>
      <c r="D16" s="3"/>
      <c r="E16" s="3" t="s">
        <v>9</v>
      </c>
      <c r="G16" s="1" t="s">
        <v>46</v>
      </c>
      <c r="H16" s="6">
        <f>H15*C12</f>
        <v>43837.5</v>
      </c>
      <c r="I16" s="10">
        <f>I15*C12</f>
        <v>42937.5</v>
      </c>
      <c r="R16" s="1" t="str">
        <f>K9</f>
        <v>PP&amp;E, bruto</v>
      </c>
      <c r="T16" s="6">
        <f>-(M9-0)</f>
        <v>-120000</v>
      </c>
    </row>
    <row r="17" spans="1:20" x14ac:dyDescent="0.25">
      <c r="B17" s="3" t="s">
        <v>47</v>
      </c>
      <c r="C17" s="3">
        <v>5</v>
      </c>
      <c r="D17" s="3"/>
      <c r="E17" s="3"/>
      <c r="G17" s="2" t="s">
        <v>11</v>
      </c>
      <c r="H17" s="7">
        <f>H15-H16</f>
        <v>131512.5</v>
      </c>
      <c r="I17" s="11">
        <f>I15-I16</f>
        <v>128812.5</v>
      </c>
      <c r="K17" s="1" t="s">
        <v>48</v>
      </c>
      <c r="L17" s="6">
        <f>C25*(C23/360)</f>
        <v>45833.333333333336</v>
      </c>
      <c r="M17" s="6">
        <f>L17</f>
        <v>45833.333333333336</v>
      </c>
      <c r="O17" s="1" t="s">
        <v>49</v>
      </c>
      <c r="P17" s="1" t="s">
        <v>48</v>
      </c>
      <c r="R17" s="1" t="str">
        <f>K12</f>
        <v>Intangibles</v>
      </c>
      <c r="T17" s="6">
        <f>-(M12-0)</f>
        <v>-9000</v>
      </c>
    </row>
    <row r="18" spans="1:20" x14ac:dyDescent="0.25">
      <c r="B18" s="3" t="s">
        <v>33</v>
      </c>
      <c r="C18" s="5">
        <v>9000</v>
      </c>
      <c r="D18" s="3"/>
      <c r="E18" s="3" t="s">
        <v>9</v>
      </c>
      <c r="K18" s="1" t="s">
        <v>50</v>
      </c>
      <c r="L18" s="6">
        <f>C27</f>
        <v>10000</v>
      </c>
      <c r="M18" s="6">
        <f>L18</f>
        <v>10000</v>
      </c>
      <c r="P18" s="1" t="s">
        <v>51</v>
      </c>
      <c r="R18" s="2" t="s">
        <v>52</v>
      </c>
      <c r="T18" s="7">
        <f>SUM(T16:T17)</f>
        <v>-129000</v>
      </c>
    </row>
    <row r="19" spans="1:20" x14ac:dyDescent="0.25">
      <c r="B19" s="3" t="s">
        <v>53</v>
      </c>
      <c r="C19" s="3">
        <v>2</v>
      </c>
      <c r="D19" s="3"/>
      <c r="E19" s="3"/>
      <c r="K19" s="1" t="s">
        <v>54</v>
      </c>
      <c r="L19" s="6">
        <f>H16</f>
        <v>43837.5</v>
      </c>
      <c r="M19" s="10">
        <f>I16</f>
        <v>42937.5</v>
      </c>
    </row>
    <row r="20" spans="1:20" x14ac:dyDescent="0.25">
      <c r="B20" s="3" t="s">
        <v>55</v>
      </c>
      <c r="C20" s="5">
        <f>C18/C19</f>
        <v>4500</v>
      </c>
      <c r="D20" s="3"/>
      <c r="E20" s="3"/>
      <c r="K20" s="2" t="s">
        <v>56</v>
      </c>
      <c r="L20" s="7">
        <f>SUM(L17:L19)</f>
        <v>99670.833333333343</v>
      </c>
      <c r="M20" s="7">
        <f>SUM(M17:M19)</f>
        <v>98770.833333333343</v>
      </c>
      <c r="R20" s="1" t="s">
        <v>57</v>
      </c>
      <c r="T20" s="6">
        <f>M21</f>
        <v>30000</v>
      </c>
    </row>
    <row r="21" spans="1:20" x14ac:dyDescent="0.25">
      <c r="B21" s="3" t="s">
        <v>58</v>
      </c>
      <c r="C21" s="9">
        <v>0.5</v>
      </c>
      <c r="D21" s="3"/>
      <c r="E21" s="3"/>
      <c r="K21" s="1" t="s">
        <v>57</v>
      </c>
      <c r="L21" s="1">
        <v>0</v>
      </c>
      <c r="M21" s="10">
        <f>L30</f>
        <v>30000</v>
      </c>
      <c r="R21" s="1" t="s">
        <v>39</v>
      </c>
      <c r="T21" s="6">
        <f>-T13</f>
        <v>-3600</v>
      </c>
    </row>
    <row r="22" spans="1:20" x14ac:dyDescent="0.25">
      <c r="B22" s="3" t="s">
        <v>59</v>
      </c>
      <c r="C22" s="9">
        <v>0.08</v>
      </c>
      <c r="D22" s="3"/>
      <c r="E22" s="3"/>
      <c r="K22" s="2" t="s">
        <v>60</v>
      </c>
      <c r="L22" s="7">
        <f>L20+L21</f>
        <v>99670.833333333343</v>
      </c>
      <c r="M22" s="7">
        <f>M20+M21</f>
        <v>128770.83333333334</v>
      </c>
      <c r="R22" s="1" t="s">
        <v>42</v>
      </c>
      <c r="T22" s="6">
        <f>M23</f>
        <v>188500</v>
      </c>
    </row>
    <row r="23" spans="1:20" x14ac:dyDescent="0.25">
      <c r="B23" s="3" t="s">
        <v>61</v>
      </c>
      <c r="C23" s="5">
        <v>550000</v>
      </c>
      <c r="D23" s="3"/>
      <c r="E23" s="3"/>
      <c r="K23" s="1" t="s">
        <v>42</v>
      </c>
      <c r="L23" s="6">
        <f>C13+C14</f>
        <v>100000</v>
      </c>
      <c r="M23" s="6">
        <f>L23+L31+M33</f>
        <v>188500</v>
      </c>
      <c r="R23" s="2" t="s">
        <v>62</v>
      </c>
      <c r="S23" s="2"/>
      <c r="T23" s="7">
        <f>SUM(T20:T22)</f>
        <v>214900</v>
      </c>
    </row>
    <row r="24" spans="1:20" x14ac:dyDescent="0.25">
      <c r="B24" s="3" t="s">
        <v>14</v>
      </c>
      <c r="C24" s="3">
        <v>40</v>
      </c>
      <c r="D24" s="3"/>
      <c r="E24" s="3" t="s">
        <v>9</v>
      </c>
      <c r="K24" s="1" t="s">
        <v>63</v>
      </c>
      <c r="L24" s="6">
        <f>H17</f>
        <v>131512.5</v>
      </c>
      <c r="M24" s="6">
        <f>I17</f>
        <v>128812.5</v>
      </c>
    </row>
    <row r="25" spans="1:20" x14ac:dyDescent="0.25">
      <c r="B25" s="3" t="s">
        <v>49</v>
      </c>
      <c r="C25" s="3">
        <v>30</v>
      </c>
      <c r="D25" s="3"/>
      <c r="E25" s="3" t="s">
        <v>9</v>
      </c>
      <c r="K25" s="2" t="s">
        <v>64</v>
      </c>
      <c r="L25" s="7">
        <f>L23+L24</f>
        <v>231512.5</v>
      </c>
      <c r="M25" s="7">
        <f>M23+M24</f>
        <v>317312.5</v>
      </c>
      <c r="R25" s="2" t="s">
        <v>65</v>
      </c>
      <c r="T25" s="7">
        <f>SUM(T14,T18,T23)</f>
        <v>10000</v>
      </c>
    </row>
    <row r="26" spans="1:20" x14ac:dyDescent="0.25">
      <c r="B26" s="3" t="s">
        <v>66</v>
      </c>
      <c r="C26" s="5">
        <v>180000</v>
      </c>
      <c r="D26" s="3"/>
      <c r="E26" s="3" t="s">
        <v>9</v>
      </c>
    </row>
    <row r="27" spans="1:20" x14ac:dyDescent="0.25">
      <c r="B27" s="3" t="s">
        <v>50</v>
      </c>
      <c r="C27" s="5">
        <v>10000</v>
      </c>
      <c r="D27" s="3"/>
      <c r="E27" s="3" t="s">
        <v>9</v>
      </c>
      <c r="K27" s="2" t="s">
        <v>67</v>
      </c>
      <c r="L27" s="7">
        <f>L22+L25</f>
        <v>331183.33333333337</v>
      </c>
      <c r="M27" s="7">
        <f>M22+M25</f>
        <v>446083.33333333337</v>
      </c>
    </row>
    <row r="28" spans="1:20" x14ac:dyDescent="0.25">
      <c r="A28" s="4"/>
      <c r="B28" s="3" t="s">
        <v>10</v>
      </c>
      <c r="C28" s="5">
        <v>10000</v>
      </c>
      <c r="D28" s="3"/>
      <c r="E28" s="3" t="s">
        <v>9</v>
      </c>
    </row>
    <row r="29" spans="1:20" x14ac:dyDescent="0.25">
      <c r="B29" s="3" t="s">
        <v>68</v>
      </c>
      <c r="C29" s="5">
        <v>30000</v>
      </c>
      <c r="D29" s="3"/>
      <c r="E29" s="3" t="s">
        <v>9</v>
      </c>
      <c r="K29" s="2" t="s">
        <v>69</v>
      </c>
      <c r="L29" s="7">
        <f>L15-L27</f>
        <v>114900</v>
      </c>
      <c r="M29" s="7">
        <f>M15-M27</f>
        <v>0</v>
      </c>
    </row>
    <row r="30" spans="1:20" x14ac:dyDescent="0.25">
      <c r="B30" s="3" t="s">
        <v>70</v>
      </c>
      <c r="C30" s="9">
        <v>0.12</v>
      </c>
      <c r="D30" s="3" t="s">
        <v>9</v>
      </c>
      <c r="E30" s="3"/>
      <c r="K30" s="1" t="s">
        <v>57</v>
      </c>
      <c r="L30" s="6">
        <f>C29</f>
        <v>30000</v>
      </c>
    </row>
    <row r="31" spans="1:20" x14ac:dyDescent="0.25">
      <c r="B31" s="3" t="s">
        <v>71</v>
      </c>
      <c r="C31" s="5">
        <v>0</v>
      </c>
      <c r="D31" s="3"/>
      <c r="E31" s="3" t="s">
        <v>9</v>
      </c>
      <c r="K31" s="1" t="s">
        <v>72</v>
      </c>
      <c r="L31" s="6">
        <f>L29-L30</f>
        <v>84900</v>
      </c>
    </row>
    <row r="32" spans="1:20" ht="14.25" thickBot="1" x14ac:dyDescent="0.3"/>
    <row r="33" spans="11:13" ht="14.25" thickBot="1" x14ac:dyDescent="0.3">
      <c r="K33" s="12" t="s">
        <v>73</v>
      </c>
      <c r="L33" s="13"/>
      <c r="M33" s="14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 1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Sergio Garcia</cp:lastModifiedBy>
  <dcterms:created xsi:type="dcterms:W3CDTF">2017-11-14T20:30:47Z</dcterms:created>
  <dcterms:modified xsi:type="dcterms:W3CDTF">2017-11-16T23:06:52Z</dcterms:modified>
</cp:coreProperties>
</file>