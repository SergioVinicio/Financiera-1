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xr2:uid="{0C0A58DF-AA2F-4832-B647-53B8229F4384}"/>
  </bookViews>
  <sheets>
    <sheet name="Hoja1" sheetId="1" r:id="rId1"/>
    <sheet name="Hoja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F35" i="1"/>
  <c r="E35" i="1"/>
  <c r="D35" i="1"/>
  <c r="F34" i="1"/>
  <c r="C34" i="1"/>
  <c r="E34" i="1" s="1"/>
  <c r="D34" i="1"/>
  <c r="B35" i="1"/>
  <c r="B34" i="1"/>
  <c r="I30" i="1"/>
  <c r="I29" i="1"/>
  <c r="B24" i="1"/>
  <c r="C21" i="1"/>
  <c r="C26" i="1" s="1"/>
  <c r="C12" i="1"/>
  <c r="C11" i="1"/>
  <c r="C10" i="1"/>
  <c r="B10" i="1"/>
  <c r="D10" i="1" s="1"/>
  <c r="C5" i="1"/>
  <c r="C30" i="1" l="1"/>
  <c r="E24" i="1"/>
  <c r="F24" i="1" s="1"/>
  <c r="B25" i="1" s="1"/>
  <c r="C25" i="1"/>
  <c r="C31" i="1"/>
  <c r="C27" i="1"/>
  <c r="C29" i="1"/>
  <c r="C28" i="1"/>
  <c r="C35" i="1"/>
  <c r="E10" i="1"/>
  <c r="F10" i="1"/>
  <c r="B11" i="1" s="1"/>
  <c r="D11" i="1" s="1"/>
  <c r="E11" i="1"/>
  <c r="F11" i="1" s="1"/>
  <c r="B12" i="1" s="1"/>
  <c r="D12" i="1" s="1"/>
  <c r="E12" i="1" s="1"/>
  <c r="F12" i="1" s="1"/>
  <c r="D25" i="1" l="1"/>
  <c r="E25" i="1" s="1"/>
  <c r="F25" i="1" s="1"/>
  <c r="B26" i="1" s="1"/>
  <c r="D26" i="1" s="1"/>
  <c r="E26" i="1" s="1"/>
  <c r="F26" i="1" s="1"/>
  <c r="B27" i="1" s="1"/>
  <c r="D27" i="1" s="1"/>
  <c r="E27" i="1" s="1"/>
  <c r="F27" i="1" s="1"/>
  <c r="B28" i="1" s="1"/>
  <c r="D28" i="1" l="1"/>
  <c r="E28" i="1" s="1"/>
  <c r="F28" i="1" s="1"/>
  <c r="B29" i="1" s="1"/>
  <c r="D29" i="1" l="1"/>
  <c r="E29" i="1" s="1"/>
  <c r="F29" i="1" s="1"/>
  <c r="B30" i="1" s="1"/>
  <c r="D30" i="1" s="1"/>
  <c r="E30" i="1" s="1"/>
  <c r="F30" i="1" s="1"/>
  <c r="B31" i="1" s="1"/>
  <c r="D31" i="1" l="1"/>
  <c r="E31" i="1" s="1"/>
  <c r="F31" i="1" s="1"/>
</calcChain>
</file>

<file path=xl/sharedStrings.xml><?xml version="1.0" encoding="utf-8"?>
<sst xmlns="http://schemas.openxmlformats.org/spreadsheetml/2006/main" count="31" uniqueCount="17">
  <si>
    <t>Periodo</t>
  </si>
  <si>
    <t>Saldo Inicial</t>
  </si>
  <si>
    <t>Intereses</t>
  </si>
  <si>
    <t>Monto Credito</t>
  </si>
  <si>
    <t>Tasa</t>
  </si>
  <si>
    <t>n</t>
  </si>
  <si>
    <t>PMT</t>
  </si>
  <si>
    <t>Cuota</t>
  </si>
  <si>
    <t>Saldo Final</t>
  </si>
  <si>
    <t>Abono de capital</t>
  </si>
  <si>
    <t>Años</t>
  </si>
  <si>
    <t>N Trimestrales</t>
  </si>
  <si>
    <t xml:space="preserve">M </t>
  </si>
  <si>
    <t>TPA</t>
  </si>
  <si>
    <t>R Per</t>
  </si>
  <si>
    <t>TAE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</si>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</sst>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Q&quot;#,##0.00;[Red]\-&quot;Q&quot;#,##0.00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8" fontId="0" fillId="0" borderId="0" xfId="0" applyNumberFormat="1"/>
    <xf numFmtId="43" fontId="0" fillId="0" borderId="0" xfId="1" applyFont="1"/>
    <xf numFmtId="0" fontId="2" fillId="0" borderId="0" xfId="0" applyFont="1"/>
    <xf numFmtId="0" fontId="0" fillId="0" borderId="0" xfId="0" applyFont="1"/>
    <xf numFmtId="0" fontId="0" fillId="2" borderId="0" xfId="0" applyFill="1"/>
    <xf numFmtId="9" fontId="0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55EA-5B9B-4666-AF71-DC94AEE7FBC8}">
  <dimension ref="A2:I35"/>
  <sheetViews>
    <sheetView tabSelected="1" topLeftCell="A11" workbookViewId="0">
      <selection activeCell="C24" sqref="C24"/>
    </sheetView>
  </sheetViews>
  <sheetFormatPr baseColWidth="10" defaultRowHeight="15" x14ac:dyDescent="0.25"/>
  <cols>
    <col min="2" max="2" width="13.85546875" bestFit="1" customWidth="1"/>
    <col min="3" max="3" width="12.28515625" bestFit="1" customWidth="1"/>
    <col min="4" max="5" width="19.7109375" bestFit="1" customWidth="1"/>
  </cols>
  <sheetData>
    <row r="2" spans="1:6" x14ac:dyDescent="0.25">
      <c r="B2" t="s">
        <v>3</v>
      </c>
      <c r="C2">
        <v>10000</v>
      </c>
    </row>
    <row r="3" spans="1:6" x14ac:dyDescent="0.25">
      <c r="B3" t="s">
        <v>4</v>
      </c>
      <c r="C3" s="1">
        <v>0.05</v>
      </c>
    </row>
    <row r="4" spans="1:6" x14ac:dyDescent="0.25">
      <c r="B4" t="s">
        <v>5</v>
      </c>
      <c r="C4" s="3">
        <v>3</v>
      </c>
    </row>
    <row r="5" spans="1:6" x14ac:dyDescent="0.25">
      <c r="B5" t="s">
        <v>6</v>
      </c>
      <c r="C5" s="2">
        <f>PMT(C3,C4,C2)</f>
        <v>-3672.0856463124505</v>
      </c>
    </row>
    <row r="6" spans="1:6" x14ac:dyDescent="0.25">
      <c r="C6" s="1"/>
    </row>
    <row r="7" spans="1:6" x14ac:dyDescent="0.25">
      <c r="C7" s="1"/>
    </row>
    <row r="8" spans="1:6" x14ac:dyDescent="0.25">
      <c r="A8" s="6">
        <v>1</v>
      </c>
    </row>
    <row r="9" spans="1:6" x14ac:dyDescent="0.25">
      <c r="A9" s="4" t="s">
        <v>0</v>
      </c>
      <c r="B9" s="4" t="s">
        <v>1</v>
      </c>
      <c r="C9" s="4" t="s">
        <v>7</v>
      </c>
      <c r="D9" s="4" t="s">
        <v>2</v>
      </c>
      <c r="E9" s="4" t="s">
        <v>9</v>
      </c>
      <c r="F9" s="4" t="s">
        <v>8</v>
      </c>
    </row>
    <row r="10" spans="1:6" x14ac:dyDescent="0.25">
      <c r="A10">
        <v>1</v>
      </c>
      <c r="B10">
        <f>$C$2</f>
        <v>10000</v>
      </c>
      <c r="C10" s="2">
        <f>-$C$5</f>
        <v>3672.0856463124505</v>
      </c>
      <c r="D10">
        <f>B10*$C$3</f>
        <v>500</v>
      </c>
      <c r="E10" s="2">
        <f>C10-D10</f>
        <v>3172.0856463124505</v>
      </c>
      <c r="F10" s="2">
        <f>B10-E10</f>
        <v>6827.914353687549</v>
      </c>
    </row>
    <row r="11" spans="1:6" x14ac:dyDescent="0.25">
      <c r="A11">
        <v>2</v>
      </c>
      <c r="B11" s="2">
        <f>F10</f>
        <v>6827.914353687549</v>
      </c>
      <c r="C11" s="2">
        <f>-$C$5</f>
        <v>3672.0856463124505</v>
      </c>
      <c r="D11">
        <f>B11*$C$3</f>
        <v>341.39571768437747</v>
      </c>
      <c r="E11" s="2">
        <f>C11-D11</f>
        <v>3330.6899286280732</v>
      </c>
      <c r="F11" s="2">
        <f>B11-E11</f>
        <v>3497.2244250594758</v>
      </c>
    </row>
    <row r="12" spans="1:6" x14ac:dyDescent="0.25">
      <c r="A12">
        <v>3</v>
      </c>
      <c r="B12" s="2">
        <f>F11</f>
        <v>3497.2244250594758</v>
      </c>
      <c r="C12" s="2">
        <f>-$C$5</f>
        <v>3672.0856463124505</v>
      </c>
      <c r="D12">
        <f>B12*$C$3</f>
        <v>174.86122125297379</v>
      </c>
      <c r="E12" s="2">
        <f>C12-D12</f>
        <v>3497.2244250594767</v>
      </c>
      <c r="F12" s="2">
        <f>B12-E12</f>
        <v>0</v>
      </c>
    </row>
    <row r="15" spans="1:6" x14ac:dyDescent="0.25">
      <c r="A15" s="6">
        <v>2</v>
      </c>
      <c r="B15" t="s">
        <v>3</v>
      </c>
      <c r="C15">
        <v>500</v>
      </c>
    </row>
    <row r="16" spans="1:6" x14ac:dyDescent="0.25">
      <c r="B16" t="s">
        <v>10</v>
      </c>
      <c r="C16">
        <v>2</v>
      </c>
      <c r="F16" s="5"/>
    </row>
    <row r="17" spans="1:9" x14ac:dyDescent="0.25">
      <c r="B17" t="s">
        <v>12</v>
      </c>
      <c r="C17">
        <v>4</v>
      </c>
    </row>
    <row r="18" spans="1:9" x14ac:dyDescent="0.25">
      <c r="B18" t="s">
        <v>11</v>
      </c>
      <c r="C18">
        <v>8</v>
      </c>
    </row>
    <row r="19" spans="1:9" x14ac:dyDescent="0.25">
      <c r="B19" t="s">
        <v>13</v>
      </c>
      <c r="C19" s="1">
        <v>0.12</v>
      </c>
    </row>
    <row r="20" spans="1:9" x14ac:dyDescent="0.25">
      <c r="B20" t="s">
        <v>14</v>
      </c>
      <c r="C20" s="1">
        <v>0.03</v>
      </c>
    </row>
    <row r="21" spans="1:9" x14ac:dyDescent="0.25">
      <c r="B21" t="s">
        <v>6</v>
      </c>
      <c r="C21" s="2">
        <f>PMT(C20,C18,C15)</f>
        <v>-71.22819441361959</v>
      </c>
    </row>
    <row r="23" spans="1:9" x14ac:dyDescent="0.25">
      <c r="A23" s="4" t="s">
        <v>0</v>
      </c>
      <c r="B23" s="4" t="s">
        <v>1</v>
      </c>
      <c r="C23" s="4" t="s">
        <v>7</v>
      </c>
      <c r="D23" s="4" t="s">
        <v>2</v>
      </c>
      <c r="E23" s="4" t="s">
        <v>9</v>
      </c>
      <c r="F23" s="4" t="s">
        <v>8</v>
      </c>
    </row>
    <row r="24" spans="1:9" x14ac:dyDescent="0.25">
      <c r="A24">
        <v>1</v>
      </c>
      <c r="B24">
        <f>C15</f>
        <v>500</v>
      </c>
      <c r="C24" s="2">
        <f>-C21</f>
        <v>71.22819441361959</v>
      </c>
      <c r="D24">
        <f>B24*C20</f>
        <v>15</v>
      </c>
      <c r="E24" s="2">
        <f>C24-D24</f>
        <v>56.22819441361959</v>
      </c>
      <c r="F24" s="2">
        <f>B24-E24</f>
        <v>443.77180558638042</v>
      </c>
    </row>
    <row r="25" spans="1:9" x14ac:dyDescent="0.25">
      <c r="A25">
        <v>2</v>
      </c>
      <c r="B25" s="2">
        <f>F24</f>
        <v>443.77180558638042</v>
      </c>
      <c r="C25" s="2">
        <f>-$C$21</f>
        <v>71.22819441361959</v>
      </c>
      <c r="D25" s="2">
        <f>B25*$C$20</f>
        <v>13.313154167591412</v>
      </c>
      <c r="E25" s="2">
        <f>C25-D25</f>
        <v>57.915040246028177</v>
      </c>
      <c r="F25" s="2">
        <f>B25-E25</f>
        <v>385.85676534035224</v>
      </c>
    </row>
    <row r="26" spans="1:9" x14ac:dyDescent="0.25">
      <c r="A26">
        <v>3</v>
      </c>
      <c r="B26" s="2">
        <f t="shared" ref="B26:B31" si="0">F25</f>
        <v>385.85676534035224</v>
      </c>
      <c r="C26" s="2">
        <f t="shared" ref="C26:C31" si="1">-$C$21</f>
        <v>71.22819441361959</v>
      </c>
      <c r="D26" s="2">
        <f t="shared" ref="D26:D31" si="2">B26*$C$20</f>
        <v>11.575702960210567</v>
      </c>
      <c r="E26" s="2">
        <f t="shared" ref="E26:E31" si="3">C26-D26</f>
        <v>59.652491453409027</v>
      </c>
      <c r="F26" s="2">
        <f t="shared" ref="F26:F31" si="4">B26-E26</f>
        <v>326.20427388694321</v>
      </c>
    </row>
    <row r="27" spans="1:9" x14ac:dyDescent="0.25">
      <c r="A27">
        <v>4</v>
      </c>
      <c r="B27" s="2">
        <f t="shared" si="0"/>
        <v>326.20427388694321</v>
      </c>
      <c r="C27" s="2">
        <f t="shared" si="1"/>
        <v>71.22819441361959</v>
      </c>
      <c r="D27" s="2">
        <f t="shared" si="2"/>
        <v>9.7861282166082955</v>
      </c>
      <c r="E27" s="2">
        <f t="shared" si="3"/>
        <v>61.442066197011293</v>
      </c>
      <c r="F27" s="2">
        <f t="shared" si="4"/>
        <v>264.76220768993193</v>
      </c>
    </row>
    <row r="28" spans="1:9" x14ac:dyDescent="0.25">
      <c r="A28">
        <v>5</v>
      </c>
      <c r="B28" s="2">
        <f t="shared" si="0"/>
        <v>264.76220768993193</v>
      </c>
      <c r="C28" s="2">
        <f t="shared" si="1"/>
        <v>71.22819441361959</v>
      </c>
      <c r="D28" s="2">
        <f t="shared" si="2"/>
        <v>7.9428662306979572</v>
      </c>
      <c r="E28" s="2">
        <f t="shared" si="3"/>
        <v>63.285328182921631</v>
      </c>
      <c r="F28" s="2">
        <f t="shared" si="4"/>
        <v>201.4768795070103</v>
      </c>
    </row>
    <row r="29" spans="1:9" x14ac:dyDescent="0.25">
      <c r="A29">
        <v>6</v>
      </c>
      <c r="B29" s="2">
        <f t="shared" si="0"/>
        <v>201.4768795070103</v>
      </c>
      <c r="C29" s="2">
        <f t="shared" si="1"/>
        <v>71.22819441361959</v>
      </c>
      <c r="D29" s="2">
        <f t="shared" si="2"/>
        <v>6.0443063852103087</v>
      </c>
      <c r="E29" s="2">
        <f t="shared" si="3"/>
        <v>65.183888028409285</v>
      </c>
      <c r="F29" s="2">
        <f t="shared" si="4"/>
        <v>136.29299147860101</v>
      </c>
      <c r="H29" t="s">
        <v>15</v>
      </c>
      <c r="I29" s="7">
        <f>EFFECT(C19,C17)</f>
        <v>0.12550880999999992</v>
      </c>
    </row>
    <row r="30" spans="1:9" x14ac:dyDescent="0.25">
      <c r="A30">
        <v>7</v>
      </c>
      <c r="B30" s="2">
        <f t="shared" si="0"/>
        <v>136.29299147860101</v>
      </c>
      <c r="C30" s="2">
        <f t="shared" si="1"/>
        <v>71.22819441361959</v>
      </c>
      <c r="D30" s="2">
        <f t="shared" si="2"/>
        <v>4.0887897443580306</v>
      </c>
      <c r="E30" s="2">
        <f t="shared" si="3"/>
        <v>67.139404669261566</v>
      </c>
      <c r="F30" s="2">
        <f t="shared" si="4"/>
        <v>69.153586809339444</v>
      </c>
      <c r="H30" t="s">
        <v>16</v>
      </c>
      <c r="I30" s="2">
        <f>PMT(I29,2,C15)</f>
        <v>-297.99219731006809</v>
      </c>
    </row>
    <row r="31" spans="1:9" x14ac:dyDescent="0.25">
      <c r="A31">
        <v>8</v>
      </c>
      <c r="B31" s="2">
        <f t="shared" si="0"/>
        <v>69.153586809339444</v>
      </c>
      <c r="C31" s="2">
        <f t="shared" si="1"/>
        <v>71.22819441361959</v>
      </c>
      <c r="D31" s="2">
        <f t="shared" si="2"/>
        <v>2.0746076042801831</v>
      </c>
      <c r="E31" s="2">
        <f t="shared" si="3"/>
        <v>69.153586809339401</v>
      </c>
      <c r="F31" s="2">
        <f t="shared" si="4"/>
        <v>0</v>
      </c>
    </row>
    <row r="33" spans="1:6" x14ac:dyDescent="0.25">
      <c r="A33" s="4" t="s">
        <v>0</v>
      </c>
      <c r="B33" s="4" t="s">
        <v>1</v>
      </c>
      <c r="C33" s="4" t="s">
        <v>7</v>
      </c>
      <c r="D33" s="4" t="s">
        <v>2</v>
      </c>
      <c r="E33" s="4" t="s">
        <v>9</v>
      </c>
      <c r="F33" s="4" t="s">
        <v>8</v>
      </c>
    </row>
    <row r="34" spans="1:6" x14ac:dyDescent="0.25">
      <c r="A34">
        <v>1</v>
      </c>
      <c r="B34">
        <f>B24</f>
        <v>500</v>
      </c>
      <c r="C34" s="2">
        <f>-I30</f>
        <v>297.99219731006809</v>
      </c>
      <c r="D34">
        <f>B34*I29</f>
        <v>62.754404999999956</v>
      </c>
      <c r="E34" s="2">
        <f>C34-D34</f>
        <v>235.23779231006813</v>
      </c>
      <c r="F34" s="2">
        <f>B34-E34</f>
        <v>264.76220768993187</v>
      </c>
    </row>
    <row r="35" spans="1:6" x14ac:dyDescent="0.25">
      <c r="A35">
        <v>2</v>
      </c>
      <c r="B35">
        <f>F34</f>
        <v>264.76220768993187</v>
      </c>
      <c r="C35" s="2">
        <f>C34</f>
        <v>297.99219731006809</v>
      </c>
      <c r="D35">
        <f>B35*I29</f>
        <v>33.229989620136173</v>
      </c>
      <c r="E35" s="2">
        <f>C35-D35</f>
        <v>264.76220768993193</v>
      </c>
      <c r="F35" s="2">
        <f>B35-E35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3F94-0274-483D-8B65-F1D99DC3E1F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Garcia</dc:creator>
  <cp:lastModifiedBy>Sergio Garcia</cp:lastModifiedBy>
  <dcterms:created xsi:type="dcterms:W3CDTF">2017-09-27T16:41:40Z</dcterms:created>
  <dcterms:modified xsi:type="dcterms:W3CDTF">2017-09-27T17:15:59Z</dcterms:modified>
</cp:coreProperties>
</file>