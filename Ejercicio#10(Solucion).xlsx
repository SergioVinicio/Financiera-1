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showObjects="none"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xr2:uid="{00000000-000D-0000-FFFF-FFFF00000000}"/>
  </bookViews>
  <sheets>
    <sheet name="Solució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3" i="1" l="1"/>
  <c r="C65" i="1"/>
  <c r="I51" i="1"/>
  <c r="H51" i="1"/>
  <c r="G50" i="1"/>
  <c r="Q50" i="1"/>
  <c r="Q48" i="1"/>
  <c r="P48" i="1"/>
  <c r="C42" i="1" l="1"/>
  <c r="C34" i="1"/>
  <c r="C84" i="1" l="1"/>
  <c r="I76" i="1" l="1"/>
  <c r="I74" i="1"/>
  <c r="I70" i="1"/>
  <c r="I72" i="1" s="1"/>
  <c r="F76" i="1"/>
  <c r="F74" i="1"/>
  <c r="F70" i="1"/>
  <c r="F72" i="1" s="1"/>
  <c r="C11" i="1"/>
  <c r="F77" i="1" l="1"/>
  <c r="I77" i="1"/>
  <c r="C76" i="1"/>
  <c r="C74" i="1"/>
  <c r="C77" i="1" s="1"/>
  <c r="C70" i="1"/>
  <c r="C72" i="1" s="1"/>
  <c r="C61" i="1" l="1"/>
  <c r="C64" i="1" s="1"/>
  <c r="H47" i="1"/>
  <c r="I47" i="1" s="1"/>
  <c r="J47" i="1" s="1"/>
  <c r="K47" i="1" s="1"/>
  <c r="L47" i="1" s="1"/>
  <c r="M47" i="1" s="1"/>
  <c r="N47" i="1" s="1"/>
  <c r="O47" i="1" s="1"/>
  <c r="P47" i="1" s="1"/>
  <c r="C54" i="1"/>
  <c r="C52" i="1"/>
  <c r="C48" i="1"/>
  <c r="G48" i="1" s="1"/>
  <c r="H48" i="1" s="1"/>
  <c r="I48" i="1" s="1"/>
  <c r="J48" i="1" s="1"/>
  <c r="K48" i="1" s="1"/>
  <c r="L48" i="1" s="1"/>
  <c r="M48" i="1" s="1"/>
  <c r="N48" i="1" s="1"/>
  <c r="O48" i="1" s="1"/>
  <c r="G39" i="1"/>
  <c r="G38" i="1"/>
  <c r="H37" i="1"/>
  <c r="I37" i="1" s="1"/>
  <c r="J37" i="1" s="1"/>
  <c r="K37" i="1" s="1"/>
  <c r="L37" i="1" s="1"/>
  <c r="M37" i="1" s="1"/>
  <c r="N37" i="1" s="1"/>
  <c r="O37" i="1" s="1"/>
  <c r="P37" i="1" s="1"/>
  <c r="Q37" i="1" s="1"/>
  <c r="Q38" i="1" s="1"/>
  <c r="H36" i="1"/>
  <c r="I36" i="1" s="1"/>
  <c r="J36" i="1" s="1"/>
  <c r="K36" i="1" s="1"/>
  <c r="L36" i="1" s="1"/>
  <c r="M36" i="1" s="1"/>
  <c r="N36" i="1" s="1"/>
  <c r="O36" i="1" s="1"/>
  <c r="P36" i="1" s="1"/>
  <c r="Q36" i="1" s="1"/>
  <c r="G4" i="1"/>
  <c r="G2" i="1"/>
  <c r="H4" i="1"/>
  <c r="H2" i="1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I1" i="1"/>
  <c r="C41" i="1"/>
  <c r="C12" i="1"/>
  <c r="C32" i="1"/>
  <c r="C38" i="1" s="1"/>
  <c r="C30" i="1"/>
  <c r="C25" i="1"/>
  <c r="G17" i="1"/>
  <c r="L17" i="1"/>
  <c r="D19" i="1"/>
  <c r="O17" i="1" s="1"/>
  <c r="L18" i="1" s="1"/>
  <c r="C19" i="1"/>
  <c r="D5" i="1"/>
  <c r="C5" i="1"/>
  <c r="E5" i="1" l="1"/>
  <c r="G51" i="1"/>
  <c r="F51" i="1" s="1"/>
  <c r="H50" i="1"/>
  <c r="J17" i="1"/>
  <c r="G18" i="1" s="1"/>
  <c r="G19" i="1" s="1"/>
  <c r="M38" i="1"/>
  <c r="I38" i="1"/>
  <c r="N38" i="1"/>
  <c r="I50" i="1"/>
  <c r="J38" i="1"/>
  <c r="C37" i="1"/>
  <c r="P38" i="1"/>
  <c r="L38" i="1"/>
  <c r="H38" i="1"/>
  <c r="O38" i="1"/>
  <c r="K38" i="1"/>
  <c r="L19" i="1"/>
  <c r="G20" i="1" l="1"/>
  <c r="J50" i="1"/>
  <c r="J51" i="1" s="1"/>
  <c r="D37" i="1"/>
  <c r="E37" i="1" s="1"/>
  <c r="C43" i="1" s="1"/>
  <c r="Q39" i="1"/>
  <c r="K50" i="1" l="1"/>
  <c r="K51" i="1" s="1"/>
  <c r="L50" i="1" l="1"/>
  <c r="L51" i="1" s="1"/>
  <c r="M50" i="1" l="1"/>
  <c r="M51" i="1" s="1"/>
  <c r="N50" i="1" l="1"/>
  <c r="N51" i="1" s="1"/>
  <c r="O50" i="1" l="1"/>
  <c r="O51" i="1" s="1"/>
  <c r="Q51" i="1" l="1"/>
  <c r="P50" i="1"/>
  <c r="P51" i="1" s="1"/>
</calcChain>
</file>

<file path=xl/sharedStrings.xml><?xml version="1.0" encoding="utf-8"?>
<sst xmlns="http://schemas.openxmlformats.org/spreadsheetml/2006/main" count="97" uniqueCount="42">
  <si>
    <t>Juan</t>
  </si>
  <si>
    <t>PV</t>
  </si>
  <si>
    <t>Tasa</t>
  </si>
  <si>
    <t>n</t>
  </si>
  <si>
    <t>Fv</t>
  </si>
  <si>
    <t>Lorena</t>
  </si>
  <si>
    <t>m</t>
  </si>
  <si>
    <t>tasa</t>
  </si>
  <si>
    <t>FV</t>
  </si>
  <si>
    <t>A</t>
  </si>
  <si>
    <t>%</t>
  </si>
  <si>
    <t>B</t>
  </si>
  <si>
    <t>TPA</t>
  </si>
  <si>
    <t>TAE</t>
  </si>
  <si>
    <t>n años</t>
  </si>
  <si>
    <t>n meses</t>
  </si>
  <si>
    <t>r per</t>
  </si>
  <si>
    <t>pmt</t>
  </si>
  <si>
    <t>a</t>
  </si>
  <si>
    <t>b</t>
  </si>
  <si>
    <t>PMT</t>
  </si>
  <si>
    <t>Opción A</t>
  </si>
  <si>
    <t>Opción B</t>
  </si>
  <si>
    <t>FV?</t>
  </si>
  <si>
    <t>Opción de cálculo 1</t>
  </si>
  <si>
    <t>Opción de cálculo 2</t>
  </si>
  <si>
    <t>Renta</t>
  </si>
  <si>
    <t>Mantenimiento</t>
  </si>
  <si>
    <t>crecimiento</t>
  </si>
  <si>
    <t>VP per 0</t>
  </si>
  <si>
    <t xml:space="preserve">Flujo </t>
  </si>
  <si>
    <t>n para anualidades</t>
  </si>
  <si>
    <t>Plusvalía</t>
  </si>
  <si>
    <t>n periodos</t>
  </si>
  <si>
    <t>rate</t>
  </si>
  <si>
    <t>Tasa anual</t>
  </si>
  <si>
    <t>Tasa cupón</t>
  </si>
  <si>
    <t>interés anual</t>
  </si>
  <si>
    <t>interés semestral</t>
  </si>
  <si>
    <t>Tasa de retorno</t>
  </si>
  <si>
    <t>VP</t>
  </si>
  <si>
    <t>Si la tasa de bonos similares es igual a la tasa cupón el precio es igual al valor nominal.  Si la tasa es menor a la tasa cupón, el precio es mayor.  Si la tasa es mayor, el precio es menor.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</si>
</sst>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Q&quot;#,##0.00;[Red]\-&quot;Q&quot;#,##0.00"/>
    <numFmt numFmtId="164" formatCode="0.0%"/>
    <numFmt numFmtId="165" formatCode="#,##0.0"/>
    <numFmt numFmtId="166" formatCode="0.000%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9" fontId="1" fillId="0" borderId="0" xfId="0" applyNumberFormat="1" applyFont="1"/>
    <xf numFmtId="8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2" fillId="2" borderId="0" xfId="0" applyNumberFormat="1" applyFont="1" applyFill="1"/>
    <xf numFmtId="10" fontId="2" fillId="2" borderId="0" xfId="0" applyNumberFormat="1" applyFont="1" applyFill="1"/>
    <xf numFmtId="165" fontId="1" fillId="0" borderId="0" xfId="0" applyNumberFormat="1" applyFont="1"/>
    <xf numFmtId="165" fontId="2" fillId="2" borderId="0" xfId="0" applyNumberFormat="1" applyFont="1" applyFill="1"/>
    <xf numFmtId="0" fontId="2" fillId="2" borderId="0" xfId="0" applyFont="1" applyFill="1"/>
    <xf numFmtId="166" fontId="1" fillId="0" borderId="0" xfId="0" applyNumberFormat="1" applyFont="1"/>
    <xf numFmtId="4" fontId="1" fillId="0" borderId="0" xfId="0" applyNumberFormat="1" applyFont="1" applyFill="1"/>
    <xf numFmtId="4" fontId="2" fillId="2" borderId="0" xfId="0" applyNumberFormat="1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"/>
  <sheetViews>
    <sheetView tabSelected="1" topLeftCell="A25" zoomScale="110" zoomScaleNormal="110" workbookViewId="0">
      <selection activeCell="C84" sqref="C84"/>
    </sheetView>
  </sheetViews>
  <sheetFormatPr baseColWidth="10" defaultColWidth="9.140625" defaultRowHeight="13.5" x14ac:dyDescent="0.25"/>
  <cols>
    <col min="1" max="1" width="9.140625" style="1"/>
    <col min="2" max="2" width="16.28515625" style="1" customWidth="1"/>
    <col min="3" max="3" width="12.28515625" style="1" bestFit="1" customWidth="1"/>
    <col min="4" max="4" width="11.7109375" style="1" bestFit="1" customWidth="1"/>
    <col min="5" max="5" width="12.28515625" style="1" bestFit="1" customWidth="1"/>
    <col min="6" max="6" width="9.85546875" style="1" bestFit="1" customWidth="1"/>
    <col min="7" max="7" width="11.42578125" style="1" bestFit="1" customWidth="1"/>
    <col min="8" max="8" width="10.85546875" style="1" bestFit="1" customWidth="1"/>
    <col min="9" max="11" width="9.7109375" style="1" bestFit="1" customWidth="1"/>
    <col min="12" max="12" width="9.85546875" style="1" bestFit="1" customWidth="1"/>
    <col min="13" max="15" width="9.7109375" style="1" bestFit="1" customWidth="1"/>
    <col min="16" max="16" width="9.140625" style="1"/>
    <col min="17" max="17" width="10.140625" style="1" bestFit="1" customWidth="1"/>
    <col min="18" max="16384" width="9.140625" style="1"/>
  </cols>
  <sheetData>
    <row r="1" spans="1:23" x14ac:dyDescent="0.25">
      <c r="C1" s="1" t="s">
        <v>0</v>
      </c>
      <c r="D1" s="1" t="s">
        <v>5</v>
      </c>
      <c r="H1" s="1">
        <v>0</v>
      </c>
      <c r="I1" s="1">
        <f>H1+1</f>
        <v>1</v>
      </c>
      <c r="J1" s="1">
        <f t="shared" ref="J1:W1" si="0">I1+1</f>
        <v>2</v>
      </c>
      <c r="K1" s="1">
        <f t="shared" si="0"/>
        <v>3</v>
      </c>
      <c r="L1" s="1">
        <f t="shared" si="0"/>
        <v>4</v>
      </c>
      <c r="M1" s="1">
        <f t="shared" si="0"/>
        <v>5</v>
      </c>
      <c r="N1" s="1">
        <f t="shared" si="0"/>
        <v>6</v>
      </c>
      <c r="O1" s="1">
        <f t="shared" si="0"/>
        <v>7</v>
      </c>
      <c r="P1" s="1">
        <f t="shared" si="0"/>
        <v>8</v>
      </c>
      <c r="Q1" s="1">
        <f t="shared" si="0"/>
        <v>9</v>
      </c>
      <c r="R1" s="1">
        <f t="shared" si="0"/>
        <v>10</v>
      </c>
      <c r="S1" s="1">
        <f t="shared" si="0"/>
        <v>11</v>
      </c>
      <c r="T1" s="1">
        <f t="shared" si="0"/>
        <v>12</v>
      </c>
      <c r="U1" s="1">
        <f t="shared" si="0"/>
        <v>13</v>
      </c>
      <c r="V1" s="1">
        <f t="shared" si="0"/>
        <v>14</v>
      </c>
      <c r="W1" s="1">
        <f t="shared" si="0"/>
        <v>15</v>
      </c>
    </row>
    <row r="2" spans="1:23" x14ac:dyDescent="0.25">
      <c r="A2" s="1">
        <v>1</v>
      </c>
      <c r="B2" s="1" t="s">
        <v>1</v>
      </c>
      <c r="C2" s="4">
        <v>-15000</v>
      </c>
      <c r="D2" s="4">
        <v>-7500</v>
      </c>
      <c r="G2" s="5">
        <f>C3</f>
        <v>2.5000000000000001E-2</v>
      </c>
      <c r="H2" s="4">
        <f>C2</f>
        <v>-15000</v>
      </c>
      <c r="W2" s="1" t="s">
        <v>23</v>
      </c>
    </row>
    <row r="3" spans="1:23" x14ac:dyDescent="0.25">
      <c r="B3" s="1" t="s">
        <v>2</v>
      </c>
      <c r="C3" s="5">
        <v>2.5000000000000001E-2</v>
      </c>
      <c r="D3" s="5">
        <v>7.4999999999999997E-2</v>
      </c>
    </row>
    <row r="4" spans="1:23" x14ac:dyDescent="0.25">
      <c r="B4" s="1" t="s">
        <v>3</v>
      </c>
      <c r="C4" s="1">
        <v>15</v>
      </c>
      <c r="D4" s="1">
        <v>15</v>
      </c>
      <c r="G4" s="5">
        <f>D3</f>
        <v>7.4999999999999997E-2</v>
      </c>
      <c r="H4" s="4">
        <f>D2</f>
        <v>-7500</v>
      </c>
      <c r="W4" s="1" t="s">
        <v>23</v>
      </c>
    </row>
    <row r="5" spans="1:23" x14ac:dyDescent="0.25">
      <c r="B5" s="1" t="s">
        <v>4</v>
      </c>
      <c r="C5" s="4">
        <f>FV(C3,C4,0,C2)</f>
        <v>21724.472497471659</v>
      </c>
      <c r="D5" s="9">
        <f>FV(D3,D4,0,D2)</f>
        <v>22191.580146071185</v>
      </c>
      <c r="E5" s="4">
        <f>D5-C5</f>
        <v>467.10764859952542</v>
      </c>
    </row>
    <row r="8" spans="1:23" x14ac:dyDescent="0.25">
      <c r="A8" s="1">
        <v>2</v>
      </c>
      <c r="B8" s="1" t="s">
        <v>1</v>
      </c>
      <c r="C8" s="4">
        <v>-10000</v>
      </c>
      <c r="D8" s="6"/>
    </row>
    <row r="9" spans="1:23" x14ac:dyDescent="0.25">
      <c r="B9" s="1" t="s">
        <v>7</v>
      </c>
      <c r="C9" s="6">
        <v>5.5E-2</v>
      </c>
    </row>
    <row r="10" spans="1:23" x14ac:dyDescent="0.25">
      <c r="B10" s="1" t="s">
        <v>3</v>
      </c>
      <c r="C10" s="4">
        <v>8</v>
      </c>
      <c r="D10" s="4"/>
      <c r="E10" s="4"/>
      <c r="F10" s="17"/>
      <c r="G10" s="17"/>
    </row>
    <row r="11" spans="1:23" x14ac:dyDescent="0.25">
      <c r="A11" s="1" t="s">
        <v>18</v>
      </c>
      <c r="B11" s="1" t="s">
        <v>8</v>
      </c>
      <c r="C11" s="16">
        <f>FV(C9,C10,0,C8)</f>
        <v>15346.865149961528</v>
      </c>
    </row>
    <row r="12" spans="1:23" x14ac:dyDescent="0.25">
      <c r="A12" s="1" t="s">
        <v>19</v>
      </c>
      <c r="C12" s="9">
        <f>-C8</f>
        <v>10000</v>
      </c>
    </row>
    <row r="15" spans="1:23" x14ac:dyDescent="0.25">
      <c r="A15" s="1">
        <v>3</v>
      </c>
      <c r="G15" s="7" t="s">
        <v>21</v>
      </c>
      <c r="L15" s="7" t="s">
        <v>22</v>
      </c>
    </row>
    <row r="16" spans="1:23" x14ac:dyDescent="0.25">
      <c r="C16" s="1" t="s">
        <v>9</v>
      </c>
      <c r="D16" s="1" t="s">
        <v>11</v>
      </c>
      <c r="G16" s="1">
        <v>0</v>
      </c>
      <c r="H16" s="1">
        <v>1</v>
      </c>
      <c r="I16" s="1">
        <v>2</v>
      </c>
      <c r="J16" s="1">
        <v>3</v>
      </c>
      <c r="L16" s="1">
        <v>0</v>
      </c>
      <c r="M16" s="1">
        <v>1</v>
      </c>
      <c r="N16" s="1">
        <v>2</v>
      </c>
      <c r="O16" s="1">
        <v>3</v>
      </c>
    </row>
    <row r="17" spans="1:15" x14ac:dyDescent="0.25">
      <c r="B17" s="1" t="s">
        <v>1</v>
      </c>
      <c r="C17" s="4">
        <v>18000</v>
      </c>
      <c r="D17" s="4">
        <v>25000</v>
      </c>
      <c r="G17" s="4">
        <f>-C17</f>
        <v>-18000</v>
      </c>
      <c r="J17" s="4">
        <f>C19</f>
        <v>6300</v>
      </c>
      <c r="L17" s="4">
        <f>-D17</f>
        <v>-25000</v>
      </c>
      <c r="O17" s="4">
        <f>D19</f>
        <v>13750.000000000002</v>
      </c>
    </row>
    <row r="18" spans="1:15" x14ac:dyDescent="0.25">
      <c r="B18" s="1" t="s">
        <v>10</v>
      </c>
      <c r="C18" s="2">
        <v>0.35</v>
      </c>
      <c r="D18" s="2">
        <v>0.55000000000000004</v>
      </c>
      <c r="G18" s="4">
        <f>-PV(C20,J16,0,J17)</f>
        <v>5142.6766244123673</v>
      </c>
      <c r="L18" s="4">
        <f>-PV(D20,O16,0,O17)</f>
        <v>11224.095807249216</v>
      </c>
    </row>
    <row r="19" spans="1:15" x14ac:dyDescent="0.25">
      <c r="B19" s="1" t="s">
        <v>8</v>
      </c>
      <c r="C19" s="4">
        <f>C17*C18</f>
        <v>6300</v>
      </c>
      <c r="D19" s="4">
        <f>D17*D18</f>
        <v>13750.000000000002</v>
      </c>
      <c r="G19" s="9">
        <f>G17+G18</f>
        <v>-12857.323375587632</v>
      </c>
      <c r="L19" s="15">
        <f>L17+L18</f>
        <v>-13775.904192750784</v>
      </c>
    </row>
    <row r="20" spans="1:15" x14ac:dyDescent="0.25">
      <c r="B20" s="1" t="s">
        <v>7</v>
      </c>
      <c r="C20" s="2">
        <v>7.0000000000000007E-2</v>
      </c>
      <c r="D20" s="2">
        <v>7.0000000000000007E-2</v>
      </c>
      <c r="G20" s="9">
        <f>-G19+L19</f>
        <v>-918.58081716315246</v>
      </c>
    </row>
    <row r="23" spans="1:15" x14ac:dyDescent="0.25">
      <c r="A23" s="1">
        <v>4</v>
      </c>
      <c r="B23" s="1" t="s">
        <v>12</v>
      </c>
      <c r="C23" s="2">
        <v>7.0000000000000007E-2</v>
      </c>
    </row>
    <row r="24" spans="1:15" x14ac:dyDescent="0.25">
      <c r="B24" s="1" t="s">
        <v>6</v>
      </c>
      <c r="C24" s="4">
        <v>12</v>
      </c>
    </row>
    <row r="25" spans="1:15" x14ac:dyDescent="0.25">
      <c r="B25" s="1" t="s">
        <v>13</v>
      </c>
      <c r="C25" s="10">
        <f>EFFECT(C23,C24)</f>
        <v>7.2290080856235894E-2</v>
      </c>
    </row>
    <row r="28" spans="1:15" x14ac:dyDescent="0.25">
      <c r="A28" s="1">
        <v>5</v>
      </c>
      <c r="B28" s="1" t="s">
        <v>14</v>
      </c>
      <c r="C28" s="1">
        <v>20</v>
      </c>
      <c r="G28" s="1">
        <v>0</v>
      </c>
    </row>
    <row r="29" spans="1:15" x14ac:dyDescent="0.25">
      <c r="B29" s="1" t="s">
        <v>6</v>
      </c>
      <c r="C29" s="1">
        <v>12</v>
      </c>
    </row>
    <row r="30" spans="1:15" x14ac:dyDescent="0.25">
      <c r="B30" s="1" t="s">
        <v>15</v>
      </c>
      <c r="C30" s="1">
        <f>C28*C29</f>
        <v>240</v>
      </c>
    </row>
    <row r="31" spans="1:15" x14ac:dyDescent="0.25">
      <c r="B31" s="1" t="s">
        <v>7</v>
      </c>
      <c r="C31" s="6">
        <v>3.5000000000000003E-2</v>
      </c>
    </row>
    <row r="32" spans="1:15" x14ac:dyDescent="0.25">
      <c r="B32" s="1" t="s">
        <v>16</v>
      </c>
      <c r="C32" s="6">
        <f>C31/C29</f>
        <v>2.9166666666666668E-3</v>
      </c>
    </row>
    <row r="33" spans="1:17" x14ac:dyDescent="0.25">
      <c r="B33" s="1" t="s">
        <v>17</v>
      </c>
      <c r="C33" s="4">
        <v>-5000</v>
      </c>
    </row>
    <row r="34" spans="1:17" x14ac:dyDescent="0.25">
      <c r="B34" s="7" t="s">
        <v>1</v>
      </c>
      <c r="C34" s="9">
        <f>PV(C32,C30,C33)</f>
        <v>862128.84187686827</v>
      </c>
    </row>
    <row r="36" spans="1:17" x14ac:dyDescent="0.25">
      <c r="B36" s="7" t="s">
        <v>1</v>
      </c>
      <c r="C36" s="8">
        <v>-500000</v>
      </c>
      <c r="G36" s="1">
        <v>55</v>
      </c>
      <c r="H36" s="1">
        <f>G36+1</f>
        <v>56</v>
      </c>
      <c r="I36" s="1">
        <f t="shared" ref="I36:Q36" si="1">H36+1</f>
        <v>57</v>
      </c>
      <c r="J36" s="1">
        <f t="shared" si="1"/>
        <v>58</v>
      </c>
      <c r="K36" s="1">
        <f t="shared" si="1"/>
        <v>59</v>
      </c>
      <c r="L36" s="1">
        <f t="shared" si="1"/>
        <v>60</v>
      </c>
      <c r="M36" s="1">
        <f t="shared" si="1"/>
        <v>61</v>
      </c>
      <c r="N36" s="1">
        <f t="shared" si="1"/>
        <v>62</v>
      </c>
      <c r="O36" s="1">
        <f t="shared" si="1"/>
        <v>63</v>
      </c>
      <c r="P36" s="1">
        <f t="shared" si="1"/>
        <v>64</v>
      </c>
      <c r="Q36" s="1">
        <f t="shared" si="1"/>
        <v>65</v>
      </c>
    </row>
    <row r="37" spans="1:17" x14ac:dyDescent="0.25">
      <c r="B37" s="7" t="s">
        <v>8</v>
      </c>
      <c r="C37" s="8">
        <f>C34</f>
        <v>862128.84187686827</v>
      </c>
      <c r="D37" s="4">
        <f>C37*(1+C38)^-C41</f>
        <v>607841.49829433416</v>
      </c>
      <c r="E37" s="4">
        <f>D37+C36</f>
        <v>107841.49829433416</v>
      </c>
      <c r="G37" s="1">
        <v>0</v>
      </c>
      <c r="H37" s="1">
        <f>G37+1</f>
        <v>1</v>
      </c>
      <c r="I37" s="1">
        <f t="shared" ref="I37:Q37" si="2">H37+1</f>
        <v>2</v>
      </c>
      <c r="J37" s="1">
        <f t="shared" si="2"/>
        <v>3</v>
      </c>
      <c r="K37" s="1">
        <f t="shared" si="2"/>
        <v>4</v>
      </c>
      <c r="L37" s="1">
        <f t="shared" si="2"/>
        <v>5</v>
      </c>
      <c r="M37" s="1">
        <f t="shared" si="2"/>
        <v>6</v>
      </c>
      <c r="N37" s="1">
        <f t="shared" si="2"/>
        <v>7</v>
      </c>
      <c r="O37" s="1">
        <f t="shared" si="2"/>
        <v>8</v>
      </c>
      <c r="P37" s="1">
        <f t="shared" si="2"/>
        <v>9</v>
      </c>
      <c r="Q37" s="1">
        <f t="shared" si="2"/>
        <v>10</v>
      </c>
    </row>
    <row r="38" spans="1:17" x14ac:dyDescent="0.25">
      <c r="B38" s="1" t="s">
        <v>16</v>
      </c>
      <c r="C38" s="6">
        <f>C32</f>
        <v>2.9166666666666668E-3</v>
      </c>
      <c r="G38" s="1">
        <f>G37*$C$40</f>
        <v>0</v>
      </c>
      <c r="H38" s="1">
        <f t="shared" ref="H38:Q38" si="3">H37*$C$40</f>
        <v>12</v>
      </c>
      <c r="I38" s="1">
        <f t="shared" si="3"/>
        <v>24</v>
      </c>
      <c r="J38" s="1">
        <f t="shared" si="3"/>
        <v>36</v>
      </c>
      <c r="K38" s="1">
        <f t="shared" si="3"/>
        <v>48</v>
      </c>
      <c r="L38" s="1">
        <f t="shared" si="3"/>
        <v>60</v>
      </c>
      <c r="M38" s="1">
        <f t="shared" si="3"/>
        <v>72</v>
      </c>
      <c r="N38" s="1">
        <f t="shared" si="3"/>
        <v>84</v>
      </c>
      <c r="O38" s="1">
        <f t="shared" si="3"/>
        <v>96</v>
      </c>
      <c r="P38" s="1">
        <f t="shared" si="3"/>
        <v>108</v>
      </c>
      <c r="Q38" s="1">
        <f t="shared" si="3"/>
        <v>120</v>
      </c>
    </row>
    <row r="39" spans="1:17" x14ac:dyDescent="0.25">
      <c r="B39" s="1" t="s">
        <v>14</v>
      </c>
      <c r="C39" s="1">
        <v>10</v>
      </c>
      <c r="G39" s="4">
        <f>C36</f>
        <v>-500000</v>
      </c>
      <c r="Q39" s="4">
        <f>C37</f>
        <v>862128.84187686827</v>
      </c>
    </row>
    <row r="40" spans="1:17" x14ac:dyDescent="0.25">
      <c r="B40" s="1" t="s">
        <v>6</v>
      </c>
      <c r="C40" s="1">
        <v>12</v>
      </c>
    </row>
    <row r="41" spans="1:17" x14ac:dyDescent="0.25">
      <c r="B41" s="1" t="s">
        <v>15</v>
      </c>
      <c r="C41" s="1">
        <f>C39*C40</f>
        <v>120</v>
      </c>
    </row>
    <row r="42" spans="1:17" x14ac:dyDescent="0.25">
      <c r="B42" s="7" t="s">
        <v>20</v>
      </c>
      <c r="C42" s="9">
        <f>PMT(C38,C41,C36,C37)</f>
        <v>-1066.400010722655</v>
      </c>
      <c r="D42" s="3" t="s">
        <v>24</v>
      </c>
    </row>
    <row r="43" spans="1:17" x14ac:dyDescent="0.25">
      <c r="B43" s="7" t="s">
        <v>20</v>
      </c>
      <c r="C43" s="8">
        <f>PMT(C38,C41,E37,0)</f>
        <v>-1066.40001072266</v>
      </c>
      <c r="D43" s="1" t="s">
        <v>25</v>
      </c>
    </row>
    <row r="44" spans="1:17" x14ac:dyDescent="0.25">
      <c r="C44" s="3"/>
      <c r="D44" s="3"/>
      <c r="E44" s="3"/>
    </row>
    <row r="45" spans="1:17" x14ac:dyDescent="0.25">
      <c r="K45" s="2"/>
    </row>
    <row r="46" spans="1:17" x14ac:dyDescent="0.25">
      <c r="A46" s="1">
        <v>6</v>
      </c>
      <c r="B46" s="1" t="s">
        <v>26</v>
      </c>
      <c r="C46" s="4">
        <v>1500</v>
      </c>
      <c r="F46" s="1">
        <v>0</v>
      </c>
      <c r="G46" s="1">
        <v>1</v>
      </c>
      <c r="H46" s="1">
        <v>2</v>
      </c>
      <c r="I46" s="1">
        <v>3</v>
      </c>
      <c r="J46" s="1">
        <v>4</v>
      </c>
      <c r="K46" s="1">
        <v>5</v>
      </c>
      <c r="L46" s="1">
        <v>6</v>
      </c>
      <c r="M46" s="1">
        <v>7</v>
      </c>
      <c r="N46" s="1">
        <v>8</v>
      </c>
      <c r="O46" s="1">
        <v>9</v>
      </c>
      <c r="P46" s="1">
        <v>10</v>
      </c>
    </row>
    <row r="47" spans="1:17" x14ac:dyDescent="0.25">
      <c r="B47" s="1" t="s">
        <v>27</v>
      </c>
      <c r="C47" s="4">
        <v>300</v>
      </c>
      <c r="E47" s="1" t="s">
        <v>3</v>
      </c>
      <c r="F47" s="1">
        <v>0</v>
      </c>
      <c r="G47" s="1">
        <v>12</v>
      </c>
      <c r="H47" s="1">
        <f>G47+12</f>
        <v>24</v>
      </c>
      <c r="I47" s="1">
        <f t="shared" ref="I47:O47" si="4">H47+12</f>
        <v>36</v>
      </c>
      <c r="J47" s="1">
        <f t="shared" si="4"/>
        <v>48</v>
      </c>
      <c r="K47" s="1">
        <f t="shared" si="4"/>
        <v>60</v>
      </c>
      <c r="L47" s="1">
        <f t="shared" si="4"/>
        <v>72</v>
      </c>
      <c r="M47" s="1">
        <f t="shared" si="4"/>
        <v>84</v>
      </c>
      <c r="N47" s="1">
        <f t="shared" si="4"/>
        <v>96</v>
      </c>
      <c r="O47" s="1">
        <f t="shared" si="4"/>
        <v>108</v>
      </c>
      <c r="P47" s="1">
        <f t="shared" ref="P47" si="5">O47+12</f>
        <v>120</v>
      </c>
      <c r="Q47" s="1">
        <v>121</v>
      </c>
    </row>
    <row r="48" spans="1:17" x14ac:dyDescent="0.25">
      <c r="B48" s="1" t="s">
        <v>20</v>
      </c>
      <c r="C48" s="4">
        <f>C46-C47</f>
        <v>1200</v>
      </c>
      <c r="E48" s="1" t="s">
        <v>30</v>
      </c>
      <c r="G48" s="4">
        <f>$C$48</f>
        <v>1200</v>
      </c>
      <c r="H48" s="4">
        <f>G48*(1+$C$49)</f>
        <v>1224</v>
      </c>
      <c r="I48" s="4">
        <f t="shared" ref="I48:P48" si="6">H48*(1+$C$49)</f>
        <v>1248.48</v>
      </c>
      <c r="J48" s="4">
        <f t="shared" si="6"/>
        <v>1273.4496000000001</v>
      </c>
      <c r="K48" s="4">
        <f t="shared" si="6"/>
        <v>1298.9185920000002</v>
      </c>
      <c r="L48" s="4">
        <f t="shared" si="6"/>
        <v>1324.8969638400004</v>
      </c>
      <c r="M48" s="4">
        <f t="shared" si="6"/>
        <v>1351.3949031168004</v>
      </c>
      <c r="N48" s="4">
        <f t="shared" si="6"/>
        <v>1378.4228011791365</v>
      </c>
      <c r="O48" s="4">
        <f t="shared" si="6"/>
        <v>1405.9912572027192</v>
      </c>
      <c r="P48" s="4">
        <f>O48*(1+$C$49)</f>
        <v>1434.1110823467736</v>
      </c>
      <c r="Q48" s="4">
        <f>P48*(1+$C$56)</f>
        <v>1792.638852933467</v>
      </c>
    </row>
    <row r="49" spans="1:17" x14ac:dyDescent="0.25">
      <c r="B49" s="1" t="s">
        <v>28</v>
      </c>
      <c r="C49" s="2">
        <v>0.02</v>
      </c>
      <c r="E49" s="1" t="s">
        <v>31</v>
      </c>
      <c r="G49" s="1">
        <v>12</v>
      </c>
      <c r="H49" s="1">
        <v>12</v>
      </c>
      <c r="I49" s="1">
        <v>12</v>
      </c>
      <c r="J49" s="1">
        <v>12</v>
      </c>
      <c r="K49" s="1">
        <v>12</v>
      </c>
      <c r="L49" s="1">
        <v>12</v>
      </c>
      <c r="M49" s="1">
        <v>12</v>
      </c>
      <c r="N49" s="1">
        <v>12</v>
      </c>
      <c r="O49" s="1">
        <v>12</v>
      </c>
      <c r="P49" s="1">
        <v>12</v>
      </c>
    </row>
    <row r="50" spans="1:17" x14ac:dyDescent="0.25">
      <c r="B50" s="1" t="s">
        <v>14</v>
      </c>
      <c r="C50" s="1">
        <v>10</v>
      </c>
      <c r="E50" s="1" t="s">
        <v>40</v>
      </c>
      <c r="G50" s="11">
        <f>PV($C$54,G49,G48)</f>
        <v>-13721.895207751928</v>
      </c>
      <c r="H50" s="11">
        <f>PV($C$54,H49,H48)</f>
        <v>-13996.333111906966</v>
      </c>
      <c r="I50" s="11">
        <f t="shared" ref="I50:P50" si="7">PV($C$54,I49,I48)</f>
        <v>-14276.259774145106</v>
      </c>
      <c r="J50" s="11">
        <f t="shared" si="7"/>
        <v>-14561.78496962801</v>
      </c>
      <c r="K50" s="11">
        <f t="shared" si="7"/>
        <v>-14853.02066902057</v>
      </c>
      <c r="L50" s="11">
        <f t="shared" si="7"/>
        <v>-15150.081082400984</v>
      </c>
      <c r="M50" s="11">
        <f t="shared" si="7"/>
        <v>-15453.082704049002</v>
      </c>
      <c r="N50" s="11">
        <f t="shared" si="7"/>
        <v>-15762.144358129986</v>
      </c>
      <c r="O50" s="11">
        <f t="shared" si="7"/>
        <v>-16077.387245292588</v>
      </c>
      <c r="P50" s="11">
        <f t="shared" si="7"/>
        <v>-16398.934990198439</v>
      </c>
      <c r="Q50" s="4">
        <f>Q48/C54</f>
        <v>239018.51372446227</v>
      </c>
    </row>
    <row r="51" spans="1:17" x14ac:dyDescent="0.25">
      <c r="B51" s="1" t="s">
        <v>6</v>
      </c>
      <c r="C51" s="1">
        <v>12</v>
      </c>
      <c r="E51" s="13" t="s">
        <v>29</v>
      </c>
      <c r="F51" s="12">
        <f>SUM(G51:Q51)</f>
        <v>-199737.25114706304</v>
      </c>
      <c r="G51" s="11">
        <f>G50*(1+$C$54)^-F47</f>
        <v>-13721.895207751928</v>
      </c>
      <c r="H51" s="11">
        <f>H50*(1+$C$54)^-G47</f>
        <v>-12795.981760317118</v>
      </c>
      <c r="I51" s="11">
        <f>I50*(1+$C$54)^-H47</f>
        <v>-11932.546250452937</v>
      </c>
      <c r="J51" s="11">
        <f t="shared" ref="J51:O51" si="8">J50*(1+$C$54)^-I47</f>
        <v>-11127.372849245899</v>
      </c>
      <c r="K51" s="11">
        <f t="shared" si="8"/>
        <v>-10376.530199615599</v>
      </c>
      <c r="L51" s="11">
        <f t="shared" si="8"/>
        <v>-9676.3522209855237</v>
      </c>
      <c r="M51" s="11">
        <f t="shared" si="8"/>
        <v>-9023.4202091986463</v>
      </c>
      <c r="N51" s="11">
        <f t="shared" si="8"/>
        <v>-8414.5461442785127</v>
      </c>
      <c r="O51" s="11">
        <f t="shared" si="8"/>
        <v>-7846.7571245338695</v>
      </c>
      <c r="P51" s="11">
        <f>P50*(1+$C$54)^-O47</f>
        <v>-7317.2808510045134</v>
      </c>
      <c r="Q51" s="11">
        <f>-Q50*(1+$C$54)^-P47</f>
        <v>-97504.56832967847</v>
      </c>
    </row>
    <row r="52" spans="1:17" x14ac:dyDescent="0.25">
      <c r="B52" s="1" t="s">
        <v>15</v>
      </c>
      <c r="C52" s="1">
        <f>C50*C51</f>
        <v>120</v>
      </c>
      <c r="H52" s="3"/>
    </row>
    <row r="53" spans="1:17" x14ac:dyDescent="0.25">
      <c r="B53" s="1" t="s">
        <v>7</v>
      </c>
      <c r="C53" s="2">
        <v>0.09</v>
      </c>
      <c r="Q53" s="4"/>
    </row>
    <row r="54" spans="1:17" x14ac:dyDescent="0.25">
      <c r="B54" s="1" t="s">
        <v>16</v>
      </c>
      <c r="C54" s="6">
        <f>C53/12</f>
        <v>7.4999999999999997E-3</v>
      </c>
      <c r="Q54" s="4"/>
    </row>
    <row r="55" spans="1:17" x14ac:dyDescent="0.25">
      <c r="C55" s="4"/>
    </row>
    <row r="56" spans="1:17" x14ac:dyDescent="0.25">
      <c r="B56" s="1" t="s">
        <v>32</v>
      </c>
      <c r="C56" s="2">
        <v>0.25</v>
      </c>
    </row>
    <row r="58" spans="1:17" x14ac:dyDescent="0.25">
      <c r="C58" s="6"/>
    </row>
    <row r="59" spans="1:17" x14ac:dyDescent="0.25">
      <c r="A59" s="1">
        <v>7</v>
      </c>
      <c r="B59" s="1" t="s">
        <v>14</v>
      </c>
      <c r="C59" s="1">
        <v>10</v>
      </c>
    </row>
    <row r="60" spans="1:17" x14ac:dyDescent="0.25">
      <c r="B60" s="1" t="s">
        <v>6</v>
      </c>
      <c r="C60" s="1">
        <v>2</v>
      </c>
    </row>
    <row r="61" spans="1:17" x14ac:dyDescent="0.25">
      <c r="B61" s="1" t="s">
        <v>33</v>
      </c>
      <c r="C61" s="1">
        <f>C59*C60</f>
        <v>20</v>
      </c>
    </row>
    <row r="62" spans="1:17" x14ac:dyDescent="0.25">
      <c r="B62" s="1" t="s">
        <v>8</v>
      </c>
      <c r="C62" s="1">
        <v>1000</v>
      </c>
    </row>
    <row r="63" spans="1:17" x14ac:dyDescent="0.25">
      <c r="B63" s="1" t="s">
        <v>1</v>
      </c>
      <c r="C63" s="1">
        <v>-744.09</v>
      </c>
    </row>
    <row r="64" spans="1:17" x14ac:dyDescent="0.25">
      <c r="B64" s="1" t="s">
        <v>34</v>
      </c>
      <c r="C64" s="14">
        <f>RATE(C61,0,C63,C62)</f>
        <v>1.488942349147096E-2</v>
      </c>
    </row>
    <row r="65" spans="1:11" x14ac:dyDescent="0.25">
      <c r="B65" s="13" t="s">
        <v>35</v>
      </c>
      <c r="C65" s="10">
        <f>C64*2</f>
        <v>2.977884698294192E-2</v>
      </c>
      <c r="D65" s="3"/>
    </row>
    <row r="68" spans="1:11" x14ac:dyDescent="0.25">
      <c r="A68" s="1">
        <v>8</v>
      </c>
      <c r="B68" s="1" t="s">
        <v>8</v>
      </c>
      <c r="C68" s="1">
        <v>1000</v>
      </c>
      <c r="E68" s="1" t="s">
        <v>8</v>
      </c>
      <c r="F68" s="1">
        <v>1000</v>
      </c>
      <c r="H68" s="1" t="s">
        <v>8</v>
      </c>
      <c r="I68" s="1">
        <v>1000</v>
      </c>
    </row>
    <row r="69" spans="1:11" x14ac:dyDescent="0.25">
      <c r="B69" s="1" t="s">
        <v>36</v>
      </c>
      <c r="C69" s="2">
        <v>0.06</v>
      </c>
      <c r="E69" s="1" t="s">
        <v>36</v>
      </c>
      <c r="F69" s="2">
        <v>0.06</v>
      </c>
      <c r="H69" s="1" t="s">
        <v>36</v>
      </c>
      <c r="I69" s="2">
        <v>0.06</v>
      </c>
    </row>
    <row r="70" spans="1:11" x14ac:dyDescent="0.25">
      <c r="B70" s="1" t="s">
        <v>37</v>
      </c>
      <c r="C70" s="1">
        <f>C68*C69</f>
        <v>60</v>
      </c>
      <c r="E70" s="1" t="s">
        <v>37</v>
      </c>
      <c r="F70" s="1">
        <f>F68*F69</f>
        <v>60</v>
      </c>
      <c r="H70" s="1" t="s">
        <v>37</v>
      </c>
      <c r="I70" s="1">
        <f>I68*I69</f>
        <v>60</v>
      </c>
    </row>
    <row r="71" spans="1:11" x14ac:dyDescent="0.25">
      <c r="B71" s="1" t="s">
        <v>6</v>
      </c>
      <c r="C71" s="1">
        <v>2</v>
      </c>
      <c r="E71" s="1" t="s">
        <v>6</v>
      </c>
      <c r="F71" s="1">
        <v>2</v>
      </c>
      <c r="H71" s="1" t="s">
        <v>6</v>
      </c>
      <c r="I71" s="1">
        <v>2</v>
      </c>
    </row>
    <row r="72" spans="1:11" x14ac:dyDescent="0.25">
      <c r="B72" s="1" t="s">
        <v>38</v>
      </c>
      <c r="C72" s="1">
        <f>C70/C71</f>
        <v>30</v>
      </c>
      <c r="E72" s="1" t="s">
        <v>38</v>
      </c>
      <c r="F72" s="1">
        <f>F70/F71</f>
        <v>30</v>
      </c>
      <c r="H72" s="1" t="s">
        <v>38</v>
      </c>
      <c r="I72" s="1">
        <f>I70/I71</f>
        <v>30</v>
      </c>
    </row>
    <row r="73" spans="1:11" x14ac:dyDescent="0.25">
      <c r="B73" s="1" t="s">
        <v>7</v>
      </c>
      <c r="C73" s="2">
        <v>0.04</v>
      </c>
      <c r="E73" s="1" t="s">
        <v>7</v>
      </c>
      <c r="F73" s="2">
        <v>0.08</v>
      </c>
      <c r="H73" s="1" t="s">
        <v>7</v>
      </c>
      <c r="I73" s="2">
        <v>0.06</v>
      </c>
    </row>
    <row r="74" spans="1:11" x14ac:dyDescent="0.25">
      <c r="B74" s="1" t="s">
        <v>16</v>
      </c>
      <c r="C74" s="2">
        <f>C73/2</f>
        <v>0.02</v>
      </c>
      <c r="E74" s="1" t="s">
        <v>16</v>
      </c>
      <c r="F74" s="2">
        <f>F73/2</f>
        <v>0.04</v>
      </c>
      <c r="H74" s="1" t="s">
        <v>16</v>
      </c>
      <c r="I74" s="2">
        <f>I73/2</f>
        <v>0.03</v>
      </c>
    </row>
    <row r="75" spans="1:11" x14ac:dyDescent="0.25">
      <c r="B75" s="1" t="s">
        <v>14</v>
      </c>
      <c r="C75" s="1">
        <v>10</v>
      </c>
      <c r="E75" s="1" t="s">
        <v>14</v>
      </c>
      <c r="F75" s="1">
        <v>10</v>
      </c>
      <c r="H75" s="1" t="s">
        <v>14</v>
      </c>
      <c r="I75" s="1">
        <v>10</v>
      </c>
    </row>
    <row r="76" spans="1:11" x14ac:dyDescent="0.25">
      <c r="B76" s="1" t="s">
        <v>15</v>
      </c>
      <c r="C76" s="1">
        <f>C75*C71</f>
        <v>20</v>
      </c>
      <c r="E76" s="1" t="s">
        <v>15</v>
      </c>
      <c r="F76" s="1">
        <f>F75*F71</f>
        <v>20</v>
      </c>
      <c r="H76" s="1" t="s">
        <v>15</v>
      </c>
      <c r="I76" s="1">
        <f>I75*I71</f>
        <v>20</v>
      </c>
    </row>
    <row r="77" spans="1:11" x14ac:dyDescent="0.25">
      <c r="B77" s="13" t="s">
        <v>1</v>
      </c>
      <c r="C77" s="9">
        <f>PV(C74,C76,C72,C68)</f>
        <v>-1163.514333445971</v>
      </c>
      <c r="E77" s="13" t="s">
        <v>1</v>
      </c>
      <c r="F77" s="9">
        <f>PV(F74,F76,F72,F68)</f>
        <v>-864.09673655032293</v>
      </c>
      <c r="H77" s="13" t="s">
        <v>1</v>
      </c>
      <c r="I77" s="9">
        <f>PV(I74,I76,I72,I68)</f>
        <v>-1000</v>
      </c>
      <c r="K77" s="7" t="s">
        <v>41</v>
      </c>
    </row>
    <row r="80" spans="1:11" x14ac:dyDescent="0.25">
      <c r="A80" s="1">
        <v>9</v>
      </c>
      <c r="F80" s="1">
        <v>0</v>
      </c>
      <c r="G80" s="1">
        <v>1</v>
      </c>
      <c r="H80" s="1">
        <v>2</v>
      </c>
      <c r="I80" s="1">
        <v>3</v>
      </c>
      <c r="J80" s="1">
        <v>4</v>
      </c>
      <c r="K80" s="1">
        <v>5</v>
      </c>
    </row>
    <row r="81" spans="2:11" x14ac:dyDescent="0.25">
      <c r="F81" s="1">
        <v>-19000</v>
      </c>
      <c r="G81" s="1">
        <v>5000</v>
      </c>
      <c r="H81" s="1">
        <v>7000</v>
      </c>
      <c r="I81" s="1">
        <v>9000</v>
      </c>
      <c r="J81" s="1">
        <v>3000</v>
      </c>
      <c r="K81" s="1">
        <v>6000</v>
      </c>
    </row>
    <row r="82" spans="2:11" x14ac:dyDescent="0.25">
      <c r="B82" s="4"/>
      <c r="F82" s="1">
        <v>-22000</v>
      </c>
      <c r="G82" s="1">
        <v>5000</v>
      </c>
      <c r="H82" s="1">
        <v>7000</v>
      </c>
      <c r="I82" s="1">
        <v>9000</v>
      </c>
      <c r="J82" s="1">
        <v>3000</v>
      </c>
      <c r="K82" s="1">
        <v>6000</v>
      </c>
    </row>
    <row r="83" spans="2:11" x14ac:dyDescent="0.25">
      <c r="B83" s="13" t="s">
        <v>39</v>
      </c>
      <c r="C83" s="10">
        <f>IRR(F81:K81)</f>
        <v>0.17793865378532758</v>
      </c>
    </row>
    <row r="84" spans="2:11" x14ac:dyDescent="0.25">
      <c r="B84" s="13" t="s">
        <v>39</v>
      </c>
      <c r="C84" s="10">
        <f>IRR(F82:K82)</f>
        <v>0.11555406373004851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Sergio Garcia</cp:lastModifiedBy>
  <dcterms:created xsi:type="dcterms:W3CDTF">2017-09-23T18:47:09Z</dcterms:created>
  <dcterms:modified xsi:type="dcterms:W3CDTF">2017-10-07T03:37:01Z</dcterms:modified>
</cp:coreProperties>
</file>