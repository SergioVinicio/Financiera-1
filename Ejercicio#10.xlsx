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xr2:uid="{8755CE18-D763-4AB6-85E3-2D2826FB5FEE}"/>
  </bookViews>
  <sheets>
    <sheet name="Hoja1" sheetId="1" r:id="rId1"/>
    <sheet name="Hoja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F21" i="1"/>
  <c r="G21" i="1"/>
  <c r="G25" i="1" s="1"/>
  <c r="H21" i="1"/>
  <c r="H25" i="1" s="1"/>
  <c r="I21" i="1"/>
  <c r="J21" i="1"/>
  <c r="K21" i="1"/>
  <c r="K25" i="1" s="1"/>
  <c r="L21" i="1"/>
  <c r="L25" i="1" s="1"/>
  <c r="M21" i="1"/>
  <c r="N21" i="1"/>
  <c r="N25" i="1" s="1"/>
  <c r="O21" i="1"/>
  <c r="O25" i="1" s="1"/>
  <c r="E25" i="1"/>
  <c r="E27" i="1" s="1"/>
  <c r="F25" i="1"/>
  <c r="I25" i="1"/>
  <c r="J25" i="1"/>
  <c r="M25" i="1"/>
  <c r="C33" i="1" l="1"/>
  <c r="C31" i="1"/>
  <c r="O8" i="1" l="1"/>
  <c r="O10" i="1" s="1"/>
  <c r="O7" i="1"/>
  <c r="O4" i="1"/>
  <c r="O6" i="1"/>
  <c r="I15" i="1"/>
  <c r="K9" i="1"/>
  <c r="K8" i="1" s="1"/>
  <c r="K10" i="1" s="1"/>
  <c r="I9" i="1"/>
  <c r="I8" i="1" s="1"/>
  <c r="I10" i="1" s="1"/>
  <c r="C18" i="1"/>
  <c r="E15" i="1"/>
  <c r="E18" i="1" s="1"/>
  <c r="E17" i="1"/>
  <c r="E8" i="1"/>
  <c r="C8" i="1"/>
  <c r="L10" i="1" l="1"/>
</calcChain>
</file>

<file path=xl/sharedStrings.xml><?xml version="1.0" encoding="utf-8"?>
<sst xmlns="http://schemas.openxmlformats.org/spreadsheetml/2006/main" count="99" uniqueCount="54">
  <si>
    <t>1.)</t>
  </si>
  <si>
    <t>Juan</t>
  </si>
  <si>
    <t>Lorena</t>
  </si>
  <si>
    <t>VF</t>
  </si>
  <si>
    <t>Flujo</t>
  </si>
  <si>
    <t>Anual</t>
  </si>
  <si>
    <t>Retorno</t>
  </si>
  <si>
    <t>Inversion</t>
  </si>
  <si>
    <t>Tiempo</t>
  </si>
  <si>
    <t xml:space="preserve">Años </t>
  </si>
  <si>
    <t>Tiene mas lorena despues de 15 años</t>
  </si>
  <si>
    <t>a.)</t>
  </si>
  <si>
    <t>b.)</t>
  </si>
  <si>
    <t>Pamela</t>
  </si>
  <si>
    <t>Podra abonar 15,346.87 y en el caso b  solo 10,000.00</t>
  </si>
  <si>
    <t>3.)</t>
  </si>
  <si>
    <t>Opcion A</t>
  </si>
  <si>
    <t>Opcion B</t>
  </si>
  <si>
    <t>VA</t>
  </si>
  <si>
    <t>La opcion es mas barata por 918.58</t>
  </si>
  <si>
    <t>4.)</t>
  </si>
  <si>
    <t>Tasa</t>
  </si>
  <si>
    <t>Capitalizacion</t>
  </si>
  <si>
    <t>TAE</t>
  </si>
  <si>
    <t>5.)</t>
  </si>
  <si>
    <t>Anualidad</t>
  </si>
  <si>
    <t>VP</t>
  </si>
  <si>
    <t>Deposito</t>
  </si>
  <si>
    <t>Numero Pagos</t>
  </si>
  <si>
    <t>6.)</t>
  </si>
  <si>
    <t>2.)</t>
  </si>
  <si>
    <t>Renta Actual</t>
  </si>
  <si>
    <t>Egresos Mensuales</t>
  </si>
  <si>
    <t>Año 11, aumento, perpetuo</t>
  </si>
  <si>
    <t>Tasa de descuento</t>
  </si>
  <si>
    <t>Incremento Anual, Crecimiento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</si>
  <si>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</si>
  <si>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</si>
  <si>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</si>
  <si>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</si>
  <si>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</si>
  <si>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</si>
  <si>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</si>
  <si>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</si>
  <si>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</si>
  <si>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</si>
  <si>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</si>
  <si>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Años</t>
  </si>
  <si>
    <t xml:space="preserve">Meses </t>
  </si>
  <si>
    <t>Valor</t>
  </si>
  <si>
    <t>7.)</t>
  </si>
  <si>
    <t>Valor nominal</t>
  </si>
  <si>
    <t>Meses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</si>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</sst>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Q&quot;#,##0.00;[Red]\-&quot;Q&quot;#,##0.00"/>
    <numFmt numFmtId="44" formatCode="_-&quot;Q&quot;* #,##0.00_-;\-&quot;Q&quot;* #,##0.00_-;_-&quot;Q&quot;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44" fontId="0" fillId="0" borderId="0" xfId="2" applyFont="1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10" fontId="0" fillId="0" borderId="0" xfId="0" applyNumberFormat="1" applyBorder="1"/>
    <xf numFmtId="10" fontId="0" fillId="0" borderId="6" xfId="0" applyNumberFormat="1" applyBorder="1"/>
    <xf numFmtId="44" fontId="0" fillId="0" borderId="0" xfId="2" applyFont="1" applyBorder="1"/>
    <xf numFmtId="44" fontId="0" fillId="0" borderId="6" xfId="2" applyFont="1" applyBorder="1"/>
    <xf numFmtId="0" fontId="0" fillId="0" borderId="7" xfId="0" applyBorder="1"/>
    <xf numFmtId="8" fontId="0" fillId="0" borderId="8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0" fontId="0" fillId="0" borderId="6" xfId="3" applyNumberFormat="1" applyFont="1" applyBorder="1"/>
    <xf numFmtId="8" fontId="0" fillId="0" borderId="0" xfId="0" applyNumberFormat="1" applyBorder="1"/>
    <xf numFmtId="8" fontId="0" fillId="0" borderId="6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8" fontId="0" fillId="0" borderId="19" xfId="0" applyNumberFormat="1" applyBorder="1"/>
    <xf numFmtId="0" fontId="0" fillId="0" borderId="19" xfId="0" applyBorder="1"/>
    <xf numFmtId="8" fontId="0" fillId="0" borderId="20" xfId="0" applyNumberFormat="1" applyBorder="1"/>
    <xf numFmtId="44" fontId="0" fillId="0" borderId="0" xfId="0" applyNumberFormat="1"/>
    <xf numFmtId="9" fontId="0" fillId="0" borderId="1" xfId="0" applyNumberFormat="1" applyBorder="1"/>
    <xf numFmtId="44" fontId="0" fillId="0" borderId="1" xfId="2" applyFont="1" applyBorder="1"/>
    <xf numFmtId="44" fontId="0" fillId="0" borderId="1" xfId="0" applyNumberFormat="1" applyBorder="1"/>
    <xf numFmtId="0" fontId="0" fillId="0" borderId="21" xfId="0" applyBorder="1"/>
    <xf numFmtId="44" fontId="0" fillId="0" borderId="21" xfId="0" applyNumberFormat="1" applyBorder="1"/>
    <xf numFmtId="10" fontId="0" fillId="0" borderId="1" xfId="3" applyNumberFormat="1" applyFont="1" applyBorder="1"/>
    <xf numFmtId="10" fontId="0" fillId="0" borderId="1" xfId="0" applyNumberFormat="1" applyBorder="1"/>
    <xf numFmtId="44" fontId="0" fillId="0" borderId="20" xfId="0" applyNumberFormat="1" applyBorder="1"/>
    <xf numFmtId="9" fontId="0" fillId="0" borderId="0" xfId="0" applyNumberFormat="1" applyBorder="1"/>
    <xf numFmtId="44" fontId="0" fillId="0" borderId="0" xfId="0" applyNumberFormat="1" applyBorder="1"/>
    <xf numFmtId="44" fontId="0" fillId="0" borderId="6" xfId="0" applyNumberFormat="1" applyBorder="1"/>
    <xf numFmtId="43" fontId="0" fillId="0" borderId="0" xfId="1" applyFont="1" applyBorder="1"/>
    <xf numFmtId="43" fontId="0" fillId="0" borderId="13" xfId="1" applyFont="1" applyBorder="1"/>
    <xf numFmtId="0" fontId="0" fillId="2" borderId="5" xfId="0" applyFill="1" applyBorder="1"/>
    <xf numFmtId="0" fontId="0" fillId="2" borderId="0" xfId="0" applyFill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52BE-BF7C-4621-AFE1-D22656CB1762}">
  <dimension ref="A1:P33"/>
  <sheetViews>
    <sheetView tabSelected="1" topLeftCell="C10" workbookViewId="0">
      <selection activeCell="O21" sqref="O21"/>
    </sheetView>
  </sheetViews>
  <sheetFormatPr baseColWidth="10" defaultRowHeight="15" x14ac:dyDescent="0.25"/>
  <cols>
    <col min="2" max="2" width="25.5703125" bestFit="1" customWidth="1"/>
    <col min="3" max="3" width="12.28515625" bestFit="1" customWidth="1"/>
    <col min="5" max="5" width="13" bestFit="1" customWidth="1"/>
    <col min="6" max="6" width="12" bestFit="1" customWidth="1"/>
    <col min="7" max="7" width="15.5703125" bestFit="1" customWidth="1"/>
    <col min="8" max="8" width="14.140625" bestFit="1" customWidth="1"/>
    <col min="9" max="9" width="12" bestFit="1" customWidth="1"/>
    <col min="10" max="10" width="14.140625" bestFit="1" customWidth="1"/>
    <col min="11" max="13" width="12" bestFit="1" customWidth="1"/>
    <col min="14" max="14" width="13.85546875" bestFit="1" customWidth="1"/>
    <col min="15" max="15" width="14.85546875" bestFit="1" customWidth="1"/>
    <col min="16" max="16" width="12.28515625" bestFit="1" customWidth="1"/>
  </cols>
  <sheetData>
    <row r="1" spans="1:15" x14ac:dyDescent="0.25">
      <c r="A1" s="42" t="s">
        <v>0</v>
      </c>
      <c r="B1" s="44" t="s">
        <v>1</v>
      </c>
      <c r="C1" s="45"/>
      <c r="D1" s="45" t="s">
        <v>2</v>
      </c>
      <c r="E1" s="46"/>
      <c r="G1" s="42" t="s">
        <v>15</v>
      </c>
      <c r="H1" s="50" t="s">
        <v>16</v>
      </c>
      <c r="I1" s="50"/>
      <c r="J1" s="50" t="s">
        <v>17</v>
      </c>
      <c r="K1" s="50"/>
      <c r="M1" s="43" t="s">
        <v>24</v>
      </c>
      <c r="N1" s="3" t="s">
        <v>26</v>
      </c>
      <c r="O1" s="3"/>
    </row>
    <row r="2" spans="1:15" x14ac:dyDescent="0.25">
      <c r="B2" s="5" t="s">
        <v>3</v>
      </c>
      <c r="C2" s="6"/>
      <c r="D2" s="6" t="s">
        <v>3</v>
      </c>
      <c r="E2" s="7"/>
      <c r="H2" s="3" t="s">
        <v>3</v>
      </c>
      <c r="I2" s="3"/>
      <c r="J2" s="3" t="s">
        <v>3</v>
      </c>
      <c r="K2" s="3"/>
      <c r="M2" s="3"/>
      <c r="N2" s="3" t="s">
        <v>25</v>
      </c>
      <c r="O2" s="3"/>
    </row>
    <row r="3" spans="1:15" x14ac:dyDescent="0.25">
      <c r="B3" s="5" t="s">
        <v>4</v>
      </c>
      <c r="C3" s="6"/>
      <c r="D3" s="6" t="s">
        <v>4</v>
      </c>
      <c r="E3" s="7"/>
      <c r="H3" s="3" t="s">
        <v>4</v>
      </c>
      <c r="I3" s="3"/>
      <c r="J3" s="3" t="s">
        <v>4</v>
      </c>
      <c r="K3" s="3"/>
      <c r="M3" s="3"/>
      <c r="N3" s="3" t="s">
        <v>5</v>
      </c>
      <c r="O3" s="3"/>
    </row>
    <row r="4" spans="1:15" x14ac:dyDescent="0.25">
      <c r="B4" s="5" t="s">
        <v>5</v>
      </c>
      <c r="C4" s="6"/>
      <c r="D4" s="6" t="s">
        <v>5</v>
      </c>
      <c r="E4" s="7"/>
      <c r="H4" s="3" t="s">
        <v>5</v>
      </c>
      <c r="I4" s="3"/>
      <c r="J4" s="3" t="s">
        <v>5</v>
      </c>
      <c r="K4" s="3"/>
      <c r="M4" s="3"/>
      <c r="N4" s="3" t="s">
        <v>6</v>
      </c>
      <c r="O4" s="34">
        <f>3.5%/12</f>
        <v>2.9166666666666668E-3</v>
      </c>
    </row>
    <row r="5" spans="1:15" x14ac:dyDescent="0.25">
      <c r="B5" s="5" t="s">
        <v>6</v>
      </c>
      <c r="C5" s="8">
        <v>2.5000000000000001E-2</v>
      </c>
      <c r="D5" s="6" t="s">
        <v>6</v>
      </c>
      <c r="E5" s="9">
        <v>7.4999999999999997E-2</v>
      </c>
      <c r="H5" s="3" t="s">
        <v>6</v>
      </c>
      <c r="I5" s="28">
        <v>7.0000000000000007E-2</v>
      </c>
      <c r="J5" s="3" t="s">
        <v>6</v>
      </c>
      <c r="K5" s="28">
        <v>7.0000000000000007E-2</v>
      </c>
      <c r="M5" s="3"/>
      <c r="N5" s="3" t="s">
        <v>7</v>
      </c>
      <c r="O5" s="29">
        <v>5000</v>
      </c>
    </row>
    <row r="6" spans="1:15" x14ac:dyDescent="0.25">
      <c r="B6" s="5" t="s">
        <v>7</v>
      </c>
      <c r="C6" s="10">
        <v>15000</v>
      </c>
      <c r="D6" s="6" t="s">
        <v>7</v>
      </c>
      <c r="E6" s="11">
        <v>7500</v>
      </c>
      <c r="H6" s="3" t="s">
        <v>7</v>
      </c>
      <c r="I6" s="29">
        <v>18000</v>
      </c>
      <c r="J6" s="3" t="s">
        <v>7</v>
      </c>
      <c r="K6" s="29">
        <v>25000</v>
      </c>
      <c r="M6" s="3"/>
      <c r="N6" s="3" t="s">
        <v>9</v>
      </c>
      <c r="O6" s="3">
        <f>20*12</f>
        <v>240</v>
      </c>
    </row>
    <row r="7" spans="1:15" x14ac:dyDescent="0.25">
      <c r="B7" s="5" t="s">
        <v>9</v>
      </c>
      <c r="C7" s="6">
        <v>15</v>
      </c>
      <c r="D7" s="6" t="s">
        <v>9</v>
      </c>
      <c r="E7" s="7">
        <v>15</v>
      </c>
      <c r="H7" s="3" t="s">
        <v>9</v>
      </c>
      <c r="I7" s="3">
        <v>3</v>
      </c>
      <c r="J7" s="3" t="s">
        <v>9</v>
      </c>
      <c r="K7" s="3">
        <v>3</v>
      </c>
      <c r="M7" s="3"/>
      <c r="N7" s="3" t="s">
        <v>18</v>
      </c>
      <c r="O7" s="4">
        <f>PV(O4,O6,-O5)</f>
        <v>862128.84187686827</v>
      </c>
    </row>
    <row r="8" spans="1:15" x14ac:dyDescent="0.25">
      <c r="B8" s="12" t="s">
        <v>3</v>
      </c>
      <c r="C8" s="4">
        <f>FV(C5,C7,,-C6)</f>
        <v>21724.472497471659</v>
      </c>
      <c r="D8" s="3" t="s">
        <v>3</v>
      </c>
      <c r="E8" s="13">
        <f>FV(E5,E7,,-E6)</f>
        <v>22191.580146071185</v>
      </c>
      <c r="H8" s="3" t="s">
        <v>18</v>
      </c>
      <c r="I8" s="4">
        <f>PV(I5,I7,,I9)</f>
        <v>-5142.6766244123673</v>
      </c>
      <c r="J8" s="3" t="s">
        <v>18</v>
      </c>
      <c r="K8" s="4">
        <f>PV(K5,K7,,K9)</f>
        <v>-11224.095807249216</v>
      </c>
      <c r="M8" s="3"/>
      <c r="N8" s="3" t="s">
        <v>28</v>
      </c>
      <c r="O8" s="3">
        <f>10*12</f>
        <v>120</v>
      </c>
    </row>
    <row r="9" spans="1:15" ht="15.75" thickBot="1" x14ac:dyDescent="0.3">
      <c r="B9" s="47" t="s">
        <v>10</v>
      </c>
      <c r="C9" s="48"/>
      <c r="D9" s="48"/>
      <c r="E9" s="49"/>
      <c r="H9" s="3" t="s">
        <v>3</v>
      </c>
      <c r="I9" s="30">
        <f>I6*0.35</f>
        <v>6300</v>
      </c>
      <c r="J9" s="3" t="s">
        <v>3</v>
      </c>
      <c r="K9" s="30">
        <f>K6*0.55</f>
        <v>13750.000000000002</v>
      </c>
      <c r="M9" s="3"/>
      <c r="N9" s="3" t="s">
        <v>7</v>
      </c>
      <c r="O9" s="29">
        <v>500000</v>
      </c>
    </row>
    <row r="10" spans="1:15" ht="15.75" thickBot="1" x14ac:dyDescent="0.3">
      <c r="H10" s="31"/>
      <c r="I10" s="32">
        <f>I6+I8</f>
        <v>12857.323375587632</v>
      </c>
      <c r="J10" s="31"/>
      <c r="K10" s="32">
        <f>K6+K8</f>
        <v>13775.904192750784</v>
      </c>
      <c r="L10" s="27">
        <f>K10-I10</f>
        <v>918.58081716315246</v>
      </c>
      <c r="M10" s="3"/>
      <c r="N10" s="3" t="s">
        <v>27</v>
      </c>
      <c r="O10" s="4">
        <f>PMT(O4,O8,O9,-O7)</f>
        <v>1066.400010722655</v>
      </c>
    </row>
    <row r="11" spans="1:15" ht="15.75" thickBot="1" x14ac:dyDescent="0.3">
      <c r="A11" s="42" t="s">
        <v>30</v>
      </c>
      <c r="B11" s="14" t="s">
        <v>11</v>
      </c>
      <c r="C11" s="15" t="s">
        <v>13</v>
      </c>
      <c r="D11" s="15" t="s">
        <v>12</v>
      </c>
      <c r="E11" s="16" t="s">
        <v>13</v>
      </c>
      <c r="H11" s="51" t="s">
        <v>19</v>
      </c>
      <c r="I11" s="52"/>
      <c r="J11" s="52"/>
      <c r="K11" s="53"/>
    </row>
    <row r="12" spans="1:15" x14ac:dyDescent="0.25">
      <c r="B12" s="5" t="s">
        <v>3</v>
      </c>
      <c r="C12" s="6"/>
      <c r="D12" s="6" t="s">
        <v>3</v>
      </c>
      <c r="E12" s="7"/>
    </row>
    <row r="13" spans="1:15" x14ac:dyDescent="0.25">
      <c r="B13" s="5" t="s">
        <v>4</v>
      </c>
      <c r="C13" s="6"/>
      <c r="D13" s="6" t="s">
        <v>4</v>
      </c>
      <c r="E13" s="7"/>
      <c r="G13" s="42" t="s">
        <v>20</v>
      </c>
      <c r="H13" s="3" t="s">
        <v>21</v>
      </c>
      <c r="I13" s="28">
        <v>7.0000000000000007E-2</v>
      </c>
    </row>
    <row r="14" spans="1:15" x14ac:dyDescent="0.25">
      <c r="B14" s="5" t="s">
        <v>5</v>
      </c>
      <c r="C14" s="6"/>
      <c r="D14" s="6" t="s">
        <v>5</v>
      </c>
      <c r="E14" s="7"/>
      <c r="H14" s="3" t="s">
        <v>22</v>
      </c>
      <c r="I14" s="3">
        <v>12</v>
      </c>
    </row>
    <row r="15" spans="1:15" x14ac:dyDescent="0.25">
      <c r="B15" s="5" t="s">
        <v>6</v>
      </c>
      <c r="C15" s="8">
        <v>5.5E-2</v>
      </c>
      <c r="D15" s="6" t="s">
        <v>6</v>
      </c>
      <c r="E15" s="17">
        <f>C15/2</f>
        <v>2.75E-2</v>
      </c>
      <c r="H15" s="3" t="s">
        <v>23</v>
      </c>
      <c r="I15" s="33">
        <f>EFFECT(I13,I14)</f>
        <v>7.2290080856235894E-2</v>
      </c>
    </row>
    <row r="16" spans="1:15" x14ac:dyDescent="0.25">
      <c r="B16" s="5" t="s">
        <v>7</v>
      </c>
      <c r="C16" s="10">
        <v>10000</v>
      </c>
      <c r="D16" s="6" t="s">
        <v>7</v>
      </c>
      <c r="E16" s="11">
        <v>10000</v>
      </c>
    </row>
    <row r="17" spans="1:16" ht="15.75" thickBot="1" x14ac:dyDescent="0.3">
      <c r="B17" s="5" t="s">
        <v>9</v>
      </c>
      <c r="C17" s="6">
        <v>8</v>
      </c>
      <c r="D17" s="6" t="s">
        <v>9</v>
      </c>
      <c r="E17" s="7">
        <f>C17*2</f>
        <v>16</v>
      </c>
    </row>
    <row r="18" spans="1:16" ht="15.75" thickBot="1" x14ac:dyDescent="0.3">
      <c r="B18" s="23" t="s">
        <v>3</v>
      </c>
      <c r="C18" s="24">
        <f>FV(C15,C17,,-C16)</f>
        <v>15346.865149961528</v>
      </c>
      <c r="D18" s="25" t="s">
        <v>3</v>
      </c>
      <c r="E18" s="26">
        <f>FV(E15,E17,,-E16)</f>
        <v>15435.094358332508</v>
      </c>
    </row>
    <row r="19" spans="1:16" ht="15.75" thickBot="1" x14ac:dyDescent="0.3">
      <c r="B19" s="44" t="s">
        <v>14</v>
      </c>
      <c r="C19" s="45"/>
      <c r="D19" s="45"/>
      <c r="E19" s="46"/>
    </row>
    <row r="20" spans="1:16" x14ac:dyDescent="0.25">
      <c r="A20" s="14"/>
      <c r="B20" s="15"/>
      <c r="C20" s="15"/>
      <c r="D20" s="15"/>
      <c r="E20" s="15" t="s">
        <v>36</v>
      </c>
      <c r="F20" s="15" t="s">
        <v>37</v>
      </c>
      <c r="G20" s="15" t="s">
        <v>38</v>
      </c>
      <c r="H20" s="15" t="s">
        <v>39</v>
      </c>
      <c r="I20" s="15" t="s">
        <v>40</v>
      </c>
      <c r="J20" s="15" t="s">
        <v>41</v>
      </c>
      <c r="K20" s="15" t="s">
        <v>42</v>
      </c>
      <c r="L20" s="15" t="s">
        <v>43</v>
      </c>
      <c r="M20" s="15" t="s">
        <v>44</v>
      </c>
      <c r="N20" s="15" t="s">
        <v>45</v>
      </c>
      <c r="O20" s="16" t="s">
        <v>46</v>
      </c>
    </row>
    <row r="21" spans="1:16" x14ac:dyDescent="0.25">
      <c r="A21" s="41" t="s">
        <v>29</v>
      </c>
      <c r="B21" s="6" t="s">
        <v>31</v>
      </c>
      <c r="C21" s="10">
        <v>1500</v>
      </c>
      <c r="D21" s="6"/>
      <c r="E21" s="18">
        <f>PV($C$25/12,$C$27,$C$21-$C$22)</f>
        <v>-13721.895207751928</v>
      </c>
      <c r="F21" s="18">
        <f t="shared" ref="F21:N21" si="0">PV($C$25/12,$C$27,$C$21*C23-$C$22)</f>
        <v>-14064.942587945729</v>
      </c>
      <c r="G21" s="18">
        <f t="shared" si="0"/>
        <v>-14407.989968139525</v>
      </c>
      <c r="H21" s="18">
        <f t="shared" si="0"/>
        <v>-14751.037348333324</v>
      </c>
      <c r="I21" s="18">
        <f t="shared" si="0"/>
        <v>-15094.084728527123</v>
      </c>
      <c r="J21" s="18">
        <f t="shared" si="0"/>
        <v>-15437.132108720923</v>
      </c>
      <c r="K21" s="18">
        <f t="shared" si="0"/>
        <v>-15780.179488914722</v>
      </c>
      <c r="L21" s="18">
        <f t="shared" si="0"/>
        <v>-16123.226869108516</v>
      </c>
      <c r="M21" s="18">
        <f t="shared" si="0"/>
        <v>-16466.274249302311</v>
      </c>
      <c r="N21" s="18">
        <f t="shared" si="0"/>
        <v>-16809.321629496113</v>
      </c>
      <c r="O21" s="19">
        <f>((C21-C22)/(C25/12-C24/12))</f>
        <v>-90000</v>
      </c>
      <c r="P21" s="2"/>
    </row>
    <row r="22" spans="1:16" x14ac:dyDescent="0.25">
      <c r="A22" s="5"/>
      <c r="B22" s="6" t="s">
        <v>32</v>
      </c>
      <c r="C22" s="10">
        <v>300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1:16" x14ac:dyDescent="0.25">
      <c r="A23" s="5"/>
      <c r="B23" s="6" t="s">
        <v>35</v>
      </c>
      <c r="C23" s="36">
        <v>1.02</v>
      </c>
      <c r="D23" s="36">
        <v>1.04</v>
      </c>
      <c r="E23" s="36">
        <v>1.06</v>
      </c>
      <c r="F23" s="36">
        <v>1.08</v>
      </c>
      <c r="G23" s="36">
        <v>1.1000000000000001</v>
      </c>
      <c r="H23" s="36">
        <v>1.1200000000000001</v>
      </c>
      <c r="I23" s="36">
        <v>1.1399999999999999</v>
      </c>
      <c r="J23" s="36">
        <v>1.1599999999999999</v>
      </c>
      <c r="K23" s="36">
        <v>1.18</v>
      </c>
      <c r="L23" s="36"/>
      <c r="M23" s="6"/>
      <c r="N23" s="6"/>
      <c r="O23" s="7"/>
    </row>
    <row r="24" spans="1:16" x14ac:dyDescent="0.25">
      <c r="A24" s="5"/>
      <c r="B24" s="6" t="s">
        <v>33</v>
      </c>
      <c r="C24" s="36">
        <v>0.25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</row>
    <row r="25" spans="1:16" x14ac:dyDescent="0.25">
      <c r="A25" s="5"/>
      <c r="B25" s="6" t="s">
        <v>34</v>
      </c>
      <c r="C25" s="36">
        <v>0.09</v>
      </c>
      <c r="D25" s="6"/>
      <c r="E25" s="37">
        <f>-(E21*(1+$C$25/12)^0)</f>
        <v>13721.895207751928</v>
      </c>
      <c r="F25" s="37">
        <f>-(F21*(1+$C$25/12)^-1)</f>
        <v>13960.240782080127</v>
      </c>
      <c r="G25" s="37">
        <f>-(G21*(1+$C$25/12)^-2)</f>
        <v>14194.277379346733</v>
      </c>
      <c r="H25" s="37">
        <f>-(H21*(1+$C$25/12)^-3)</f>
        <v>14424.05594498191</v>
      </c>
      <c r="I25" s="37">
        <f>-(I21*(1+$C$25/12)^-4)</f>
        <v>14649.626904707808</v>
      </c>
      <c r="J25" s="37">
        <f>-(J21*(1+$C$25/12)^-5)</f>
        <v>14871.040169452999</v>
      </c>
      <c r="K25" s="37">
        <f>-(K21*(1+$C$25/12)^-6)</f>
        <v>15088.345140222506</v>
      </c>
      <c r="L25" s="37">
        <f>-(L21*(1+$C$25/12)^-7)</f>
        <v>15301.590712923884</v>
      </c>
      <c r="M25" s="37">
        <f>-(M21*(1+$C$25/12)^-8)</f>
        <v>15510.825283149703</v>
      </c>
      <c r="N25" s="37">
        <f>-(N21*(1+$C$25/12)^-9)</f>
        <v>15716.096750916784</v>
      </c>
      <c r="O25" s="38">
        <f>-(O21*(1+$C$25/12)^-10)</f>
        <v>83520.283785483596</v>
      </c>
    </row>
    <row r="26" spans="1:16" ht="15.75" thickBot="1" x14ac:dyDescent="0.3">
      <c r="A26" s="5"/>
      <c r="B26" s="6" t="s">
        <v>47</v>
      </c>
      <c r="C26" s="39">
        <v>10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</row>
    <row r="27" spans="1:16" ht="15.75" thickBot="1" x14ac:dyDescent="0.3">
      <c r="A27" s="20"/>
      <c r="B27" s="21" t="s">
        <v>48</v>
      </c>
      <c r="C27" s="40">
        <v>12</v>
      </c>
      <c r="D27" s="23" t="s">
        <v>49</v>
      </c>
      <c r="E27" s="35">
        <f>SUM(E25:O25)</f>
        <v>230958.27806101798</v>
      </c>
      <c r="F27" s="21"/>
      <c r="G27" s="21"/>
      <c r="H27" s="21"/>
      <c r="I27" s="21"/>
      <c r="J27" s="21"/>
      <c r="K27" s="21"/>
      <c r="L27" s="21"/>
      <c r="M27" s="21"/>
      <c r="N27" s="21"/>
      <c r="O27" s="22"/>
    </row>
    <row r="29" spans="1:16" x14ac:dyDescent="0.25">
      <c r="A29" s="42" t="s">
        <v>50</v>
      </c>
      <c r="B29" t="s">
        <v>51</v>
      </c>
      <c r="C29" s="1">
        <v>1000</v>
      </c>
    </row>
    <row r="30" spans="1:16" x14ac:dyDescent="0.25">
      <c r="B30" t="s">
        <v>8</v>
      </c>
      <c r="C30">
        <v>10</v>
      </c>
    </row>
    <row r="31" spans="1:16" x14ac:dyDescent="0.25">
      <c r="B31" t="s">
        <v>52</v>
      </c>
      <c r="C31">
        <f>C30*12</f>
        <v>120</v>
      </c>
    </row>
    <row r="32" spans="1:16" x14ac:dyDescent="0.25">
      <c r="B32" t="s">
        <v>53</v>
      </c>
      <c r="C32" s="1">
        <v>744.09</v>
      </c>
    </row>
    <row r="33" spans="2:3" x14ac:dyDescent="0.25">
      <c r="B33" t="s">
        <v>22</v>
      </c>
      <c r="C33">
        <f>C30*2</f>
        <v>20</v>
      </c>
    </row>
  </sheetData>
  <mergeCells count="7">
    <mergeCell ref="J1:K1"/>
    <mergeCell ref="H11:K11"/>
    <mergeCell ref="B1:C1"/>
    <mergeCell ref="D1:E1"/>
    <mergeCell ref="B9:E9"/>
    <mergeCell ref="B19:E19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DBE3-106D-48E5-ABA2-6AC4901C2461}">
  <dimension ref="A1"/>
  <sheetViews>
    <sheetView workbookViewId="0">
      <selection activeCell="D4" sqref="D4:Q1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Garcia</dc:creator>
  <cp:lastModifiedBy>Sergio Garcia</cp:lastModifiedBy>
  <dcterms:created xsi:type="dcterms:W3CDTF">2017-09-25T16:03:58Z</dcterms:created>
  <dcterms:modified xsi:type="dcterms:W3CDTF">2017-09-25T19:54:47Z</dcterms:modified>
</cp:coreProperties>
</file>