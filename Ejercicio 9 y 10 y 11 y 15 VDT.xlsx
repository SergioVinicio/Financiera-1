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431"/>
  <workbookPr filterPrivacy="1"/>
  <bookViews>
    <workbookView xWindow="0" yWindow="0" windowWidth="22260" windowHeight="12645" activeTab="1" xr2:uid="{00000000-000D-0000-FFFF-FFFF00000000}"/>
  </bookViews>
  <sheets>
    <sheet name="Ejercicio 9" sheetId="1" r:id="rId1"/>
    <sheet name="Ejercicio 10" sheetId="2" r:id="rId2"/>
    <sheet name="Ejercicio 11" sheetId="4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8" i="4" l="1"/>
  <c r="H349" i="4"/>
  <c r="C93" i="2" l="1"/>
  <c r="C92" i="2"/>
  <c r="F76" i="2"/>
  <c r="F75" i="2"/>
  <c r="C84" i="2"/>
  <c r="C82" i="2"/>
  <c r="C83" i="2"/>
  <c r="C81" i="2"/>
  <c r="F74" i="2"/>
  <c r="C77" i="2"/>
  <c r="C80" i="2"/>
  <c r="C79" i="2"/>
  <c r="C78" i="2"/>
  <c r="C74" i="2"/>
  <c r="C69" i="2"/>
  <c r="C68" i="2"/>
  <c r="C62" i="2"/>
  <c r="E60" i="2"/>
  <c r="G56" i="2"/>
  <c r="C61" i="2"/>
  <c r="E58" i="2"/>
  <c r="E59" i="2" l="1"/>
  <c r="H56" i="2"/>
  <c r="F58" i="2"/>
  <c r="F59" i="2" s="1"/>
  <c r="F60" i="2" s="1"/>
  <c r="C47" i="2"/>
  <c r="C50" i="2"/>
  <c r="C46" i="2"/>
  <c r="C40" i="2"/>
  <c r="E27" i="2"/>
  <c r="E29" i="2" s="1"/>
  <c r="E30" i="2" s="1"/>
  <c r="E32" i="2" s="1"/>
  <c r="C27" i="2"/>
  <c r="C29" i="2" s="1"/>
  <c r="C30" i="2" s="1"/>
  <c r="I56" i="2" l="1"/>
  <c r="C48" i="2"/>
  <c r="C51" i="2" s="1"/>
  <c r="G58" i="2"/>
  <c r="G59" i="2" s="1"/>
  <c r="G60" i="2" s="1"/>
  <c r="J56" i="2" l="1"/>
  <c r="H58" i="2"/>
  <c r="H59" i="2" s="1"/>
  <c r="H60" i="2" s="1"/>
  <c r="K56" i="2" l="1"/>
  <c r="I58" i="2"/>
  <c r="I59" i="2" s="1"/>
  <c r="I60" i="2" s="1"/>
  <c r="L56" i="2" l="1"/>
  <c r="J58" i="2"/>
  <c r="J59" i="2" s="1"/>
  <c r="J60" i="2" s="1"/>
  <c r="M56" i="2" l="1"/>
  <c r="K58" i="2"/>
  <c r="K59" i="2" s="1"/>
  <c r="K60" i="2" s="1"/>
  <c r="N56" i="2" l="1"/>
  <c r="L58" i="2"/>
  <c r="L59" i="2" s="1"/>
  <c r="L60" i="2" s="1"/>
  <c r="O56" i="2" l="1"/>
  <c r="M58" i="2"/>
  <c r="M59" i="2" s="1"/>
  <c r="M60" i="2" s="1"/>
  <c r="N58" i="2" l="1"/>
  <c r="O58" i="2" l="1"/>
  <c r="N59" i="2"/>
  <c r="N60" i="2" s="1"/>
  <c r="O59" i="2" l="1"/>
  <c r="O60" i="2" s="1"/>
  <c r="F347" i="4" l="1"/>
  <c r="F348" i="4"/>
  <c r="C4" i="4" l="1"/>
  <c r="D7" i="4" s="1"/>
  <c r="C7" i="4"/>
  <c r="E7" i="4"/>
  <c r="D8" i="4"/>
  <c r="D32" i="4"/>
  <c r="E32" i="4" s="1"/>
  <c r="D40" i="4"/>
  <c r="C41" i="4"/>
  <c r="C43" i="4"/>
  <c r="D46" i="4" s="1"/>
  <c r="C46" i="4"/>
  <c r="E46" i="4" s="1"/>
  <c r="C231" i="4"/>
  <c r="C232" i="4"/>
  <c r="C242" i="4"/>
  <c r="C243" i="4"/>
  <c r="C244" i="4"/>
  <c r="C245" i="4"/>
  <c r="C251" i="4"/>
  <c r="C255" i="4"/>
  <c r="C257" i="4"/>
  <c r="D260" i="4" s="1"/>
  <c r="D261" i="4" s="1"/>
  <c r="D257" i="4"/>
  <c r="C260" i="4"/>
  <c r="E260" i="4"/>
  <c r="F260" i="4" s="1"/>
  <c r="G260" i="4" s="1"/>
  <c r="C261" i="4" s="1"/>
  <c r="C306" i="4"/>
  <c r="C307" i="4" s="1"/>
  <c r="D312" i="4"/>
  <c r="D313" i="4"/>
  <c r="B326" i="4"/>
  <c r="C326" i="4"/>
  <c r="B327" i="4"/>
  <c r="C327" i="4"/>
  <c r="E332" i="4"/>
  <c r="K334" i="4"/>
  <c r="M335" i="4"/>
  <c r="M337" i="4" s="1"/>
  <c r="M338" i="4" s="1"/>
  <c r="N335" i="4"/>
  <c r="N337" i="4" s="1"/>
  <c r="O335" i="4"/>
  <c r="P335" i="4"/>
  <c r="Q335" i="4"/>
  <c r="Q337" i="4" s="1"/>
  <c r="Q338" i="4" s="1"/>
  <c r="G337" i="4"/>
  <c r="O337" i="4"/>
  <c r="P337" i="4"/>
  <c r="P338" i="4"/>
  <c r="P339" i="4" s="1"/>
  <c r="Q339" i="4"/>
  <c r="Q342" i="4" s="1"/>
  <c r="Q344" i="4" s="1"/>
  <c r="C340" i="4"/>
  <c r="G342" i="4"/>
  <c r="P342" i="4"/>
  <c r="P344" i="4" s="1"/>
  <c r="G343" i="4"/>
  <c r="G344" i="4"/>
  <c r="D9" i="4" l="1"/>
  <c r="M339" i="4"/>
  <c r="M342" i="4" s="1"/>
  <c r="M344" i="4" s="1"/>
  <c r="G348" i="4" s="1"/>
  <c r="G338" i="4"/>
  <c r="G339" i="4"/>
  <c r="N338" i="4"/>
  <c r="N339" i="4" s="1"/>
  <c r="N342" i="4" s="1"/>
  <c r="N344" i="4" s="1"/>
  <c r="H334" i="4"/>
  <c r="L334" i="4"/>
  <c r="I334" i="4"/>
  <c r="J334" i="4"/>
  <c r="D262" i="4"/>
  <c r="K335" i="4"/>
  <c r="K337" i="4" s="1"/>
  <c r="K340" i="4"/>
  <c r="D314" i="4"/>
  <c r="C316" i="4" s="1"/>
  <c r="C315" i="4"/>
  <c r="E261" i="4"/>
  <c r="F261" i="4" s="1"/>
  <c r="G261" i="4" s="1"/>
  <c r="C262" i="4" s="1"/>
  <c r="O338" i="4"/>
  <c r="O339" i="4" s="1"/>
  <c r="O342" i="4" s="1"/>
  <c r="O344" i="4" s="1"/>
  <c r="D47" i="4"/>
  <c r="F46" i="4"/>
  <c r="G46" i="4" s="1"/>
  <c r="C47" i="4" s="1"/>
  <c r="F7" i="4"/>
  <c r="G7" i="4" s="1"/>
  <c r="C8" i="4" s="1"/>
  <c r="C16" i="2"/>
  <c r="C20" i="2" s="1"/>
  <c r="E8" i="2"/>
  <c r="C8" i="2"/>
  <c r="C79" i="1"/>
  <c r="C78" i="1"/>
  <c r="C77" i="1"/>
  <c r="C68" i="1"/>
  <c r="C66" i="1"/>
  <c r="C55" i="1"/>
  <c r="C57" i="1"/>
  <c r="C54" i="1"/>
  <c r="D53" i="1"/>
  <c r="C56" i="1"/>
  <c r="C46" i="1"/>
  <c r="C37" i="1"/>
  <c r="E32" i="1"/>
  <c r="E33" i="1"/>
  <c r="E34" i="1"/>
  <c r="E35" i="1"/>
  <c r="F32" i="1"/>
  <c r="F33" i="1"/>
  <c r="F34" i="1"/>
  <c r="F35" i="1"/>
  <c r="G32" i="1"/>
  <c r="G33" i="1"/>
  <c r="G34" i="1"/>
  <c r="G35" i="1"/>
  <c r="H35" i="1"/>
  <c r="C27" i="1"/>
  <c r="C22" i="1"/>
  <c r="C29" i="1"/>
  <c r="C26" i="1"/>
  <c r="C28" i="1"/>
  <c r="C15" i="1"/>
  <c r="C16" i="1"/>
  <c r="C4" i="1"/>
  <c r="C7" i="1"/>
  <c r="C19" i="2" l="1"/>
  <c r="F8" i="2"/>
  <c r="E262" i="4"/>
  <c r="E47" i="4"/>
  <c r="F47" i="4" s="1"/>
  <c r="G47" i="4" s="1"/>
  <c r="C48" i="4" s="1"/>
  <c r="J335" i="4"/>
  <c r="J337" i="4" s="1"/>
  <c r="J340" i="4"/>
  <c r="D48" i="4"/>
  <c r="K338" i="4"/>
  <c r="K339" i="4" s="1"/>
  <c r="K342" i="4" s="1"/>
  <c r="K344" i="4" s="1"/>
  <c r="I335" i="4"/>
  <c r="I337" i="4" s="1"/>
  <c r="I340" i="4"/>
  <c r="D10" i="4"/>
  <c r="D263" i="4"/>
  <c r="F262" i="4"/>
  <c r="G262" i="4" s="1"/>
  <c r="C263" i="4" s="1"/>
  <c r="L335" i="4"/>
  <c r="L337" i="4" s="1"/>
  <c r="L340" i="4"/>
  <c r="E8" i="4"/>
  <c r="F8" i="4" s="1"/>
  <c r="G8" i="4"/>
  <c r="C9" i="4" s="1"/>
  <c r="H335" i="4"/>
  <c r="H337" i="4" s="1"/>
  <c r="H340" i="4"/>
  <c r="E263" i="4" l="1"/>
  <c r="E48" i="4"/>
  <c r="E9" i="4"/>
  <c r="F9" i="4" s="1"/>
  <c r="G9" i="4" s="1"/>
  <c r="C10" i="4" s="1"/>
  <c r="J339" i="4"/>
  <c r="J342" i="4" s="1"/>
  <c r="J344" i="4" s="1"/>
  <c r="J338" i="4"/>
  <c r="H339" i="4"/>
  <c r="H342" i="4" s="1"/>
  <c r="H344" i="4" s="1"/>
  <c r="H338" i="4"/>
  <c r="L338" i="4"/>
  <c r="L339" i="4" s="1"/>
  <c r="L342" i="4" s="1"/>
  <c r="L344" i="4" s="1"/>
  <c r="D11" i="4"/>
  <c r="D264" i="4"/>
  <c r="F263" i="4"/>
  <c r="G263" i="4" s="1"/>
  <c r="C264" i="4" s="1"/>
  <c r="I338" i="4"/>
  <c r="I339" i="4" s="1"/>
  <c r="I342" i="4" s="1"/>
  <c r="I344" i="4" s="1"/>
  <c r="D49" i="4"/>
  <c r="F48" i="4"/>
  <c r="G48" i="4" s="1"/>
  <c r="C49" i="4" s="1"/>
  <c r="E10" i="4" l="1"/>
  <c r="F10" i="4" s="1"/>
  <c r="G10" i="4" s="1"/>
  <c r="C11" i="4" s="1"/>
  <c r="E264" i="4"/>
  <c r="F264" i="4" s="1"/>
  <c r="G264" i="4" s="1"/>
  <c r="C265" i="4" s="1"/>
  <c r="E49" i="4"/>
  <c r="H348" i="4"/>
  <c r="D265" i="4"/>
  <c r="F49" i="4"/>
  <c r="G49" i="4" s="1"/>
  <c r="C50" i="4" s="1"/>
  <c r="D50" i="4"/>
  <c r="E50" i="4" l="1"/>
  <c r="E265" i="4"/>
  <c r="F265" i="4" s="1"/>
  <c r="G265" i="4" s="1"/>
  <c r="C266" i="4" s="1"/>
  <c r="E11" i="4"/>
  <c r="F11" i="4" s="1"/>
  <c r="H8" i="4" s="1"/>
  <c r="G11" i="4"/>
  <c r="D51" i="4"/>
  <c r="F50" i="4"/>
  <c r="G50" i="4" s="1"/>
  <c r="C51" i="4" s="1"/>
  <c r="D266" i="4"/>
  <c r="E51" i="4" l="1"/>
  <c r="E266" i="4"/>
  <c r="D52" i="4"/>
  <c r="F51" i="4"/>
  <c r="G51" i="4" s="1"/>
  <c r="C52" i="4" s="1"/>
  <c r="D267" i="4"/>
  <c r="F266" i="4"/>
  <c r="G266" i="4" s="1"/>
  <c r="C267" i="4" s="1"/>
  <c r="E52" i="4" l="1"/>
  <c r="E267" i="4"/>
  <c r="F267" i="4" s="1"/>
  <c r="G267" i="4" s="1"/>
  <c r="C268" i="4" s="1"/>
  <c r="D268" i="4"/>
  <c r="D53" i="4"/>
  <c r="F52" i="4"/>
  <c r="G52" i="4" s="1"/>
  <c r="C53" i="4" s="1"/>
  <c r="E268" i="4" l="1"/>
  <c r="E53" i="4"/>
  <c r="F53" i="4" s="1"/>
  <c r="G53" i="4" s="1"/>
  <c r="C54" i="4" s="1"/>
  <c r="D54" i="4"/>
  <c r="F268" i="4"/>
  <c r="G268" i="4" s="1"/>
  <c r="C269" i="4" s="1"/>
  <c r="D269" i="4"/>
  <c r="E269" i="4" l="1"/>
  <c r="E54" i="4"/>
  <c r="F269" i="4"/>
  <c r="G269" i="4" s="1"/>
  <c r="D270" i="4"/>
  <c r="D55" i="4"/>
  <c r="F54" i="4"/>
  <c r="G54" i="4" s="1"/>
  <c r="C55" i="4" s="1"/>
  <c r="F250" i="4" l="1"/>
  <c r="C282" i="4"/>
  <c r="C270" i="4"/>
  <c r="E55" i="4"/>
  <c r="F55" i="4" s="1"/>
  <c r="G55" i="4" s="1"/>
  <c r="C56" i="4" s="1"/>
  <c r="D271" i="4"/>
  <c r="D56" i="4"/>
  <c r="E56" i="4" l="1"/>
  <c r="D57" i="4"/>
  <c r="F56" i="4"/>
  <c r="G56" i="4" s="1"/>
  <c r="C57" i="4" s="1"/>
  <c r="E270" i="4"/>
  <c r="D272" i="4"/>
  <c r="E282" i="4"/>
  <c r="H251" i="4"/>
  <c r="F251" i="4"/>
  <c r="D282" i="4" s="1"/>
  <c r="E57" i="4" l="1"/>
  <c r="D283" i="4"/>
  <c r="F282" i="4"/>
  <c r="G282" i="4" s="1"/>
  <c r="C283" i="4" s="1"/>
  <c r="D273" i="4"/>
  <c r="F57" i="4"/>
  <c r="G57" i="4" s="1"/>
  <c r="C58" i="4" s="1"/>
  <c r="D58" i="4"/>
  <c r="F270" i="4"/>
  <c r="G270" i="4" s="1"/>
  <c r="C271" i="4" s="1"/>
  <c r="E58" i="4" l="1"/>
  <c r="E271" i="4"/>
  <c r="D284" i="4"/>
  <c r="D274" i="4"/>
  <c r="E283" i="4"/>
  <c r="D59" i="4"/>
  <c r="F58" i="4"/>
  <c r="G58" i="4" s="1"/>
  <c r="C59" i="4" s="1"/>
  <c r="E59" i="4" l="1"/>
  <c r="D275" i="4"/>
  <c r="D285" i="4"/>
  <c r="D60" i="4"/>
  <c r="F59" i="4"/>
  <c r="G59" i="4" s="1"/>
  <c r="C60" i="4" s="1"/>
  <c r="F271" i="4"/>
  <c r="G271" i="4" s="1"/>
  <c r="C272" i="4" s="1"/>
  <c r="F283" i="4"/>
  <c r="G283" i="4" s="1"/>
  <c r="C284" i="4" s="1"/>
  <c r="E60" i="4" l="1"/>
  <c r="E284" i="4"/>
  <c r="D276" i="4"/>
  <c r="D61" i="4"/>
  <c r="F60" i="4"/>
  <c r="G60" i="4" s="1"/>
  <c r="C61" i="4" s="1"/>
  <c r="D286" i="4"/>
  <c r="E272" i="4"/>
  <c r="E61" i="4" l="1"/>
  <c r="F61" i="4" s="1"/>
  <c r="G61" i="4" s="1"/>
  <c r="C62" i="4" s="1"/>
  <c r="F272" i="4"/>
  <c r="G272" i="4" s="1"/>
  <c r="C273" i="4" s="1"/>
  <c r="D62" i="4"/>
  <c r="F284" i="4"/>
  <c r="G284" i="4" s="1"/>
  <c r="C285" i="4" s="1"/>
  <c r="D287" i="4"/>
  <c r="D277" i="4"/>
  <c r="E62" i="4" l="1"/>
  <c r="D278" i="4"/>
  <c r="E285" i="4"/>
  <c r="F285" i="4" s="1"/>
  <c r="G285" i="4" s="1"/>
  <c r="C286" i="4" s="1"/>
  <c r="E273" i="4"/>
  <c r="D63" i="4"/>
  <c r="F62" i="4"/>
  <c r="G62" i="4" s="1"/>
  <c r="C63" i="4" s="1"/>
  <c r="D288" i="4"/>
  <c r="E286" i="4" l="1"/>
  <c r="F286" i="4" s="1"/>
  <c r="G286" i="4"/>
  <c r="C287" i="4" s="1"/>
  <c r="E63" i="4"/>
  <c r="D289" i="4"/>
  <c r="F273" i="4"/>
  <c r="G273" i="4" s="1"/>
  <c r="C274" i="4" s="1"/>
  <c r="D279" i="4"/>
  <c r="D64" i="4"/>
  <c r="F63" i="4"/>
  <c r="G63" i="4" s="1"/>
  <c r="C64" i="4" s="1"/>
  <c r="E64" i="4" l="1"/>
  <c r="D65" i="4"/>
  <c r="F64" i="4"/>
  <c r="G64" i="4" s="1"/>
  <c r="C65" i="4" s="1"/>
  <c r="E274" i="4"/>
  <c r="E287" i="4"/>
  <c r="F287" i="4" s="1"/>
  <c r="G287" i="4"/>
  <c r="C288" i="4" s="1"/>
  <c r="D290" i="4"/>
  <c r="E65" i="4" l="1"/>
  <c r="E288" i="4"/>
  <c r="F288" i="4" s="1"/>
  <c r="G288" i="4" s="1"/>
  <c r="C289" i="4" s="1"/>
  <c r="D291" i="4"/>
  <c r="F65" i="4"/>
  <c r="G65" i="4" s="1"/>
  <c r="C66" i="4" s="1"/>
  <c r="D66" i="4"/>
  <c r="F274" i="4"/>
  <c r="G274" i="4" s="1"/>
  <c r="C275" i="4" s="1"/>
  <c r="E289" i="4" l="1"/>
  <c r="F289" i="4" s="1"/>
  <c r="G289" i="4" s="1"/>
  <c r="C290" i="4" s="1"/>
  <c r="E66" i="4"/>
  <c r="F66" i="4" s="1"/>
  <c r="G66" i="4" s="1"/>
  <c r="C67" i="4" s="1"/>
  <c r="D67" i="4"/>
  <c r="E275" i="4"/>
  <c r="F275" i="4" s="1"/>
  <c r="G275" i="4"/>
  <c r="C276" i="4" s="1"/>
  <c r="E67" i="4" l="1"/>
  <c r="E290" i="4"/>
  <c r="F290" i="4" s="1"/>
  <c r="G290" i="4" s="1"/>
  <c r="C291" i="4" s="1"/>
  <c r="E276" i="4"/>
  <c r="F276" i="4" s="1"/>
  <c r="G276" i="4" s="1"/>
  <c r="C277" i="4" s="1"/>
  <c r="D68" i="4"/>
  <c r="F67" i="4"/>
  <c r="G67" i="4" s="1"/>
  <c r="C68" i="4" s="1"/>
  <c r="E277" i="4" l="1"/>
  <c r="F277" i="4" s="1"/>
  <c r="G277" i="4" s="1"/>
  <c r="C278" i="4" s="1"/>
  <c r="E291" i="4"/>
  <c r="E68" i="4"/>
  <c r="D69" i="4"/>
  <c r="F68" i="4"/>
  <c r="G68" i="4" s="1"/>
  <c r="C69" i="4" s="1"/>
  <c r="E69" i="4" l="1"/>
  <c r="E278" i="4"/>
  <c r="F278" i="4" s="1"/>
  <c r="G278" i="4"/>
  <c r="C279" i="4" s="1"/>
  <c r="F69" i="4"/>
  <c r="G69" i="4" s="1"/>
  <c r="C70" i="4" s="1"/>
  <c r="D70" i="4"/>
  <c r="I283" i="4"/>
  <c r="I284" i="4" s="1"/>
  <c r="F291" i="4"/>
  <c r="G291" i="4" s="1"/>
  <c r="E70" i="4" l="1"/>
  <c r="D71" i="4"/>
  <c r="F70" i="4"/>
  <c r="G70" i="4" s="1"/>
  <c r="C71" i="4" s="1"/>
  <c r="E279" i="4"/>
  <c r="E71" i="4" l="1"/>
  <c r="D72" i="4"/>
  <c r="F71" i="4"/>
  <c r="G71" i="4" s="1"/>
  <c r="C72" i="4" s="1"/>
  <c r="F279" i="4"/>
  <c r="G279" i="4" s="1"/>
  <c r="I274" i="4"/>
  <c r="E72" i="4" l="1"/>
  <c r="D73" i="4"/>
  <c r="F72" i="4"/>
  <c r="G72" i="4" s="1"/>
  <c r="C73" i="4" s="1"/>
  <c r="F252" i="4"/>
  <c r="J274" i="4"/>
  <c r="E73" i="4" l="1"/>
  <c r="F73" i="4"/>
  <c r="G73" i="4" s="1"/>
  <c r="C74" i="4" s="1"/>
  <c r="D74" i="4"/>
  <c r="E74" i="4" l="1"/>
  <c r="D75" i="4"/>
  <c r="F74" i="4"/>
  <c r="G74" i="4" s="1"/>
  <c r="C75" i="4" s="1"/>
  <c r="E75" i="4" l="1"/>
  <c r="D76" i="4"/>
  <c r="F75" i="4"/>
  <c r="G75" i="4" s="1"/>
  <c r="C76" i="4" s="1"/>
  <c r="E76" i="4" l="1"/>
  <c r="D77" i="4"/>
  <c r="F76" i="4"/>
  <c r="G76" i="4" s="1"/>
  <c r="C77" i="4" s="1"/>
  <c r="E77" i="4" l="1"/>
  <c r="F77" i="4"/>
  <c r="G77" i="4" s="1"/>
  <c r="C78" i="4" s="1"/>
  <c r="D78" i="4"/>
  <c r="E78" i="4" l="1"/>
  <c r="D79" i="4"/>
  <c r="F78" i="4"/>
  <c r="G78" i="4" s="1"/>
  <c r="C79" i="4" s="1"/>
  <c r="E79" i="4" l="1"/>
  <c r="D80" i="4"/>
  <c r="F79" i="4"/>
  <c r="G79" i="4" s="1"/>
  <c r="C80" i="4" s="1"/>
  <c r="E80" i="4" l="1"/>
  <c r="D81" i="4"/>
  <c r="F80" i="4"/>
  <c r="G80" i="4" s="1"/>
  <c r="C81" i="4" s="1"/>
  <c r="E81" i="4" l="1"/>
  <c r="F81" i="4"/>
  <c r="G81" i="4" s="1"/>
  <c r="C82" i="4" s="1"/>
  <c r="D82" i="4"/>
  <c r="E82" i="4" l="1"/>
  <c r="D83" i="4"/>
  <c r="F82" i="4"/>
  <c r="G82" i="4" s="1"/>
  <c r="C83" i="4" s="1"/>
  <c r="E83" i="4" l="1"/>
  <c r="D84" i="4"/>
  <c r="F83" i="4"/>
  <c r="G83" i="4" s="1"/>
  <c r="C84" i="4" s="1"/>
  <c r="E84" i="4" l="1"/>
  <c r="F84" i="4"/>
  <c r="G84" i="4" s="1"/>
  <c r="C85" i="4" s="1"/>
  <c r="D85" i="4"/>
  <c r="E85" i="4" l="1"/>
  <c r="F85" i="4"/>
  <c r="G85" i="4" s="1"/>
  <c r="C86" i="4" s="1"/>
  <c r="D86" i="4"/>
  <c r="E86" i="4" l="1"/>
  <c r="D87" i="4"/>
  <c r="F86" i="4"/>
  <c r="G86" i="4" s="1"/>
  <c r="C87" i="4" s="1"/>
  <c r="E87" i="4" l="1"/>
  <c r="F87" i="4"/>
  <c r="G87" i="4" s="1"/>
  <c r="C88" i="4" s="1"/>
  <c r="D88" i="4"/>
  <c r="E88" i="4" l="1"/>
  <c r="F88" i="4"/>
  <c r="G88" i="4" s="1"/>
  <c r="C89" i="4" s="1"/>
  <c r="D89" i="4"/>
  <c r="E89" i="4" l="1"/>
  <c r="F89" i="4"/>
  <c r="G89" i="4" s="1"/>
  <c r="C90" i="4" s="1"/>
  <c r="D90" i="4"/>
  <c r="E90" i="4" l="1"/>
  <c r="D91" i="4"/>
  <c r="F90" i="4"/>
  <c r="G90" i="4" s="1"/>
  <c r="C91" i="4" s="1"/>
  <c r="E91" i="4" l="1"/>
  <c r="F91" i="4" s="1"/>
  <c r="G91" i="4" s="1"/>
  <c r="C92" i="4" s="1"/>
  <c r="D92" i="4"/>
  <c r="E92" i="4" l="1"/>
  <c r="F92" i="4"/>
  <c r="G92" i="4" s="1"/>
  <c r="C93" i="4" s="1"/>
  <c r="D93" i="4"/>
  <c r="E93" i="4" l="1"/>
  <c r="F93" i="4"/>
  <c r="G93" i="4" s="1"/>
  <c r="C94" i="4" s="1"/>
  <c r="D94" i="4"/>
  <c r="E94" i="4" l="1"/>
  <c r="D95" i="4"/>
  <c r="F94" i="4"/>
  <c r="G94" i="4" s="1"/>
  <c r="C95" i="4" s="1"/>
  <c r="E95" i="4" l="1"/>
  <c r="D96" i="4"/>
  <c r="F95" i="4"/>
  <c r="G95" i="4" s="1"/>
  <c r="C96" i="4" s="1"/>
  <c r="E96" i="4" l="1"/>
  <c r="D97" i="4"/>
  <c r="F96" i="4"/>
  <c r="G96" i="4" s="1"/>
  <c r="C97" i="4" s="1"/>
  <c r="E97" i="4" l="1"/>
  <c r="F97" i="4" s="1"/>
  <c r="G97" i="4" s="1"/>
  <c r="C98" i="4" s="1"/>
  <c r="D98" i="4"/>
  <c r="E98" i="4" l="1"/>
  <c r="D99" i="4"/>
  <c r="F98" i="4"/>
  <c r="G98" i="4" s="1"/>
  <c r="C99" i="4" s="1"/>
  <c r="E99" i="4" l="1"/>
  <c r="D100" i="4"/>
  <c r="F99" i="4"/>
  <c r="G99" i="4" s="1"/>
  <c r="C100" i="4" s="1"/>
  <c r="E100" i="4" l="1"/>
  <c r="D101" i="4"/>
  <c r="F100" i="4"/>
  <c r="G100" i="4" s="1"/>
  <c r="C101" i="4" s="1"/>
  <c r="E101" i="4" l="1"/>
  <c r="F101" i="4" s="1"/>
  <c r="G101" i="4" s="1"/>
  <c r="C102" i="4" s="1"/>
  <c r="D102" i="4"/>
  <c r="E102" i="4" l="1"/>
  <c r="D103" i="4"/>
  <c r="F102" i="4"/>
  <c r="G102" i="4" s="1"/>
  <c r="C103" i="4" s="1"/>
  <c r="E103" i="4" l="1"/>
  <c r="F103" i="4"/>
  <c r="G103" i="4" s="1"/>
  <c r="C104" i="4" s="1"/>
  <c r="D104" i="4"/>
  <c r="E104" i="4" l="1"/>
  <c r="F104" i="4" s="1"/>
  <c r="G104" i="4" s="1"/>
  <c r="C105" i="4" s="1"/>
  <c r="D105" i="4"/>
  <c r="E105" i="4" l="1"/>
  <c r="F105" i="4"/>
  <c r="G105" i="4" s="1"/>
  <c r="D106" i="4"/>
  <c r="F43" i="4" l="1"/>
  <c r="C106" i="4"/>
  <c r="D107" i="4"/>
  <c r="D108" i="4" l="1"/>
  <c r="E106" i="4"/>
  <c r="I43" i="4" l="1"/>
  <c r="F106" i="4"/>
  <c r="G106" i="4" s="1"/>
  <c r="C107" i="4" s="1"/>
  <c r="D109" i="4"/>
  <c r="E107" i="4" l="1"/>
  <c r="F107" i="4" s="1"/>
  <c r="G107" i="4" s="1"/>
  <c r="C108" i="4" s="1"/>
  <c r="D110" i="4"/>
  <c r="E108" i="4" l="1"/>
  <c r="F108" i="4" s="1"/>
  <c r="G108" i="4"/>
  <c r="C109" i="4" s="1"/>
  <c r="D111" i="4"/>
  <c r="D112" i="4" l="1"/>
  <c r="E109" i="4"/>
  <c r="F109" i="4" s="1"/>
  <c r="G109" i="4"/>
  <c r="C110" i="4" s="1"/>
  <c r="E110" i="4" l="1"/>
  <c r="F110" i="4" s="1"/>
  <c r="G110" i="4" s="1"/>
  <c r="C111" i="4" s="1"/>
  <c r="D113" i="4"/>
  <c r="E111" i="4" l="1"/>
  <c r="F111" i="4" s="1"/>
  <c r="G111" i="4" s="1"/>
  <c r="C112" i="4" s="1"/>
  <c r="D114" i="4"/>
  <c r="E112" i="4" l="1"/>
  <c r="F112" i="4" s="1"/>
  <c r="G112" i="4"/>
  <c r="C113" i="4" s="1"/>
  <c r="D115" i="4"/>
  <c r="D116" i="4" l="1"/>
  <c r="E113" i="4"/>
  <c r="F113" i="4" s="1"/>
  <c r="G113" i="4" s="1"/>
  <c r="C114" i="4" s="1"/>
  <c r="E114" i="4" l="1"/>
  <c r="F114" i="4" s="1"/>
  <c r="G114" i="4" s="1"/>
  <c r="C115" i="4" s="1"/>
  <c r="D117" i="4"/>
  <c r="E115" i="4" l="1"/>
  <c r="F115" i="4" s="1"/>
  <c r="G115" i="4" s="1"/>
  <c r="C116" i="4" s="1"/>
  <c r="D118" i="4"/>
  <c r="E116" i="4" l="1"/>
  <c r="F116" i="4" s="1"/>
  <c r="G116" i="4"/>
  <c r="C117" i="4" s="1"/>
  <c r="D119" i="4"/>
  <c r="D120" i="4" l="1"/>
  <c r="E117" i="4"/>
  <c r="F117" i="4" s="1"/>
  <c r="G117" i="4" s="1"/>
  <c r="C118" i="4" s="1"/>
  <c r="E118" i="4" l="1"/>
  <c r="F118" i="4" s="1"/>
  <c r="G118" i="4" s="1"/>
  <c r="C119" i="4" s="1"/>
  <c r="D121" i="4"/>
  <c r="E119" i="4" l="1"/>
  <c r="F119" i="4" s="1"/>
  <c r="G119" i="4" s="1"/>
  <c r="C120" i="4" s="1"/>
  <c r="D122" i="4"/>
  <c r="E120" i="4" l="1"/>
  <c r="F120" i="4" s="1"/>
  <c r="G120" i="4"/>
  <c r="C121" i="4" s="1"/>
  <c r="D123" i="4"/>
  <c r="D124" i="4" l="1"/>
  <c r="E121" i="4"/>
  <c r="F121" i="4" s="1"/>
  <c r="G121" i="4"/>
  <c r="C122" i="4" s="1"/>
  <c r="E122" i="4" l="1"/>
  <c r="F122" i="4" s="1"/>
  <c r="G122" i="4" s="1"/>
  <c r="C123" i="4" s="1"/>
  <c r="D125" i="4"/>
  <c r="E123" i="4" l="1"/>
  <c r="F123" i="4" s="1"/>
  <c r="G123" i="4" s="1"/>
  <c r="C124" i="4" s="1"/>
  <c r="D126" i="4"/>
  <c r="E124" i="4" l="1"/>
  <c r="F124" i="4" s="1"/>
  <c r="G124" i="4"/>
  <c r="C125" i="4" s="1"/>
  <c r="D127" i="4"/>
  <c r="D128" i="4" l="1"/>
  <c r="E125" i="4"/>
  <c r="F125" i="4" s="1"/>
  <c r="G125" i="4"/>
  <c r="C126" i="4" s="1"/>
  <c r="E126" i="4" l="1"/>
  <c r="F126" i="4" s="1"/>
  <c r="G126" i="4" s="1"/>
  <c r="C127" i="4" s="1"/>
  <c r="D129" i="4"/>
  <c r="E127" i="4" l="1"/>
  <c r="F127" i="4" s="1"/>
  <c r="G127" i="4" s="1"/>
  <c r="C128" i="4" s="1"/>
  <c r="D130" i="4"/>
  <c r="E128" i="4" l="1"/>
  <c r="F128" i="4" s="1"/>
  <c r="G128" i="4"/>
  <c r="C129" i="4" s="1"/>
  <c r="D131" i="4"/>
  <c r="D132" i="4" l="1"/>
  <c r="E129" i="4"/>
  <c r="F129" i="4" s="1"/>
  <c r="G129" i="4"/>
  <c r="C130" i="4" s="1"/>
  <c r="E130" i="4" l="1"/>
  <c r="F130" i="4" s="1"/>
  <c r="G130" i="4"/>
  <c r="C131" i="4" s="1"/>
  <c r="D133" i="4"/>
  <c r="D134" i="4" l="1"/>
  <c r="E131" i="4"/>
  <c r="F131" i="4" s="1"/>
  <c r="G131" i="4" s="1"/>
  <c r="C132" i="4" s="1"/>
  <c r="E132" i="4" l="1"/>
  <c r="F132" i="4" s="1"/>
  <c r="G132" i="4"/>
  <c r="C133" i="4" s="1"/>
  <c r="D135" i="4"/>
  <c r="D136" i="4" l="1"/>
  <c r="E133" i="4"/>
  <c r="F133" i="4" s="1"/>
  <c r="G133" i="4"/>
  <c r="C134" i="4" s="1"/>
  <c r="E134" i="4" l="1"/>
  <c r="F134" i="4" s="1"/>
  <c r="G134" i="4" s="1"/>
  <c r="C135" i="4" s="1"/>
  <c r="D137" i="4"/>
  <c r="E135" i="4" l="1"/>
  <c r="F135" i="4" s="1"/>
  <c r="G135" i="4" s="1"/>
  <c r="C136" i="4" s="1"/>
  <c r="D138" i="4"/>
  <c r="E136" i="4" l="1"/>
  <c r="F136" i="4" s="1"/>
  <c r="G136" i="4" s="1"/>
  <c r="C137" i="4" s="1"/>
  <c r="D139" i="4"/>
  <c r="E137" i="4" l="1"/>
  <c r="F137" i="4" s="1"/>
  <c r="G137" i="4"/>
  <c r="C138" i="4" s="1"/>
  <c r="D140" i="4"/>
  <c r="D141" i="4" l="1"/>
  <c r="E138" i="4"/>
  <c r="F138" i="4" s="1"/>
  <c r="G138" i="4" s="1"/>
  <c r="C139" i="4" s="1"/>
  <c r="E139" i="4" l="1"/>
  <c r="F139" i="4" s="1"/>
  <c r="G139" i="4" s="1"/>
  <c r="C140" i="4" s="1"/>
  <c r="D142" i="4"/>
  <c r="E140" i="4" l="1"/>
  <c r="F140" i="4" s="1"/>
  <c r="G140" i="4"/>
  <c r="C141" i="4" s="1"/>
  <c r="D143" i="4"/>
  <c r="D144" i="4" l="1"/>
  <c r="E141" i="4"/>
  <c r="F141" i="4" s="1"/>
  <c r="G141" i="4"/>
  <c r="C142" i="4" s="1"/>
  <c r="D145" i="4" l="1"/>
  <c r="E142" i="4"/>
  <c r="F142" i="4" s="1"/>
  <c r="G142" i="4"/>
  <c r="C143" i="4" s="1"/>
  <c r="E143" i="4" l="1"/>
  <c r="F143" i="4" s="1"/>
  <c r="G143" i="4" s="1"/>
  <c r="C144" i="4" s="1"/>
  <c r="D146" i="4"/>
  <c r="E144" i="4" l="1"/>
  <c r="F144" i="4" s="1"/>
  <c r="G144" i="4"/>
  <c r="C145" i="4" s="1"/>
  <c r="D147" i="4"/>
  <c r="D148" i="4" l="1"/>
  <c r="E145" i="4"/>
  <c r="F145" i="4" s="1"/>
  <c r="G145" i="4" s="1"/>
  <c r="C146" i="4" s="1"/>
  <c r="E146" i="4" l="1"/>
  <c r="F146" i="4" s="1"/>
  <c r="G146" i="4"/>
  <c r="C147" i="4" s="1"/>
  <c r="D149" i="4"/>
  <c r="D150" i="4" l="1"/>
  <c r="E147" i="4"/>
  <c r="F147" i="4" s="1"/>
  <c r="G147" i="4"/>
  <c r="C148" i="4" s="1"/>
  <c r="E148" i="4" l="1"/>
  <c r="F148" i="4" s="1"/>
  <c r="G148" i="4" s="1"/>
  <c r="C149" i="4" s="1"/>
  <c r="D151" i="4"/>
  <c r="E149" i="4" l="1"/>
  <c r="F149" i="4" s="1"/>
  <c r="G149" i="4" s="1"/>
  <c r="C150" i="4" s="1"/>
  <c r="D152" i="4"/>
  <c r="E150" i="4" l="1"/>
  <c r="F150" i="4" s="1"/>
  <c r="G150" i="4"/>
  <c r="C151" i="4" s="1"/>
  <c r="D153" i="4"/>
  <c r="D154" i="4" l="1"/>
  <c r="E151" i="4"/>
  <c r="F151" i="4" s="1"/>
  <c r="G151" i="4"/>
  <c r="C152" i="4" s="1"/>
  <c r="E152" i="4" l="1"/>
  <c r="F152" i="4" s="1"/>
  <c r="G152" i="4" s="1"/>
  <c r="C153" i="4" s="1"/>
  <c r="D155" i="4"/>
  <c r="E153" i="4" l="1"/>
  <c r="F153" i="4" s="1"/>
  <c r="G153" i="4" s="1"/>
  <c r="C154" i="4" s="1"/>
  <c r="D156" i="4"/>
  <c r="E154" i="4" l="1"/>
  <c r="F154" i="4" s="1"/>
  <c r="G154" i="4"/>
  <c r="C155" i="4" s="1"/>
  <c r="D157" i="4"/>
  <c r="E155" i="4" l="1"/>
  <c r="F155" i="4" s="1"/>
  <c r="G155" i="4"/>
  <c r="C156" i="4" s="1"/>
  <c r="D158" i="4"/>
  <c r="D159" i="4" l="1"/>
  <c r="E156" i="4"/>
  <c r="F156" i="4" s="1"/>
  <c r="G156" i="4" s="1"/>
  <c r="C157" i="4" s="1"/>
  <c r="E157" i="4" l="1"/>
  <c r="F157" i="4" s="1"/>
  <c r="G157" i="4" s="1"/>
  <c r="C158" i="4" s="1"/>
  <c r="D160" i="4"/>
  <c r="E158" i="4" l="1"/>
  <c r="F158" i="4" s="1"/>
  <c r="G158" i="4"/>
  <c r="C159" i="4" s="1"/>
  <c r="D161" i="4"/>
  <c r="E159" i="4" l="1"/>
  <c r="F159" i="4" s="1"/>
  <c r="G159" i="4"/>
  <c r="C160" i="4" s="1"/>
  <c r="D162" i="4"/>
  <c r="D163" i="4" l="1"/>
  <c r="E160" i="4"/>
  <c r="F160" i="4" s="1"/>
  <c r="G160" i="4" s="1"/>
  <c r="C161" i="4" s="1"/>
  <c r="E161" i="4" l="1"/>
  <c r="F161" i="4" s="1"/>
  <c r="G161" i="4" s="1"/>
  <c r="C162" i="4" s="1"/>
  <c r="D164" i="4"/>
  <c r="E162" i="4" l="1"/>
  <c r="F162" i="4" s="1"/>
  <c r="G162" i="4"/>
  <c r="C163" i="4" s="1"/>
  <c r="D165" i="4"/>
  <c r="D166" i="4" l="1"/>
  <c r="E163" i="4"/>
  <c r="F163" i="4" s="1"/>
  <c r="G163" i="4" s="1"/>
  <c r="C164" i="4" s="1"/>
  <c r="E164" i="4" l="1"/>
  <c r="F164" i="4" s="1"/>
  <c r="G164" i="4" s="1"/>
  <c r="C165" i="4" s="1"/>
  <c r="D167" i="4"/>
  <c r="E165" i="4" l="1"/>
  <c r="F165" i="4" s="1"/>
  <c r="G165" i="4" s="1"/>
  <c r="C166" i="4" s="1"/>
  <c r="D168" i="4"/>
  <c r="E166" i="4" l="1"/>
  <c r="F166" i="4" s="1"/>
  <c r="G166" i="4"/>
  <c r="C167" i="4" s="1"/>
  <c r="D169" i="4"/>
  <c r="E167" i="4" l="1"/>
  <c r="F167" i="4" s="1"/>
  <c r="G167" i="4"/>
  <c r="C168" i="4" s="1"/>
  <c r="D170" i="4"/>
  <c r="D171" i="4" l="1"/>
  <c r="E168" i="4"/>
  <c r="F168" i="4" s="1"/>
  <c r="G168" i="4" s="1"/>
  <c r="C169" i="4" s="1"/>
  <c r="E169" i="4" l="1"/>
  <c r="F169" i="4" s="1"/>
  <c r="G169" i="4" s="1"/>
  <c r="C170" i="4" s="1"/>
  <c r="D172" i="4"/>
  <c r="E170" i="4" l="1"/>
  <c r="F170" i="4" s="1"/>
  <c r="G170" i="4"/>
  <c r="C171" i="4" s="1"/>
  <c r="D173" i="4"/>
  <c r="D174" i="4" l="1"/>
  <c r="E171" i="4"/>
  <c r="F171" i="4" s="1"/>
  <c r="G171" i="4"/>
  <c r="C172" i="4" s="1"/>
  <c r="E172" i="4" l="1"/>
  <c r="F172" i="4" s="1"/>
  <c r="G172" i="4" s="1"/>
  <c r="C173" i="4" s="1"/>
  <c r="D175" i="4"/>
  <c r="G173" i="4" l="1"/>
  <c r="C174" i="4" s="1"/>
  <c r="E173" i="4"/>
  <c r="F173" i="4" s="1"/>
  <c r="D176" i="4"/>
  <c r="D177" i="4" l="1"/>
  <c r="E174" i="4"/>
  <c r="F174" i="4" s="1"/>
  <c r="G174" i="4" s="1"/>
  <c r="C175" i="4" s="1"/>
  <c r="E175" i="4" l="1"/>
  <c r="F175" i="4" s="1"/>
  <c r="G175" i="4"/>
  <c r="C176" i="4" s="1"/>
  <c r="D178" i="4"/>
  <c r="D179" i="4" l="1"/>
  <c r="E176" i="4"/>
  <c r="F176" i="4" s="1"/>
  <c r="G176" i="4" s="1"/>
  <c r="C177" i="4" s="1"/>
  <c r="E177" i="4" l="1"/>
  <c r="F177" i="4" s="1"/>
  <c r="G177" i="4" s="1"/>
  <c r="C178" i="4" s="1"/>
  <c r="D180" i="4"/>
  <c r="E178" i="4" l="1"/>
  <c r="F178" i="4" s="1"/>
  <c r="G178" i="4"/>
  <c r="C179" i="4" s="1"/>
  <c r="D181" i="4"/>
  <c r="D182" i="4" l="1"/>
  <c r="E179" i="4"/>
  <c r="F179" i="4" s="1"/>
  <c r="G179" i="4"/>
  <c r="C180" i="4" s="1"/>
  <c r="E180" i="4" l="1"/>
  <c r="F180" i="4" s="1"/>
  <c r="G180" i="4" s="1"/>
  <c r="C181" i="4" s="1"/>
  <c r="D183" i="4"/>
  <c r="E181" i="4" l="1"/>
  <c r="F181" i="4" s="1"/>
  <c r="G181" i="4" s="1"/>
  <c r="C182" i="4" s="1"/>
  <c r="D184" i="4"/>
  <c r="E182" i="4" l="1"/>
  <c r="F182" i="4" s="1"/>
  <c r="G182" i="4"/>
  <c r="C183" i="4" s="1"/>
  <c r="D185" i="4"/>
  <c r="D186" i="4" l="1"/>
  <c r="E183" i="4"/>
  <c r="F183" i="4" s="1"/>
  <c r="G183" i="4"/>
  <c r="C184" i="4" s="1"/>
  <c r="E184" i="4" l="1"/>
  <c r="F184" i="4" s="1"/>
  <c r="G184" i="4" s="1"/>
  <c r="C185" i="4" s="1"/>
  <c r="D187" i="4"/>
  <c r="E185" i="4" l="1"/>
  <c r="F185" i="4" s="1"/>
  <c r="G185" i="4" s="1"/>
  <c r="C186" i="4" s="1"/>
  <c r="D188" i="4"/>
  <c r="E186" i="4" l="1"/>
  <c r="F186" i="4" s="1"/>
  <c r="G186" i="4"/>
  <c r="C187" i="4" s="1"/>
  <c r="D189" i="4"/>
  <c r="D190" i="4" l="1"/>
  <c r="E187" i="4"/>
  <c r="F187" i="4" s="1"/>
  <c r="G187" i="4"/>
  <c r="C188" i="4" s="1"/>
  <c r="E188" i="4" l="1"/>
  <c r="F188" i="4" s="1"/>
  <c r="G188" i="4" s="1"/>
  <c r="C189" i="4" s="1"/>
  <c r="D191" i="4"/>
  <c r="E189" i="4" l="1"/>
  <c r="F189" i="4" s="1"/>
  <c r="G189" i="4" s="1"/>
  <c r="C190" i="4" s="1"/>
  <c r="D192" i="4"/>
  <c r="E190" i="4" l="1"/>
  <c r="F190" i="4" s="1"/>
  <c r="G190" i="4"/>
  <c r="C191" i="4" s="1"/>
  <c r="D193" i="4"/>
  <c r="D194" i="4" l="1"/>
  <c r="E191" i="4"/>
  <c r="F191" i="4" s="1"/>
  <c r="G191" i="4"/>
  <c r="C192" i="4" s="1"/>
  <c r="E192" i="4" l="1"/>
  <c r="F192" i="4" s="1"/>
  <c r="G192" i="4" s="1"/>
  <c r="C193" i="4" s="1"/>
  <c r="D195" i="4"/>
  <c r="E193" i="4" l="1"/>
  <c r="F193" i="4" s="1"/>
  <c r="G193" i="4" s="1"/>
  <c r="C194" i="4" s="1"/>
  <c r="D196" i="4"/>
  <c r="E194" i="4" l="1"/>
  <c r="F194" i="4" s="1"/>
  <c r="G194" i="4"/>
  <c r="C195" i="4" s="1"/>
  <c r="D197" i="4"/>
  <c r="D198" i="4" l="1"/>
  <c r="E195" i="4"/>
  <c r="F195" i="4" s="1"/>
  <c r="G195" i="4"/>
  <c r="C196" i="4" s="1"/>
  <c r="E196" i="4" l="1"/>
  <c r="F196" i="4" s="1"/>
  <c r="G196" i="4" s="1"/>
  <c r="C197" i="4" s="1"/>
  <c r="D199" i="4"/>
  <c r="E197" i="4" l="1"/>
  <c r="F197" i="4" s="1"/>
  <c r="G197" i="4" s="1"/>
  <c r="C198" i="4" s="1"/>
  <c r="D200" i="4"/>
  <c r="E198" i="4" l="1"/>
  <c r="F198" i="4" s="1"/>
  <c r="G198" i="4"/>
  <c r="C199" i="4" s="1"/>
  <c r="D201" i="4"/>
  <c r="D202" i="4" l="1"/>
  <c r="E199" i="4"/>
  <c r="F199" i="4" s="1"/>
  <c r="G199" i="4" s="1"/>
  <c r="C200" i="4" s="1"/>
  <c r="E200" i="4" l="1"/>
  <c r="F200" i="4" s="1"/>
  <c r="G200" i="4" s="1"/>
  <c r="C201" i="4" s="1"/>
  <c r="D203" i="4"/>
  <c r="E201" i="4" l="1"/>
  <c r="F201" i="4" s="1"/>
  <c r="G201" i="4" s="1"/>
  <c r="C202" i="4" s="1"/>
  <c r="D204" i="4"/>
  <c r="E202" i="4" l="1"/>
  <c r="F202" i="4" s="1"/>
  <c r="G202" i="4"/>
  <c r="C203" i="4" s="1"/>
  <c r="D205" i="4"/>
  <c r="D206" i="4" l="1"/>
  <c r="E203" i="4"/>
  <c r="F203" i="4" s="1"/>
  <c r="G203" i="4" s="1"/>
  <c r="C204" i="4" s="1"/>
  <c r="E204" i="4" l="1"/>
  <c r="F204" i="4" s="1"/>
  <c r="G204" i="4" s="1"/>
  <c r="C205" i="4" s="1"/>
  <c r="D207" i="4"/>
  <c r="E205" i="4" l="1"/>
  <c r="F205" i="4" s="1"/>
  <c r="G205" i="4" s="1"/>
  <c r="C206" i="4" s="1"/>
  <c r="D208" i="4"/>
  <c r="E206" i="4" l="1"/>
  <c r="F206" i="4" s="1"/>
  <c r="G206" i="4"/>
  <c r="C207" i="4" s="1"/>
  <c r="D209" i="4"/>
  <c r="D210" i="4" l="1"/>
  <c r="E207" i="4"/>
  <c r="F207" i="4" s="1"/>
  <c r="G207" i="4" s="1"/>
  <c r="C208" i="4" s="1"/>
  <c r="E208" i="4" l="1"/>
  <c r="F208" i="4" s="1"/>
  <c r="G208" i="4" s="1"/>
  <c r="C209" i="4" s="1"/>
  <c r="D211" i="4"/>
  <c r="E209" i="4" l="1"/>
  <c r="F209" i="4" s="1"/>
  <c r="G209" i="4" s="1"/>
  <c r="C210" i="4" s="1"/>
  <c r="D212" i="4"/>
  <c r="E210" i="4" l="1"/>
  <c r="F210" i="4" s="1"/>
  <c r="G210" i="4"/>
  <c r="C211" i="4" s="1"/>
  <c r="D213" i="4"/>
  <c r="D214" i="4" l="1"/>
  <c r="E211" i="4"/>
  <c r="F211" i="4" s="1"/>
  <c r="G211" i="4"/>
  <c r="C212" i="4" s="1"/>
  <c r="E212" i="4" l="1"/>
  <c r="F212" i="4" s="1"/>
  <c r="G212" i="4" s="1"/>
  <c r="C213" i="4" s="1"/>
  <c r="D215" i="4"/>
  <c r="E213" i="4" l="1"/>
  <c r="F213" i="4" s="1"/>
  <c r="G213" i="4" s="1"/>
  <c r="C214" i="4" s="1"/>
  <c r="D216" i="4"/>
  <c r="E214" i="4" l="1"/>
  <c r="F214" i="4" s="1"/>
  <c r="G214" i="4"/>
  <c r="C215" i="4" s="1"/>
  <c r="D217" i="4"/>
  <c r="D218" i="4" l="1"/>
  <c r="E215" i="4"/>
  <c r="F215" i="4" s="1"/>
  <c r="G215" i="4"/>
  <c r="C216" i="4" s="1"/>
  <c r="E216" i="4" l="1"/>
  <c r="F216" i="4" s="1"/>
  <c r="G216" i="4" s="1"/>
  <c r="C217" i="4" s="1"/>
  <c r="D219" i="4"/>
  <c r="E217" i="4" l="1"/>
  <c r="F217" i="4" s="1"/>
  <c r="G217" i="4" s="1"/>
  <c r="C218" i="4" s="1"/>
  <c r="D220" i="4"/>
  <c r="E218" i="4" l="1"/>
  <c r="F218" i="4" s="1"/>
  <c r="G218" i="4"/>
  <c r="C219" i="4" s="1"/>
  <c r="D221" i="4"/>
  <c r="D222" i="4" l="1"/>
  <c r="E219" i="4"/>
  <c r="F219" i="4" s="1"/>
  <c r="G219" i="4"/>
  <c r="C220" i="4" s="1"/>
  <c r="E220" i="4" l="1"/>
  <c r="F220" i="4" s="1"/>
  <c r="G220" i="4" s="1"/>
  <c r="C221" i="4" s="1"/>
  <c r="D223" i="4"/>
  <c r="E221" i="4" l="1"/>
  <c r="F221" i="4" s="1"/>
  <c r="G221" i="4" s="1"/>
  <c r="C222" i="4" s="1"/>
  <c r="D224" i="4"/>
  <c r="E222" i="4" l="1"/>
  <c r="F222" i="4" s="1"/>
  <c r="G222" i="4" s="1"/>
  <c r="C223" i="4" s="1"/>
  <c r="D225" i="4"/>
  <c r="E223" i="4" l="1"/>
  <c r="F223" i="4" s="1"/>
  <c r="G223" i="4"/>
  <c r="C224" i="4" s="1"/>
  <c r="E224" i="4" l="1"/>
  <c r="F224" i="4" s="1"/>
  <c r="G224" i="4" s="1"/>
  <c r="C225" i="4" s="1"/>
  <c r="E225" i="4" l="1"/>
  <c r="F225" i="4" s="1"/>
  <c r="G225" i="4" s="1"/>
</calcChain>
</file>

<file path=xl/sharedStrings.xml><?xml version="1.0" encoding="utf-8"?>
<sst xmlns="http://schemas.openxmlformats.org/spreadsheetml/2006/main" count="317" uniqueCount="177">
  <si>
    <t>1.)</t>
  </si>
  <si>
    <t>Valor Futuro</t>
  </si>
  <si>
    <t>Flujo</t>
  </si>
  <si>
    <t>Capitalizacion Anual</t>
  </si>
  <si>
    <t>Inversion</t>
  </si>
  <si>
    <t>Tasa</t>
  </si>
  <si>
    <t>Años</t>
  </si>
  <si>
    <t>2.)</t>
  </si>
  <si>
    <t>Anualidad</t>
  </si>
  <si>
    <t>Capitalizacion Mensual</t>
  </si>
  <si>
    <t>Valor Presente</t>
  </si>
  <si>
    <t xml:space="preserve">Capitalizacion  </t>
  </si>
  <si>
    <t>Si me la ofrecen a 175,000.00 no deberia de comprarla</t>
  </si>
  <si>
    <t>3.)</t>
  </si>
  <si>
    <t>Cuota Mensual</t>
  </si>
  <si>
    <t>Deuda</t>
  </si>
  <si>
    <t>Años (b)</t>
  </si>
  <si>
    <t>Cuotas</t>
  </si>
  <si>
    <t>Cuotas (b)</t>
  </si>
  <si>
    <t>Cuota Mensual (b)</t>
  </si>
  <si>
    <t>4.)</t>
  </si>
  <si>
    <t>Pago Mensual</t>
  </si>
  <si>
    <t>Incremento Anual</t>
  </si>
  <si>
    <t>Ahorro</t>
  </si>
  <si>
    <t>Año 1</t>
  </si>
  <si>
    <t>Año 2</t>
  </si>
  <si>
    <t>Año 3</t>
  </si>
  <si>
    <t>Meses</t>
  </si>
  <si>
    <t>5.)</t>
  </si>
  <si>
    <t>Tasa Anual</t>
  </si>
  <si>
    <t>6.)</t>
  </si>
  <si>
    <t>Capitalizacion Trimestral</t>
  </si>
  <si>
    <t>Tasa Periodica</t>
  </si>
  <si>
    <t>TAE</t>
  </si>
  <si>
    <t>Valor Inversion (TP)</t>
  </si>
  <si>
    <t>Valor Inversion (TAE)</t>
  </si>
  <si>
    <t>7.)</t>
  </si>
  <si>
    <t>Acciones</t>
  </si>
  <si>
    <t xml:space="preserve">Dividendo x accion </t>
  </si>
  <si>
    <t>Crecimiento Anual</t>
  </si>
  <si>
    <t>Valor inversion</t>
  </si>
  <si>
    <t>Valor (B)</t>
  </si>
  <si>
    <t>Divididendo minimo (b)</t>
  </si>
  <si>
    <t>8.)</t>
  </si>
  <si>
    <t>Capitalizacion Semestral</t>
  </si>
  <si>
    <t xml:space="preserve">Valor Futuro </t>
  </si>
  <si>
    <t>Tasa semestral</t>
  </si>
  <si>
    <t>Deposito Semestral</t>
  </si>
  <si>
    <t>RESPUESTAS</t>
  </si>
  <si>
    <t>Juan</t>
  </si>
  <si>
    <t>Lorena</t>
  </si>
  <si>
    <t>Despues de 15 años tendra mas Lorena</t>
  </si>
  <si>
    <t>Serian 10,000 exactos.</t>
  </si>
  <si>
    <t>Valor Futuro (B)</t>
  </si>
  <si>
    <t>Prestamo</t>
  </si>
  <si>
    <t>Cuota Anual (a)</t>
  </si>
  <si>
    <t>b.)</t>
  </si>
  <si>
    <t>Periodo</t>
  </si>
  <si>
    <t>Saldo Inicial</t>
  </si>
  <si>
    <t>Cuota</t>
  </si>
  <si>
    <t>Intereses</t>
  </si>
  <si>
    <t>Abono de capital</t>
  </si>
  <si>
    <t>Saldo Final</t>
  </si>
  <si>
    <t>c.)</t>
  </si>
  <si>
    <t>Precio</t>
  </si>
  <si>
    <t>Regalo</t>
  </si>
  <si>
    <t>Mensual</t>
  </si>
  <si>
    <t>Anual</t>
  </si>
  <si>
    <t>Prestamo (a)</t>
  </si>
  <si>
    <t>Años (a)</t>
  </si>
  <si>
    <t>Tasa (b)</t>
  </si>
  <si>
    <t>Le conviene mas en el trabajo, ya que ahí la tasa es mas baja</t>
  </si>
  <si>
    <t>Enganche</t>
  </si>
  <si>
    <t>Mensualmente</t>
  </si>
  <si>
    <t>Pago Mensual (a)</t>
  </si>
  <si>
    <t>Saldo Pendiente (5año) (b)</t>
  </si>
  <si>
    <t>Interes M.61 ©</t>
  </si>
  <si>
    <t>Extra-Financiamiento</t>
  </si>
  <si>
    <t>Tasa Mensual</t>
  </si>
  <si>
    <t>Pago Anual</t>
  </si>
  <si>
    <t>Requiere</t>
  </si>
  <si>
    <t>Plazo Años</t>
  </si>
  <si>
    <t>Tasa Cupon</t>
  </si>
  <si>
    <t>Valor Nominal Bono</t>
  </si>
  <si>
    <t>Tasa Rendimiento</t>
  </si>
  <si>
    <t>Pago</t>
  </si>
  <si>
    <t>Valor Presente (a)</t>
  </si>
  <si>
    <t>Total Bonos</t>
  </si>
  <si>
    <t>Recaudacion (b)</t>
  </si>
  <si>
    <t>Prestamo Inicial</t>
  </si>
  <si>
    <t xml:space="preserve">Años </t>
  </si>
  <si>
    <t>Saldo Final ( año 10) (a)</t>
  </si>
  <si>
    <t>Nueva cuota (b) Anual</t>
  </si>
  <si>
    <t xml:space="preserve">Mensual </t>
  </si>
  <si>
    <t>N. Prestamo</t>
  </si>
  <si>
    <t>Ahorro Total ©</t>
  </si>
  <si>
    <t>Costo por cancelacion</t>
  </si>
  <si>
    <t>P. Cuota</t>
  </si>
  <si>
    <t>Nueva Cuota</t>
  </si>
  <si>
    <t>Venta (2 años despues)</t>
  </si>
  <si>
    <t>Valor Terreno</t>
  </si>
  <si>
    <t>Tasa de Descuento</t>
  </si>
  <si>
    <t>Valor Actual (a)</t>
  </si>
  <si>
    <t>Valor neto(b)</t>
  </si>
  <si>
    <t>Primer Año</t>
  </si>
  <si>
    <t>Incremento Perpetuo</t>
  </si>
  <si>
    <t>Perpetuidad</t>
  </si>
  <si>
    <t>9.)</t>
  </si>
  <si>
    <t>Proyecto A</t>
  </si>
  <si>
    <t>Proyecto B</t>
  </si>
  <si>
    <t xml:space="preserve">Tasa </t>
  </si>
  <si>
    <t>VA  (8%) (a)</t>
  </si>
  <si>
    <t>Recomendaria la opcion A con 8%</t>
  </si>
  <si>
    <t>VA (10%)(b)</t>
  </si>
  <si>
    <t>No recomendaria ni una VA&lt; Inversion</t>
  </si>
  <si>
    <t>10.)</t>
  </si>
  <si>
    <t>Valor NM</t>
  </si>
  <si>
    <t>Depreciacion</t>
  </si>
  <si>
    <t>Ajuste Instalaciones</t>
  </si>
  <si>
    <t>Ahorro M.Obra</t>
  </si>
  <si>
    <t>Ahorros Anuales</t>
  </si>
  <si>
    <t>Ahorro Mant.</t>
  </si>
  <si>
    <t>Nuevo Mantenimiento</t>
  </si>
  <si>
    <t>Antiguo Mantenimiento</t>
  </si>
  <si>
    <t>Utilidad Bruta</t>
  </si>
  <si>
    <t>Vida Maquinaria</t>
  </si>
  <si>
    <t>Gastos</t>
  </si>
  <si>
    <t>Fiscalmente</t>
  </si>
  <si>
    <t>años</t>
  </si>
  <si>
    <t>Utilidad Operativa</t>
  </si>
  <si>
    <t>Tasa impuestos</t>
  </si>
  <si>
    <t>Impuestos</t>
  </si>
  <si>
    <t>Tasa de descuento</t>
  </si>
  <si>
    <t>NOPAT</t>
  </si>
  <si>
    <t>Flujo Caja Libre (a)</t>
  </si>
  <si>
    <t>Capital Trabajo Neto</t>
  </si>
  <si>
    <t>Flujo Operativo</t>
  </si>
  <si>
    <t>Flujo Inversion</t>
  </si>
  <si>
    <t>Flujo de Caja Libre</t>
  </si>
  <si>
    <t>Valor Proyecto (b)</t>
  </si>
  <si>
    <t>Valor Presente Neto</t>
  </si>
  <si>
    <t xml:space="preserve"> </t>
  </si>
  <si>
    <t>Opcion A</t>
  </si>
  <si>
    <t>Opcion B</t>
  </si>
  <si>
    <t>Reventa</t>
  </si>
  <si>
    <t>VA Reventa</t>
  </si>
  <si>
    <t>Valor</t>
  </si>
  <si>
    <t>a.) Sale mas barato la opcion A</t>
  </si>
  <si>
    <t xml:space="preserve">b.) Es mas barato por </t>
  </si>
  <si>
    <t xml:space="preserve">Capitalizacion </t>
  </si>
  <si>
    <t>Años (Retiro)</t>
  </si>
  <si>
    <t>Años (posteriores)</t>
  </si>
  <si>
    <t>(a) D. Dia del Retiro</t>
  </si>
  <si>
    <t>Dinero Actual</t>
  </si>
  <si>
    <t>(b) Cuota Mensual</t>
  </si>
  <si>
    <t>Renta Actual</t>
  </si>
  <si>
    <t>Mantenimiento</t>
  </si>
  <si>
    <t>Incremento</t>
  </si>
  <si>
    <t>Año 11, perpetuidad</t>
  </si>
  <si>
    <t>Valor Propiedad (a)</t>
  </si>
  <si>
    <t>Valor Nominal</t>
  </si>
  <si>
    <t>Capitalizacion</t>
  </si>
  <si>
    <t>Tasa Rendimiento (a)</t>
  </si>
  <si>
    <t>Tasa (a)</t>
  </si>
  <si>
    <t>Pagos</t>
  </si>
  <si>
    <t>Tasa Semestral</t>
  </si>
  <si>
    <t>Precio (a)</t>
  </si>
  <si>
    <t>Tasa Semestral (a)</t>
  </si>
  <si>
    <t>Tasa Semestral(b)</t>
  </si>
  <si>
    <t>Tasa ©</t>
  </si>
  <si>
    <t>Tasa Semestral ©</t>
  </si>
  <si>
    <t>Precio (b)</t>
  </si>
  <si>
    <t>Precio ©</t>
  </si>
  <si>
    <t>Si la tasa es mayor a la tasa cupon entonces el precio baja y viceversa</t>
  </si>
  <si>
    <t>Ventas Incrementales</t>
  </si>
  <si>
    <t>RETORNO (a)</t>
  </si>
  <si>
    <t xml:space="preserve">RETORNO (b)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</si>
</sst>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Q&quot;#,##0.00;[Red]\-&quot;Q&quot;#,##0.00"/>
    <numFmt numFmtId="44" formatCode="_-&quot;Q&quot;* #,##0.00_-;\-&quot;Q&quot;* #,##0.00_-;_-&quot;Q&quot;* &quot;-&quot;??_-;_-@_-"/>
    <numFmt numFmtId="43" formatCode="_-* #,##0.00_-;\-* #,##0.00_-;_-* &quot;-&quot;??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0" fillId="0" borderId="1" xfId="0" applyBorder="1"/>
    <xf numFmtId="44" fontId="0" fillId="0" borderId="1" xfId="2" applyFont="1" applyBorder="1"/>
    <xf numFmtId="9" fontId="0" fillId="0" borderId="1" xfId="0" applyNumberFormat="1" applyBorder="1"/>
    <xf numFmtId="8" fontId="0" fillId="0" borderId="1" xfId="0" applyNumberFormat="1" applyBorder="1"/>
    <xf numFmtId="0" fontId="0" fillId="0" borderId="1" xfId="0" applyFill="1" applyBorder="1"/>
    <xf numFmtId="10" fontId="0" fillId="0" borderId="1" xfId="0" applyNumberFormat="1" applyBorder="1"/>
    <xf numFmtId="0" fontId="0" fillId="4" borderId="1" xfId="0" applyFill="1" applyBorder="1"/>
    <xf numFmtId="8" fontId="0" fillId="4" borderId="1" xfId="0" applyNumberFormat="1" applyFill="1" applyBorder="1"/>
    <xf numFmtId="44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8" fontId="0" fillId="0" borderId="7" xfId="0" applyNumberFormat="1" applyBorder="1"/>
    <xf numFmtId="0" fontId="0" fillId="3" borderId="1" xfId="0" applyFill="1" applyBorder="1"/>
    <xf numFmtId="8" fontId="0" fillId="3" borderId="1" xfId="0" applyNumberFormat="1" applyFill="1" applyBorder="1"/>
    <xf numFmtId="0" fontId="2" fillId="3" borderId="1" xfId="0" applyFont="1" applyFill="1" applyBorder="1"/>
    <xf numFmtId="8" fontId="2" fillId="3" borderId="1" xfId="0" applyNumberFormat="1" applyFont="1" applyFill="1" applyBorder="1"/>
    <xf numFmtId="0" fontId="3" fillId="3" borderId="2" xfId="0" applyFont="1" applyFill="1" applyBorder="1"/>
    <xf numFmtId="0" fontId="0" fillId="0" borderId="1" xfId="0" applyBorder="1" applyAlignment="1">
      <alignment horizontal="center"/>
    </xf>
    <xf numFmtId="0" fontId="4" fillId="0" borderId="3" xfId="0" applyFont="1" applyBorder="1"/>
    <xf numFmtId="0" fontId="4" fillId="0" borderId="1" xfId="0" applyFont="1" applyBorder="1" applyAlignment="1"/>
    <xf numFmtId="0" fontId="4" fillId="0" borderId="4" xfId="0" applyFont="1" applyBorder="1"/>
    <xf numFmtId="0" fontId="4" fillId="0" borderId="5" xfId="0" applyFont="1" applyBorder="1"/>
    <xf numFmtId="0" fontId="4" fillId="0" borderId="0" xfId="0" applyFont="1"/>
    <xf numFmtId="0" fontId="5" fillId="3" borderId="2" xfId="0" applyFont="1" applyFill="1" applyBorder="1"/>
    <xf numFmtId="0" fontId="4" fillId="0" borderId="6" xfId="0" applyFont="1" applyBorder="1"/>
    <xf numFmtId="0" fontId="4" fillId="0" borderId="0" xfId="0" applyFont="1" applyBorder="1"/>
    <xf numFmtId="0" fontId="4" fillId="0" borderId="7" xfId="0" applyFont="1" applyBorder="1"/>
    <xf numFmtId="9" fontId="4" fillId="0" borderId="1" xfId="0" applyNumberFormat="1" applyFont="1" applyBorder="1" applyAlignment="1"/>
    <xf numFmtId="0" fontId="4" fillId="3" borderId="1" xfId="0" applyFont="1" applyFill="1" applyBorder="1" applyAlignment="1"/>
    <xf numFmtId="8" fontId="4" fillId="3" borderId="1" xfId="0" applyNumberFormat="1" applyFont="1" applyFill="1" applyBorder="1"/>
    <xf numFmtId="0" fontId="4" fillId="0" borderId="0" xfId="0" applyFont="1" applyBorder="1" applyAlignment="1"/>
    <xf numFmtId="0" fontId="5" fillId="0" borderId="1" xfId="0" applyFont="1" applyBorder="1"/>
    <xf numFmtId="0" fontId="4" fillId="0" borderId="1" xfId="0" applyFont="1" applyBorder="1"/>
    <xf numFmtId="8" fontId="4" fillId="0" borderId="1" xfId="0" applyNumberFormat="1" applyFont="1" applyBorder="1"/>
    <xf numFmtId="43" fontId="4" fillId="0" borderId="1" xfId="1" applyFont="1" applyBorder="1"/>
    <xf numFmtId="43" fontId="4" fillId="0" borderId="1" xfId="0" applyNumberFormat="1" applyFont="1" applyBorder="1"/>
    <xf numFmtId="9" fontId="4" fillId="0" borderId="7" xfId="3" applyFont="1" applyBorder="1"/>
    <xf numFmtId="9" fontId="4" fillId="0" borderId="0" xfId="3" applyFont="1"/>
    <xf numFmtId="0" fontId="4" fillId="0" borderId="8" xfId="0" applyFont="1" applyBorder="1"/>
    <xf numFmtId="0" fontId="4" fillId="0" borderId="11" xfId="0" applyFont="1" applyBorder="1"/>
    <xf numFmtId="0" fontId="4" fillId="0" borderId="10" xfId="0" applyFont="1" applyBorder="1"/>
    <xf numFmtId="0" fontId="4" fillId="0" borderId="12" xfId="0" applyFont="1" applyBorder="1"/>
    <xf numFmtId="44" fontId="4" fillId="0" borderId="12" xfId="2" applyFont="1" applyBorder="1"/>
    <xf numFmtId="44" fontId="4" fillId="0" borderId="1" xfId="2" applyFont="1" applyBorder="1"/>
    <xf numFmtId="10" fontId="4" fillId="0" borderId="1" xfId="0" applyNumberFormat="1" applyFont="1" applyBorder="1"/>
    <xf numFmtId="10" fontId="4" fillId="3" borderId="1" xfId="3" applyNumberFormat="1" applyFont="1" applyFill="1" applyBorder="1"/>
    <xf numFmtId="0" fontId="4" fillId="0" borderId="24" xfId="0" applyFont="1" applyBorder="1"/>
    <xf numFmtId="9" fontId="4" fillId="3" borderId="24" xfId="0" applyNumberFormat="1" applyFont="1" applyFill="1" applyBorder="1"/>
    <xf numFmtId="44" fontId="4" fillId="0" borderId="4" xfId="2" applyFont="1" applyBorder="1"/>
    <xf numFmtId="44" fontId="4" fillId="0" borderId="0" xfId="2" applyFont="1" applyBorder="1"/>
    <xf numFmtId="10" fontId="4" fillId="0" borderId="0" xfId="0" applyNumberFormat="1" applyFont="1" applyBorder="1"/>
    <xf numFmtId="10" fontId="4" fillId="0" borderId="0" xfId="3" applyNumberFormat="1" applyFont="1" applyBorder="1"/>
    <xf numFmtId="0" fontId="4" fillId="3" borderId="1" xfId="0" applyFont="1" applyFill="1" applyBorder="1"/>
    <xf numFmtId="44" fontId="4" fillId="3" borderId="1" xfId="0" applyNumberFormat="1" applyFont="1" applyFill="1" applyBorder="1"/>
    <xf numFmtId="44" fontId="4" fillId="0" borderId="1" xfId="0" applyNumberFormat="1" applyFont="1" applyBorder="1"/>
    <xf numFmtId="0" fontId="5" fillId="0" borderId="0" xfId="0" applyFont="1" applyBorder="1"/>
    <xf numFmtId="0" fontId="5" fillId="0" borderId="7" xfId="0" applyFont="1" applyBorder="1"/>
    <xf numFmtId="9" fontId="4" fillId="0" borderId="1" xfId="3" applyFont="1" applyBorder="1"/>
    <xf numFmtId="9" fontId="4" fillId="0" borderId="0" xfId="0" applyNumberFormat="1" applyFont="1" applyBorder="1"/>
    <xf numFmtId="8" fontId="4" fillId="0" borderId="0" xfId="0" applyNumberFormat="1" applyFont="1" applyBorder="1"/>
    <xf numFmtId="44" fontId="4" fillId="0" borderId="0" xfId="0" applyNumberFormat="1" applyFont="1" applyBorder="1"/>
    <xf numFmtId="44" fontId="4" fillId="0" borderId="7" xfId="0" applyNumberFormat="1" applyFont="1" applyBorder="1"/>
    <xf numFmtId="9" fontId="4" fillId="0" borderId="1" xfId="0" applyNumberFormat="1" applyFont="1" applyBorder="1"/>
    <xf numFmtId="44" fontId="4" fillId="0" borderId="5" xfId="0" applyNumberFormat="1" applyFont="1" applyBorder="1"/>
    <xf numFmtId="0" fontId="4" fillId="0" borderId="23" xfId="0" applyFont="1" applyBorder="1"/>
    <xf numFmtId="0" fontId="4" fillId="3" borderId="23" xfId="0" applyFont="1" applyFill="1" applyBorder="1"/>
    <xf numFmtId="44" fontId="4" fillId="0" borderId="0" xfId="2" applyFont="1"/>
    <xf numFmtId="0" fontId="4" fillId="0" borderId="22" xfId="0" applyFont="1" applyBorder="1"/>
    <xf numFmtId="44" fontId="4" fillId="0" borderId="13" xfId="2" applyFont="1" applyBorder="1"/>
    <xf numFmtId="0" fontId="4" fillId="0" borderId="13" xfId="0" applyFont="1" applyBorder="1"/>
    <xf numFmtId="44" fontId="4" fillId="0" borderId="13" xfId="0" applyNumberFormat="1" applyFont="1" applyBorder="1"/>
    <xf numFmtId="44" fontId="4" fillId="3" borderId="13" xfId="0" applyNumberFormat="1" applyFont="1" applyFill="1" applyBorder="1"/>
    <xf numFmtId="8" fontId="4" fillId="3" borderId="9" xfId="0" applyNumberFormat="1" applyFont="1" applyFill="1" applyBorder="1"/>
    <xf numFmtId="44" fontId="0" fillId="4" borderId="1" xfId="0" applyNumberFormat="1" applyFill="1" applyBorder="1" applyAlignment="1"/>
    <xf numFmtId="10" fontId="0" fillId="4" borderId="1" xfId="3" applyNumberFormat="1" applyFont="1" applyFill="1" applyBorder="1"/>
    <xf numFmtId="9" fontId="0" fillId="0" borderId="12" xfId="0" applyNumberFormat="1" applyBorder="1"/>
    <xf numFmtId="8" fontId="0" fillId="0" borderId="1" xfId="2" applyNumberFormat="1" applyFont="1" applyBorder="1"/>
    <xf numFmtId="0" fontId="0" fillId="5" borderId="1" xfId="0" applyFill="1" applyBorder="1"/>
    <xf numFmtId="44" fontId="0" fillId="0" borderId="12" xfId="2" applyFont="1" applyBorder="1"/>
    <xf numFmtId="0" fontId="0" fillId="5" borderId="12" xfId="0" applyFill="1" applyBorder="1"/>
    <xf numFmtId="43" fontId="0" fillId="5" borderId="12" xfId="1" applyFont="1" applyFill="1" applyBorder="1"/>
    <xf numFmtId="43" fontId="0" fillId="5" borderId="12" xfId="0" applyNumberFormat="1" applyFill="1" applyBorder="1"/>
    <xf numFmtId="43" fontId="0" fillId="5" borderId="22" xfId="0" applyNumberFormat="1" applyFill="1" applyBorder="1"/>
    <xf numFmtId="0" fontId="0" fillId="5" borderId="13" xfId="0" applyFill="1" applyBorder="1"/>
    <xf numFmtId="44" fontId="0" fillId="0" borderId="13" xfId="0" applyNumberFormat="1" applyBorder="1"/>
    <xf numFmtId="8" fontId="0" fillId="0" borderId="13" xfId="2" applyNumberFormat="1" applyFont="1" applyBorder="1"/>
    <xf numFmtId="10" fontId="0" fillId="4" borderId="1" xfId="0" applyNumberFormat="1" applyFill="1" applyBorder="1"/>
    <xf numFmtId="9" fontId="0" fillId="0" borderId="1" xfId="3" applyFont="1" applyBorder="1"/>
    <xf numFmtId="0" fontId="0" fillId="0" borderId="0" xfId="0" applyFill="1" applyBorder="1"/>
    <xf numFmtId="44" fontId="0" fillId="0" borderId="4" xfId="2" applyFont="1" applyBorder="1"/>
    <xf numFmtId="0" fontId="0" fillId="2" borderId="1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6" fillId="0" borderId="3" xfId="0" applyFont="1" applyBorder="1"/>
    <xf numFmtId="0" fontId="6" fillId="2" borderId="12" xfId="0" applyFont="1" applyFill="1" applyBorder="1" applyAlignment="1">
      <alignment horizontal="center"/>
    </xf>
    <xf numFmtId="0" fontId="6" fillId="0" borderId="5" xfId="0" applyFont="1" applyBorder="1"/>
    <xf numFmtId="0" fontId="6" fillId="0" borderId="0" xfId="0" applyFont="1"/>
    <xf numFmtId="0" fontId="6" fillId="4" borderId="2" xfId="0" applyFont="1" applyFill="1" applyBorder="1"/>
    <xf numFmtId="0" fontId="6" fillId="0" borderId="6" xfId="0" applyFont="1" applyBorder="1"/>
    <xf numFmtId="0" fontId="6" fillId="2" borderId="1" xfId="0" applyFont="1" applyFill="1" applyBorder="1" applyAlignment="1">
      <alignment horizontal="center"/>
    </xf>
    <xf numFmtId="0" fontId="6" fillId="0" borderId="7" xfId="0" applyFont="1" applyBorder="1"/>
    <xf numFmtId="0" fontId="6" fillId="0" borderId="14" xfId="0" applyFont="1" applyBorder="1"/>
    <xf numFmtId="44" fontId="6" fillId="0" borderId="1" xfId="2" applyFont="1" applyBorder="1"/>
    <xf numFmtId="0" fontId="6" fillId="0" borderId="7" xfId="0" applyFont="1" applyBorder="1" applyAlignment="1">
      <alignment horizontal="center"/>
    </xf>
    <xf numFmtId="0" fontId="6" fillId="0" borderId="1" xfId="0" applyFont="1" applyBorder="1"/>
    <xf numFmtId="9" fontId="6" fillId="0" borderId="1" xfId="0" applyNumberFormat="1" applyFont="1" applyBorder="1"/>
    <xf numFmtId="14" fontId="6" fillId="0" borderId="1" xfId="0" applyNumberFormat="1" applyFont="1" applyBorder="1"/>
    <xf numFmtId="0" fontId="6" fillId="0" borderId="8" xfId="0" applyFont="1" applyBorder="1"/>
    <xf numFmtId="0" fontId="6" fillId="4" borderId="9" xfId="0" applyFont="1" applyFill="1" applyBorder="1"/>
    <xf numFmtId="8" fontId="6" fillId="4" borderId="9" xfId="0" applyNumberFormat="1" applyFont="1" applyFill="1" applyBorder="1"/>
    <xf numFmtId="0" fontId="6" fillId="0" borderId="10" xfId="0" applyFont="1" applyBorder="1"/>
    <xf numFmtId="0" fontId="6" fillId="0" borderId="4" xfId="0" applyFont="1" applyBorder="1"/>
    <xf numFmtId="0" fontId="6" fillId="0" borderId="0" xfId="0" applyFont="1" applyBorder="1"/>
    <xf numFmtId="44" fontId="6" fillId="0" borderId="14" xfId="2" applyFont="1" applyBorder="1"/>
    <xf numFmtId="0" fontId="6" fillId="4" borderId="1" xfId="0" applyFont="1" applyFill="1" applyBorder="1"/>
    <xf numFmtId="8" fontId="6" fillId="4" borderId="1" xfId="0" applyNumberFormat="1" applyFont="1" applyFill="1" applyBorder="1"/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0" borderId="11" xfId="0" applyFont="1" applyBorder="1"/>
    <xf numFmtId="0" fontId="6" fillId="0" borderId="14" xfId="0" applyFont="1" applyFill="1" applyBorder="1"/>
    <xf numFmtId="0" fontId="6" fillId="0" borderId="1" xfId="0" applyFont="1" applyFill="1" applyBorder="1"/>
    <xf numFmtId="0" fontId="6" fillId="0" borderId="0" xfId="0" applyFont="1" applyBorder="1" applyAlignment="1">
      <alignment horizontal="center"/>
    </xf>
    <xf numFmtId="0" fontId="6" fillId="0" borderId="12" xfId="0" applyFont="1" applyBorder="1"/>
    <xf numFmtId="44" fontId="6" fillId="0" borderId="1" xfId="0" applyNumberFormat="1" applyFont="1" applyBorder="1"/>
    <xf numFmtId="8" fontId="6" fillId="0" borderId="1" xfId="0" applyNumberFormat="1" applyFont="1" applyBorder="1"/>
    <xf numFmtId="8" fontId="6" fillId="0" borderId="7" xfId="0" applyNumberFormat="1" applyFont="1" applyBorder="1"/>
    <xf numFmtId="8" fontId="6" fillId="4" borderId="13" xfId="0" applyNumberFormat="1" applyFont="1" applyFill="1" applyBorder="1"/>
    <xf numFmtId="10" fontId="6" fillId="0" borderId="1" xfId="0" applyNumberFormat="1" applyFont="1" applyBorder="1"/>
    <xf numFmtId="0" fontId="6" fillId="0" borderId="9" xfId="0" applyFont="1" applyFill="1" applyBorder="1"/>
    <xf numFmtId="43" fontId="6" fillId="0" borderId="9" xfId="1" applyFont="1" applyBorder="1"/>
    <xf numFmtId="0" fontId="6" fillId="0" borderId="0" xfId="0" applyFont="1" applyFill="1"/>
    <xf numFmtId="0" fontId="6" fillId="2" borderId="18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164" fontId="6" fillId="0" borderId="1" xfId="3" applyNumberFormat="1" applyFont="1" applyBorder="1"/>
    <xf numFmtId="0" fontId="6" fillId="0" borderId="16" xfId="0" applyFont="1" applyBorder="1"/>
    <xf numFmtId="0" fontId="6" fillId="0" borderId="15" xfId="0" applyFont="1" applyBorder="1"/>
    <xf numFmtId="44" fontId="6" fillId="0" borderId="1" xfId="2" applyFont="1" applyBorder="1" applyAlignment="1">
      <alignment horizontal="center"/>
    </xf>
    <xf numFmtId="9" fontId="6" fillId="0" borderId="14" xfId="0" applyNumberFormat="1" applyFont="1" applyBorder="1"/>
    <xf numFmtId="44" fontId="6" fillId="4" borderId="1" xfId="2" applyFont="1" applyFill="1" applyBorder="1"/>
    <xf numFmtId="10" fontId="6" fillId="0" borderId="1" xfId="3" applyNumberFormat="1" applyFont="1" applyBorder="1"/>
    <xf numFmtId="8" fontId="4" fillId="0" borderId="0" xfId="0" applyNumberFormat="1" applyFon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Intereses y Abono a 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'Ejercicio 11'!$E$6</c:f>
              <c:strCache>
                <c:ptCount val="1"/>
                <c:pt idx="0">
                  <c:v>Intereses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'Ejercicio 11'!$E$7:$E$11</c:f>
              <c:numCache>
                <c:formatCode>_(* #,##0.00_);_(* \(#,##0.00\);_(* "-"??_);_(@_)</c:formatCode>
                <c:ptCount val="5"/>
                <c:pt idx="0">
                  <c:v>2500</c:v>
                </c:pt>
                <c:pt idx="1">
                  <c:v>2090.5062980131365</c:v>
                </c:pt>
                <c:pt idx="2">
                  <c:v>1640.0632258275866</c:v>
                </c:pt>
                <c:pt idx="3">
                  <c:v>1144.5758464234818</c:v>
                </c:pt>
                <c:pt idx="4">
                  <c:v>599.53972907896639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3-46B6-9F5A-FC385822AAE0}"/>
            </c:ext>
          </c:extLst>
        </c:ser>
        <c:ser>
          <c:idx val="1"/>
          <c:order val="1"/>
          <c:tx>
            <c:strRef>
              <c:f>'Ejercicio 11'!$F$6</c:f>
              <c:strCache>
                <c:ptCount val="1"/>
                <c:pt idx="0">
                  <c:v>Abono de capital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'Ejercicio 11'!$F$7:$F$11</c:f>
              <c:numCache>
                <c:formatCode>"Q"#,##0.00_);[Red]\("Q"#,##0.00\)</c:formatCode>
                <c:ptCount val="5"/>
                <c:pt idx="0">
                  <c:v>4094.9370198686347</c:v>
                </c:pt>
                <c:pt idx="1">
                  <c:v>4504.4307218554986</c:v>
                </c:pt>
                <c:pt idx="2">
                  <c:v>4954.8737940410483</c:v>
                </c:pt>
                <c:pt idx="3">
                  <c:v>5450.3611734451533</c:v>
                </c:pt>
                <c:pt idx="4">
                  <c:v>5995.3972907896687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D3-46B6-9F5A-FC385822A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68831664"/>
        <c:axId val="468831992"/>
      </c:barChart>
      <c:catAx>
        <c:axId val="468831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68831992"/>
        <c:crosses val="autoZero"/>
        <c:auto val="1"/>
        <c:lblAlgn val="ctr"/>
        <c:lblOffset val="100"/>
        <c:noMultiLvlLbl val="0"/>
      </c:catAx>
      <c:valAx>
        <c:axId val="468831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6883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581025</xdr:colOff>
      <xdr:row>11</xdr:row>
      <xdr:rowOff>161925</xdr:rowOff>
    </xdr:from>
    <xdr:to>
      <xdr:col>7</xdr:col>
      <xdr:colOff>76200</xdr:colOff>
      <xdr:row>26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2F70E7-1B52-4E6E-AA73-F86EDB2FB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workbookViewId="0">
      <selection activeCell="F5" sqref="F5"/>
    </sheetView>
  </sheetViews>
  <sheetFormatPr baseColWidth="10" defaultColWidth="9.140625" defaultRowHeight="15" x14ac:dyDescent="0.25"/>
  <cols>
    <col min="1" max="1" width="9.140625" style="114"/>
    <col min="2" max="2" width="25.85546875" style="114" customWidth="1"/>
    <col min="3" max="3" width="25.140625" style="114" customWidth="1"/>
    <col min="4" max="4" width="9.140625" style="114"/>
    <col min="5" max="7" width="12" style="114" bestFit="1" customWidth="1"/>
    <col min="8" max="8" width="11.5703125" style="114" bestFit="1" customWidth="1"/>
    <col min="9" max="16384" width="9.140625" style="114"/>
  </cols>
  <sheetData>
    <row r="1" spans="1:7" ht="15.75" thickBot="1" x14ac:dyDescent="0.3">
      <c r="A1" s="111" t="s">
        <v>0</v>
      </c>
      <c r="B1" s="112" t="s">
        <v>1</v>
      </c>
      <c r="C1" s="112"/>
      <c r="D1" s="113"/>
      <c r="G1" s="115" t="s">
        <v>48</v>
      </c>
    </row>
    <row r="2" spans="1:7" x14ac:dyDescent="0.25">
      <c r="A2" s="116"/>
      <c r="B2" s="117" t="s">
        <v>2</v>
      </c>
      <c r="C2" s="117"/>
      <c r="D2" s="118"/>
    </row>
    <row r="3" spans="1:7" x14ac:dyDescent="0.25">
      <c r="A3" s="116"/>
      <c r="B3" s="117" t="s">
        <v>3</v>
      </c>
      <c r="C3" s="117"/>
      <c r="D3" s="118"/>
    </row>
    <row r="4" spans="1:7" x14ac:dyDescent="0.25">
      <c r="A4" s="116"/>
      <c r="B4" s="119" t="s">
        <v>4</v>
      </c>
      <c r="C4" s="120">
        <f>-250000</f>
        <v>-250000</v>
      </c>
      <c r="D4" s="121"/>
    </row>
    <row r="5" spans="1:7" x14ac:dyDescent="0.25">
      <c r="A5" s="116"/>
      <c r="B5" s="122" t="s">
        <v>5</v>
      </c>
      <c r="C5" s="123">
        <v>0.05</v>
      </c>
      <c r="D5" s="118"/>
    </row>
    <row r="6" spans="1:7" x14ac:dyDescent="0.25">
      <c r="A6" s="116"/>
      <c r="B6" s="124" t="s">
        <v>6</v>
      </c>
      <c r="C6" s="122">
        <v>5</v>
      </c>
      <c r="D6" s="118"/>
    </row>
    <row r="7" spans="1:7" ht="15.75" thickBot="1" x14ac:dyDescent="0.3">
      <c r="A7" s="125"/>
      <c r="B7" s="126" t="s">
        <v>1</v>
      </c>
      <c r="C7" s="127">
        <f>FV(C5,C6,,C4)</f>
        <v>319070.39062500006</v>
      </c>
      <c r="D7" s="128"/>
    </row>
    <row r="8" spans="1:7" ht="15.75" thickBot="1" x14ac:dyDescent="0.3"/>
    <row r="9" spans="1:7" x14ac:dyDescent="0.25">
      <c r="A9" s="111" t="s">
        <v>7</v>
      </c>
      <c r="B9" s="112" t="s">
        <v>10</v>
      </c>
      <c r="C9" s="112"/>
      <c r="D9" s="129"/>
      <c r="E9" s="113"/>
    </row>
    <row r="10" spans="1:7" x14ac:dyDescent="0.25">
      <c r="A10" s="116"/>
      <c r="B10" s="117" t="s">
        <v>8</v>
      </c>
      <c r="C10" s="117"/>
      <c r="D10" s="130"/>
      <c r="E10" s="118"/>
    </row>
    <row r="11" spans="1:7" x14ac:dyDescent="0.25">
      <c r="A11" s="116"/>
      <c r="B11" s="117" t="s">
        <v>9</v>
      </c>
      <c r="C11" s="117"/>
      <c r="D11" s="130"/>
      <c r="E11" s="118"/>
    </row>
    <row r="12" spans="1:7" x14ac:dyDescent="0.25">
      <c r="A12" s="116"/>
      <c r="B12" s="119" t="s">
        <v>4</v>
      </c>
      <c r="C12" s="131">
        <v>1300</v>
      </c>
      <c r="D12" s="130"/>
      <c r="E12" s="118"/>
    </row>
    <row r="13" spans="1:7" x14ac:dyDescent="0.25">
      <c r="A13" s="116"/>
      <c r="B13" s="122" t="s">
        <v>5</v>
      </c>
      <c r="C13" s="123">
        <v>0.1</v>
      </c>
      <c r="D13" s="130"/>
      <c r="E13" s="118"/>
    </row>
    <row r="14" spans="1:7" x14ac:dyDescent="0.25">
      <c r="A14" s="116"/>
      <c r="B14" s="124" t="s">
        <v>6</v>
      </c>
      <c r="C14" s="122">
        <v>50</v>
      </c>
      <c r="D14" s="130"/>
      <c r="E14" s="118"/>
    </row>
    <row r="15" spans="1:7" x14ac:dyDescent="0.25">
      <c r="A15" s="116"/>
      <c r="B15" s="122" t="s">
        <v>11</v>
      </c>
      <c r="C15" s="122">
        <f>C14*12</f>
        <v>600</v>
      </c>
      <c r="D15" s="130"/>
      <c r="E15" s="118"/>
    </row>
    <row r="16" spans="1:7" x14ac:dyDescent="0.25">
      <c r="A16" s="116"/>
      <c r="B16" s="132" t="s">
        <v>10</v>
      </c>
      <c r="C16" s="133">
        <f>PV(C13/12,C15,C12)</f>
        <v>-154926.87568061549</v>
      </c>
      <c r="D16" s="130"/>
      <c r="E16" s="118"/>
    </row>
    <row r="17" spans="1:8" ht="15.75" thickBot="1" x14ac:dyDescent="0.3">
      <c r="A17" s="125"/>
      <c r="B17" s="134" t="s">
        <v>12</v>
      </c>
      <c r="C17" s="135"/>
      <c r="D17" s="136"/>
      <c r="E17" s="128"/>
    </row>
    <row r="18" spans="1:8" ht="15.75" thickBot="1" x14ac:dyDescent="0.3"/>
    <row r="19" spans="1:8" x14ac:dyDescent="0.25">
      <c r="A19" s="111" t="s">
        <v>13</v>
      </c>
      <c r="B19" s="112" t="s">
        <v>14</v>
      </c>
      <c r="C19" s="112"/>
      <c r="D19" s="129"/>
      <c r="E19" s="113"/>
    </row>
    <row r="20" spans="1:8" x14ac:dyDescent="0.25">
      <c r="A20" s="116"/>
      <c r="B20" s="117" t="s">
        <v>8</v>
      </c>
      <c r="C20" s="117"/>
      <c r="D20" s="130"/>
      <c r="E20" s="118"/>
    </row>
    <row r="21" spans="1:8" x14ac:dyDescent="0.25">
      <c r="A21" s="116"/>
      <c r="B21" s="117" t="s">
        <v>9</v>
      </c>
      <c r="C21" s="117"/>
      <c r="D21" s="130"/>
      <c r="E21" s="118"/>
    </row>
    <row r="22" spans="1:8" x14ac:dyDescent="0.25">
      <c r="A22" s="116"/>
      <c r="B22" s="137" t="s">
        <v>15</v>
      </c>
      <c r="C22" s="131">
        <f>150000*0.75</f>
        <v>112500</v>
      </c>
      <c r="D22" s="130"/>
      <c r="E22" s="121"/>
    </row>
    <row r="23" spans="1:8" x14ac:dyDescent="0.25">
      <c r="A23" s="116"/>
      <c r="B23" s="138" t="s">
        <v>5</v>
      </c>
      <c r="C23" s="123">
        <v>0.08</v>
      </c>
      <c r="D23" s="139"/>
      <c r="E23" s="118"/>
    </row>
    <row r="24" spans="1:8" x14ac:dyDescent="0.25">
      <c r="A24" s="116"/>
      <c r="B24" s="138" t="s">
        <v>6</v>
      </c>
      <c r="C24" s="122">
        <v>10</v>
      </c>
      <c r="D24" s="130"/>
      <c r="E24" s="118"/>
    </row>
    <row r="25" spans="1:8" x14ac:dyDescent="0.25">
      <c r="A25" s="116"/>
      <c r="B25" s="138" t="s">
        <v>16</v>
      </c>
      <c r="C25" s="122">
        <v>20</v>
      </c>
      <c r="D25" s="130"/>
      <c r="E25" s="118"/>
    </row>
    <row r="26" spans="1:8" x14ac:dyDescent="0.25">
      <c r="A26" s="116"/>
      <c r="B26" s="138" t="s">
        <v>17</v>
      </c>
      <c r="C26" s="122">
        <f>C24*12</f>
        <v>120</v>
      </c>
      <c r="D26" s="130"/>
      <c r="E26" s="118"/>
    </row>
    <row r="27" spans="1:8" x14ac:dyDescent="0.25">
      <c r="A27" s="116"/>
      <c r="B27" s="138" t="s">
        <v>18</v>
      </c>
      <c r="C27" s="122">
        <f>C25*12</f>
        <v>240</v>
      </c>
      <c r="D27" s="130"/>
      <c r="E27" s="118"/>
    </row>
    <row r="28" spans="1:8" x14ac:dyDescent="0.25">
      <c r="A28" s="116"/>
      <c r="B28" s="132" t="s">
        <v>14</v>
      </c>
      <c r="C28" s="133">
        <f>PMT(C23/12,C26,C22)</f>
        <v>-1364.9354364977653</v>
      </c>
      <c r="D28" s="130"/>
      <c r="E28" s="118"/>
    </row>
    <row r="29" spans="1:8" ht="15.75" thickBot="1" x14ac:dyDescent="0.3">
      <c r="A29" s="125"/>
      <c r="B29" s="126" t="s">
        <v>19</v>
      </c>
      <c r="C29" s="127">
        <f>PMT(C23/12,C27,C22)</f>
        <v>-940.99507761764562</v>
      </c>
      <c r="D29" s="136"/>
      <c r="E29" s="128"/>
    </row>
    <row r="30" spans="1:8" ht="15.75" thickBot="1" x14ac:dyDescent="0.3"/>
    <row r="31" spans="1:8" x14ac:dyDescent="0.25">
      <c r="A31" s="111" t="s">
        <v>20</v>
      </c>
      <c r="B31" s="112" t="s">
        <v>1</v>
      </c>
      <c r="C31" s="112"/>
      <c r="D31" s="129"/>
      <c r="E31" s="140" t="s">
        <v>24</v>
      </c>
      <c r="F31" s="140" t="s">
        <v>25</v>
      </c>
      <c r="G31" s="140" t="s">
        <v>26</v>
      </c>
      <c r="H31" s="113"/>
    </row>
    <row r="32" spans="1:8" x14ac:dyDescent="0.25">
      <c r="A32" s="116"/>
      <c r="B32" s="117" t="s">
        <v>8</v>
      </c>
      <c r="C32" s="117"/>
      <c r="D32" s="130"/>
      <c r="E32" s="141">
        <f>C34</f>
        <v>15000</v>
      </c>
      <c r="F32" s="141">
        <f>E32+E32*$C$35</f>
        <v>15750</v>
      </c>
      <c r="G32" s="141">
        <f>F32+F32*$C$35</f>
        <v>16537.5</v>
      </c>
      <c r="H32" s="118"/>
    </row>
    <row r="33" spans="1:8" x14ac:dyDescent="0.25">
      <c r="A33" s="116"/>
      <c r="B33" s="117" t="s">
        <v>9</v>
      </c>
      <c r="C33" s="117"/>
      <c r="D33" s="130"/>
      <c r="E33" s="141">
        <f>-E32*$C$36</f>
        <v>-7500</v>
      </c>
      <c r="F33" s="141">
        <f t="shared" ref="F33:G33" si="0">-F32*$C$36</f>
        <v>-7875</v>
      </c>
      <c r="G33" s="141">
        <f t="shared" si="0"/>
        <v>-8268.75</v>
      </c>
      <c r="H33" s="118"/>
    </row>
    <row r="34" spans="1:8" x14ac:dyDescent="0.25">
      <c r="A34" s="116"/>
      <c r="B34" s="137" t="s">
        <v>21</v>
      </c>
      <c r="C34" s="131">
        <v>15000</v>
      </c>
      <c r="D34" s="130"/>
      <c r="E34" s="142">
        <f>FV(C37,C38,E33)</f>
        <v>91247.870740520215</v>
      </c>
      <c r="F34" s="142">
        <f>FV(C37,C38,F33)</f>
        <v>95810.264277546215</v>
      </c>
      <c r="G34" s="142">
        <f>FV(C37,C38,G33)</f>
        <v>100600.77749142353</v>
      </c>
      <c r="H34" s="143"/>
    </row>
    <row r="35" spans="1:8" x14ac:dyDescent="0.25">
      <c r="A35" s="116"/>
      <c r="B35" s="138" t="s">
        <v>22</v>
      </c>
      <c r="C35" s="123">
        <v>0.05</v>
      </c>
      <c r="D35" s="130"/>
      <c r="E35" s="142">
        <f>FV(C37,C38*2,,-E34)</f>
        <v>96883.069532653739</v>
      </c>
      <c r="F35" s="142">
        <f>FV(C37,C38,,-F34)</f>
        <v>98724.425147683753</v>
      </c>
      <c r="G35" s="142">
        <f>G34</f>
        <v>100600.77749142353</v>
      </c>
      <c r="H35" s="144">
        <f>SUM(E35:G35)</f>
        <v>296208.27217176103</v>
      </c>
    </row>
    <row r="36" spans="1:8" x14ac:dyDescent="0.25">
      <c r="A36" s="116"/>
      <c r="B36" s="138" t="s">
        <v>23</v>
      </c>
      <c r="C36" s="123">
        <v>0.5</v>
      </c>
      <c r="D36" s="130"/>
      <c r="E36" s="130"/>
      <c r="F36" s="130"/>
      <c r="G36" s="130"/>
      <c r="H36" s="118"/>
    </row>
    <row r="37" spans="1:8" x14ac:dyDescent="0.25">
      <c r="A37" s="116"/>
      <c r="B37" s="138" t="s">
        <v>5</v>
      </c>
      <c r="C37" s="145">
        <f>3%/12</f>
        <v>2.5000000000000001E-3</v>
      </c>
      <c r="D37" s="139"/>
      <c r="E37" s="130"/>
      <c r="F37" s="130"/>
      <c r="G37" s="130"/>
      <c r="H37" s="118"/>
    </row>
    <row r="38" spans="1:8" ht="15.75" thickBot="1" x14ac:dyDescent="0.3">
      <c r="A38" s="125"/>
      <c r="B38" s="146" t="s">
        <v>27</v>
      </c>
      <c r="C38" s="147">
        <v>12</v>
      </c>
      <c r="D38" s="136"/>
      <c r="E38" s="136"/>
      <c r="F38" s="136"/>
      <c r="G38" s="136"/>
      <c r="H38" s="128"/>
    </row>
    <row r="39" spans="1:8" ht="15.75" thickBot="1" x14ac:dyDescent="0.3">
      <c r="B39" s="148"/>
    </row>
    <row r="40" spans="1:8" x14ac:dyDescent="0.25">
      <c r="A40" s="111" t="s">
        <v>28</v>
      </c>
      <c r="B40" s="149" t="s">
        <v>1</v>
      </c>
      <c r="C40" s="150"/>
      <c r="D40" s="113"/>
    </row>
    <row r="41" spans="1:8" x14ac:dyDescent="0.25">
      <c r="A41" s="116"/>
      <c r="B41" s="151" t="s">
        <v>2</v>
      </c>
      <c r="C41" s="152"/>
      <c r="D41" s="118"/>
    </row>
    <row r="42" spans="1:8" x14ac:dyDescent="0.25">
      <c r="A42" s="116"/>
      <c r="B42" s="151" t="s">
        <v>3</v>
      </c>
      <c r="C42" s="152"/>
      <c r="D42" s="118"/>
    </row>
    <row r="43" spans="1:8" x14ac:dyDescent="0.25">
      <c r="A43" s="116"/>
      <c r="B43" s="137" t="s">
        <v>4</v>
      </c>
      <c r="C43" s="131">
        <v>-500</v>
      </c>
      <c r="D43" s="118"/>
    </row>
    <row r="44" spans="1:8" x14ac:dyDescent="0.25">
      <c r="A44" s="116"/>
      <c r="B44" s="138" t="s">
        <v>29</v>
      </c>
      <c r="C44" s="123">
        <v>0.12</v>
      </c>
      <c r="D44" s="118"/>
    </row>
    <row r="45" spans="1:8" x14ac:dyDescent="0.25">
      <c r="A45" s="116"/>
      <c r="B45" s="138" t="s">
        <v>6</v>
      </c>
      <c r="C45" s="122">
        <v>40</v>
      </c>
      <c r="D45" s="118"/>
    </row>
    <row r="46" spans="1:8" ht="15.75" thickBot="1" x14ac:dyDescent="0.3">
      <c r="A46" s="125"/>
      <c r="B46" s="126" t="s">
        <v>1</v>
      </c>
      <c r="C46" s="127">
        <f>FV(C44,C45,,C43)</f>
        <v>46525.485220681978</v>
      </c>
      <c r="D46" s="128"/>
    </row>
    <row r="47" spans="1:8" ht="15.75" thickBot="1" x14ac:dyDescent="0.3"/>
    <row r="48" spans="1:8" x14ac:dyDescent="0.25">
      <c r="A48" s="111" t="s">
        <v>30</v>
      </c>
      <c r="B48" s="112" t="s">
        <v>1</v>
      </c>
      <c r="C48" s="112"/>
      <c r="D48" s="113"/>
    </row>
    <row r="49" spans="1:6" x14ac:dyDescent="0.25">
      <c r="A49" s="116"/>
      <c r="B49" s="117" t="s">
        <v>2</v>
      </c>
      <c r="C49" s="117"/>
      <c r="D49" s="118"/>
    </row>
    <row r="50" spans="1:6" x14ac:dyDescent="0.25">
      <c r="A50" s="116"/>
      <c r="B50" s="117" t="s">
        <v>31</v>
      </c>
      <c r="C50" s="117"/>
      <c r="D50" s="118"/>
    </row>
    <row r="51" spans="1:6" x14ac:dyDescent="0.25">
      <c r="A51" s="116"/>
      <c r="B51" s="119" t="s">
        <v>4</v>
      </c>
      <c r="C51" s="131">
        <v>-500</v>
      </c>
      <c r="D51" s="118"/>
    </row>
    <row r="52" spans="1:6" x14ac:dyDescent="0.25">
      <c r="A52" s="116"/>
      <c r="B52" s="122" t="s">
        <v>29</v>
      </c>
      <c r="C52" s="123">
        <v>0.12</v>
      </c>
      <c r="D52" s="118"/>
      <c r="F52" s="139"/>
    </row>
    <row r="53" spans="1:6" x14ac:dyDescent="0.25">
      <c r="A53" s="116"/>
      <c r="B53" s="138" t="s">
        <v>6</v>
      </c>
      <c r="C53" s="122">
        <v>40</v>
      </c>
      <c r="D53" s="118">
        <f>C53*4</f>
        <v>160</v>
      </c>
    </row>
    <row r="54" spans="1:6" x14ac:dyDescent="0.25">
      <c r="A54" s="116"/>
      <c r="B54" s="138" t="s">
        <v>32</v>
      </c>
      <c r="C54" s="153">
        <f>C52/4</f>
        <v>0.03</v>
      </c>
      <c r="D54" s="118"/>
    </row>
    <row r="55" spans="1:6" x14ac:dyDescent="0.25">
      <c r="A55" s="116"/>
      <c r="B55" s="138" t="s">
        <v>33</v>
      </c>
      <c r="C55" s="145">
        <f>(1+C52/4)^4 -1</f>
        <v>0.12550880999999992</v>
      </c>
      <c r="D55" s="118"/>
    </row>
    <row r="56" spans="1:6" x14ac:dyDescent="0.25">
      <c r="A56" s="116"/>
      <c r="B56" s="132" t="s">
        <v>34</v>
      </c>
      <c r="C56" s="133">
        <f>FV(C54,D53,,C51)</f>
        <v>56614.275916962506</v>
      </c>
      <c r="D56" s="118"/>
    </row>
    <row r="57" spans="1:6" ht="15.75" thickBot="1" x14ac:dyDescent="0.3">
      <c r="A57" s="125"/>
      <c r="B57" s="126" t="s">
        <v>35</v>
      </c>
      <c r="C57" s="127">
        <f>FV(C55,C53,,C51)</f>
        <v>56614.275916962506</v>
      </c>
      <c r="D57" s="128"/>
    </row>
    <row r="58" spans="1:6" ht="15.75" thickBot="1" x14ac:dyDescent="0.3"/>
    <row r="59" spans="1:6" x14ac:dyDescent="0.25">
      <c r="A59" s="111" t="s">
        <v>36</v>
      </c>
      <c r="B59" s="112" t="s">
        <v>10</v>
      </c>
      <c r="C59" s="112"/>
      <c r="D59" s="129"/>
      <c r="E59" s="113"/>
    </row>
    <row r="60" spans="1:6" x14ac:dyDescent="0.25">
      <c r="A60" s="116"/>
      <c r="B60" s="117" t="s">
        <v>2</v>
      </c>
      <c r="C60" s="117"/>
      <c r="D60" s="130"/>
      <c r="E60" s="118"/>
    </row>
    <row r="61" spans="1:6" x14ac:dyDescent="0.25">
      <c r="A61" s="116"/>
      <c r="B61" s="117" t="s">
        <v>3</v>
      </c>
      <c r="C61" s="117"/>
      <c r="D61" s="130"/>
      <c r="E61" s="118"/>
    </row>
    <row r="62" spans="1:6" x14ac:dyDescent="0.25">
      <c r="A62" s="116"/>
      <c r="B62" s="119" t="s">
        <v>37</v>
      </c>
      <c r="C62" s="154">
        <v>200</v>
      </c>
      <c r="D62" s="130"/>
      <c r="E62" s="118"/>
    </row>
    <row r="63" spans="1:6" x14ac:dyDescent="0.25">
      <c r="A63" s="116"/>
      <c r="B63" s="155" t="s">
        <v>38</v>
      </c>
      <c r="C63" s="156">
        <v>2.0499999999999998</v>
      </c>
      <c r="D63" s="130"/>
      <c r="E63" s="118"/>
    </row>
    <row r="64" spans="1:6" x14ac:dyDescent="0.25">
      <c r="A64" s="116"/>
      <c r="B64" s="122" t="s">
        <v>39</v>
      </c>
      <c r="C64" s="157">
        <v>0.02</v>
      </c>
      <c r="D64" s="130"/>
      <c r="E64" s="118"/>
    </row>
    <row r="65" spans="1:5" x14ac:dyDescent="0.25">
      <c r="A65" s="116"/>
      <c r="B65" s="122" t="s">
        <v>5</v>
      </c>
      <c r="C65" s="123">
        <v>0.12</v>
      </c>
      <c r="D65" s="130"/>
      <c r="E65" s="118"/>
    </row>
    <row r="66" spans="1:5" x14ac:dyDescent="0.25">
      <c r="A66" s="116"/>
      <c r="B66" s="132" t="s">
        <v>40</v>
      </c>
      <c r="C66" s="132">
        <f>((C62*C63)/(C65-C64))</f>
        <v>4100</v>
      </c>
      <c r="D66" s="130"/>
      <c r="E66" s="118"/>
    </row>
    <row r="67" spans="1:5" x14ac:dyDescent="0.25">
      <c r="A67" s="116"/>
      <c r="B67" s="132" t="s">
        <v>41</v>
      </c>
      <c r="C67" s="158">
        <v>30</v>
      </c>
      <c r="D67" s="130"/>
      <c r="E67" s="118"/>
    </row>
    <row r="68" spans="1:5" x14ac:dyDescent="0.25">
      <c r="A68" s="116"/>
      <c r="B68" s="132" t="s">
        <v>42</v>
      </c>
      <c r="C68" s="132">
        <f>(C67*C62)*(C65-C64)</f>
        <v>600</v>
      </c>
      <c r="D68" s="130"/>
      <c r="E68" s="118"/>
    </row>
    <row r="69" spans="1:5" ht="15.75" thickBot="1" x14ac:dyDescent="0.3">
      <c r="A69" s="125"/>
      <c r="B69" s="136"/>
      <c r="C69" s="136"/>
      <c r="D69" s="136"/>
      <c r="E69" s="128"/>
    </row>
    <row r="70" spans="1:5" ht="15.75" thickBot="1" x14ac:dyDescent="0.3"/>
    <row r="71" spans="1:5" x14ac:dyDescent="0.25">
      <c r="A71" s="111" t="s">
        <v>43</v>
      </c>
      <c r="B71" s="112" t="s">
        <v>1</v>
      </c>
      <c r="C71" s="112"/>
      <c r="D71" s="129"/>
      <c r="E71" s="113"/>
    </row>
    <row r="72" spans="1:5" x14ac:dyDescent="0.25">
      <c r="A72" s="116"/>
      <c r="B72" s="117" t="s">
        <v>8</v>
      </c>
      <c r="C72" s="117"/>
      <c r="D72" s="130"/>
      <c r="E72" s="118"/>
    </row>
    <row r="73" spans="1:5" x14ac:dyDescent="0.25">
      <c r="A73" s="116"/>
      <c r="B73" s="117" t="s">
        <v>44</v>
      </c>
      <c r="C73" s="117"/>
      <c r="D73" s="130"/>
      <c r="E73" s="118"/>
    </row>
    <row r="74" spans="1:5" x14ac:dyDescent="0.25">
      <c r="A74" s="116"/>
      <c r="B74" s="122" t="s">
        <v>6</v>
      </c>
      <c r="C74" s="122">
        <v>5</v>
      </c>
      <c r="D74" s="130"/>
      <c r="E74" s="118"/>
    </row>
    <row r="75" spans="1:5" x14ac:dyDescent="0.25">
      <c r="A75" s="116"/>
      <c r="B75" s="122" t="s">
        <v>45</v>
      </c>
      <c r="C75" s="122">
        <v>75000</v>
      </c>
      <c r="D75" s="130"/>
      <c r="E75" s="118"/>
    </row>
    <row r="76" spans="1:5" x14ac:dyDescent="0.25">
      <c r="A76" s="116"/>
      <c r="B76" s="122" t="s">
        <v>5</v>
      </c>
      <c r="C76" s="123">
        <v>0.03</v>
      </c>
      <c r="D76" s="130"/>
      <c r="E76" s="118"/>
    </row>
    <row r="77" spans="1:5" x14ac:dyDescent="0.25">
      <c r="A77" s="116"/>
      <c r="B77" s="122" t="s">
        <v>46</v>
      </c>
      <c r="C77" s="159">
        <f>C76/2</f>
        <v>1.4999999999999999E-2</v>
      </c>
      <c r="D77" s="130"/>
      <c r="E77" s="118"/>
    </row>
    <row r="78" spans="1:5" x14ac:dyDescent="0.25">
      <c r="A78" s="116"/>
      <c r="B78" s="122" t="s">
        <v>17</v>
      </c>
      <c r="C78" s="122">
        <f>C74*2</f>
        <v>10</v>
      </c>
      <c r="D78" s="130"/>
      <c r="E78" s="118"/>
    </row>
    <row r="79" spans="1:5" x14ac:dyDescent="0.25">
      <c r="A79" s="116"/>
      <c r="B79" s="132" t="s">
        <v>47</v>
      </c>
      <c r="C79" s="133">
        <f>PMT(C77,C78,,C75)</f>
        <v>-7007.5633398779364</v>
      </c>
      <c r="D79" s="130"/>
      <c r="E79" s="118"/>
    </row>
    <row r="80" spans="1:5" ht="15.75" thickBot="1" x14ac:dyDescent="0.3">
      <c r="A80" s="125"/>
      <c r="B80" s="136"/>
      <c r="C80" s="136"/>
      <c r="D80" s="136"/>
      <c r="E80" s="128"/>
    </row>
  </sheetData>
  <mergeCells count="25">
    <mergeCell ref="B17:C17"/>
    <mergeCell ref="B9:C9"/>
    <mergeCell ref="B10:C10"/>
    <mergeCell ref="B11:C11"/>
    <mergeCell ref="B1:C1"/>
    <mergeCell ref="B2:C2"/>
    <mergeCell ref="B3:C3"/>
    <mergeCell ref="B31:C31"/>
    <mergeCell ref="B32:C32"/>
    <mergeCell ref="B33:C33"/>
    <mergeCell ref="B19:C19"/>
    <mergeCell ref="B20:C20"/>
    <mergeCell ref="B21:C21"/>
    <mergeCell ref="B50:C50"/>
    <mergeCell ref="B49:C49"/>
    <mergeCell ref="B48:C48"/>
    <mergeCell ref="B40:C40"/>
    <mergeCell ref="B41:C41"/>
    <mergeCell ref="B42:C42"/>
    <mergeCell ref="B59:C59"/>
    <mergeCell ref="B71:C71"/>
    <mergeCell ref="B72:C72"/>
    <mergeCell ref="B73:C73"/>
    <mergeCell ref="B61:C61"/>
    <mergeCell ref="B60:C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A9200-3EF2-4179-9687-F7FDC7F9D35A}">
  <dimension ref="A1:O96"/>
  <sheetViews>
    <sheetView tabSelected="1" topLeftCell="A82" zoomScaleNormal="100" workbookViewId="0">
      <selection activeCell="D95" sqref="D95"/>
    </sheetView>
  </sheetViews>
  <sheetFormatPr baseColWidth="10" defaultRowHeight="15" x14ac:dyDescent="0.25"/>
  <cols>
    <col min="2" max="2" width="20.42578125" bestFit="1" customWidth="1"/>
    <col min="3" max="3" width="15.85546875" bestFit="1" customWidth="1"/>
    <col min="4" max="4" width="12" bestFit="1" customWidth="1"/>
    <col min="5" max="5" width="13.5703125" bestFit="1" customWidth="1"/>
    <col min="6" max="14" width="12.5703125" bestFit="1" customWidth="1"/>
    <col min="15" max="15" width="13.5703125" bestFit="1" customWidth="1"/>
    <col min="16" max="16" width="12.5703125" bestFit="1" customWidth="1"/>
  </cols>
  <sheetData>
    <row r="1" spans="1:9" ht="15.75" thickBot="1" x14ac:dyDescent="0.3">
      <c r="A1" s="10" t="s">
        <v>0</v>
      </c>
      <c r="B1" s="99" t="s">
        <v>1</v>
      </c>
      <c r="C1" s="99"/>
      <c r="D1" s="99"/>
      <c r="E1" s="99"/>
      <c r="F1" s="12"/>
      <c r="I1" s="25" t="s">
        <v>48</v>
      </c>
    </row>
    <row r="2" spans="1:9" x14ac:dyDescent="0.25">
      <c r="A2" s="13"/>
      <c r="B2" s="100" t="s">
        <v>2</v>
      </c>
      <c r="C2" s="100"/>
      <c r="D2" s="100"/>
      <c r="E2" s="100"/>
      <c r="F2" s="15"/>
    </row>
    <row r="3" spans="1:9" x14ac:dyDescent="0.25">
      <c r="A3" s="13"/>
      <c r="B3" s="100" t="s">
        <v>3</v>
      </c>
      <c r="C3" s="100"/>
      <c r="D3" s="100"/>
      <c r="E3" s="100"/>
      <c r="F3" s="15"/>
    </row>
    <row r="4" spans="1:9" x14ac:dyDescent="0.25">
      <c r="A4" s="13"/>
      <c r="B4" s="107" t="s">
        <v>49</v>
      </c>
      <c r="C4" s="107"/>
      <c r="D4" s="107" t="s">
        <v>50</v>
      </c>
      <c r="E4" s="107"/>
      <c r="F4" s="15"/>
    </row>
    <row r="5" spans="1:9" x14ac:dyDescent="0.25">
      <c r="A5" s="13"/>
      <c r="B5" s="1" t="s">
        <v>4</v>
      </c>
      <c r="C5" s="2">
        <v>-15000</v>
      </c>
      <c r="D5" s="1" t="s">
        <v>4</v>
      </c>
      <c r="E5" s="2">
        <v>-7500</v>
      </c>
      <c r="F5" s="15"/>
    </row>
    <row r="6" spans="1:9" x14ac:dyDescent="0.25">
      <c r="A6" s="13"/>
      <c r="B6" s="1" t="s">
        <v>5</v>
      </c>
      <c r="C6" s="6">
        <v>2.5000000000000001E-2</v>
      </c>
      <c r="D6" s="1" t="s">
        <v>5</v>
      </c>
      <c r="E6" s="6">
        <v>7.4999999999999997E-2</v>
      </c>
      <c r="F6" s="15"/>
    </row>
    <row r="7" spans="1:9" x14ac:dyDescent="0.25">
      <c r="A7" s="13"/>
      <c r="B7" s="1" t="s">
        <v>6</v>
      </c>
      <c r="C7" s="1">
        <v>15</v>
      </c>
      <c r="D7" s="1" t="s">
        <v>6</v>
      </c>
      <c r="E7" s="1">
        <v>15</v>
      </c>
      <c r="F7" s="15"/>
    </row>
    <row r="8" spans="1:9" x14ac:dyDescent="0.25">
      <c r="A8" s="13"/>
      <c r="B8" s="23" t="s">
        <v>1</v>
      </c>
      <c r="C8" s="24">
        <f>FV(C6,C7,,C5)</f>
        <v>21724.472497471659</v>
      </c>
      <c r="D8" s="23" t="s">
        <v>1</v>
      </c>
      <c r="E8" s="24">
        <f>FV(E6,E7,,E5)</f>
        <v>22191.580146071185</v>
      </c>
      <c r="F8" s="20">
        <f>E8-C8</f>
        <v>467.10764859952542</v>
      </c>
    </row>
    <row r="9" spans="1:9" x14ac:dyDescent="0.25">
      <c r="A9" s="13"/>
      <c r="B9" s="108" t="s">
        <v>51</v>
      </c>
      <c r="C9" s="108"/>
      <c r="D9" s="108"/>
      <c r="E9" s="108"/>
      <c r="F9" s="15"/>
    </row>
    <row r="10" spans="1:9" x14ac:dyDescent="0.25">
      <c r="A10" s="13"/>
      <c r="B10" s="14"/>
      <c r="C10" s="14"/>
      <c r="D10" s="14"/>
      <c r="E10" s="14"/>
      <c r="F10" s="15"/>
    </row>
    <row r="11" spans="1:9" ht="15.75" thickBot="1" x14ac:dyDescent="0.3">
      <c r="A11" s="16"/>
      <c r="B11" s="18"/>
      <c r="C11" s="18"/>
      <c r="D11" s="18"/>
      <c r="E11" s="18"/>
      <c r="F11" s="17"/>
    </row>
    <row r="12" spans="1:9" ht="15.75" thickBot="1" x14ac:dyDescent="0.3"/>
    <row r="13" spans="1:9" x14ac:dyDescent="0.25">
      <c r="A13" s="10" t="s">
        <v>7</v>
      </c>
      <c r="B13" s="99" t="s">
        <v>1</v>
      </c>
      <c r="C13" s="99"/>
      <c r="D13" s="11"/>
      <c r="E13" s="11"/>
      <c r="F13" s="12"/>
    </row>
    <row r="14" spans="1:9" x14ac:dyDescent="0.25">
      <c r="A14" s="13"/>
      <c r="B14" s="100" t="s">
        <v>2</v>
      </c>
      <c r="C14" s="100"/>
      <c r="D14" s="14"/>
      <c r="E14" s="14"/>
      <c r="F14" s="15"/>
    </row>
    <row r="15" spans="1:9" x14ac:dyDescent="0.25">
      <c r="A15" s="13"/>
      <c r="B15" s="100" t="s">
        <v>3</v>
      </c>
      <c r="C15" s="100"/>
      <c r="D15" s="14"/>
      <c r="E15" s="14"/>
      <c r="F15" s="15"/>
    </row>
    <row r="16" spans="1:9" x14ac:dyDescent="0.25">
      <c r="A16" s="13"/>
      <c r="B16" s="1" t="s">
        <v>4</v>
      </c>
      <c r="C16" s="2">
        <f>-10000</f>
        <v>-10000</v>
      </c>
      <c r="D16" s="14"/>
      <c r="E16" s="14"/>
      <c r="F16" s="15"/>
    </row>
    <row r="17" spans="1:6" x14ac:dyDescent="0.25">
      <c r="A17" s="13"/>
      <c r="B17" s="1" t="s">
        <v>29</v>
      </c>
      <c r="C17" s="6">
        <v>5.5E-2</v>
      </c>
      <c r="D17" s="14"/>
      <c r="E17" s="14"/>
      <c r="F17" s="15"/>
    </row>
    <row r="18" spans="1:6" x14ac:dyDescent="0.25">
      <c r="A18" s="13"/>
      <c r="B18" s="1" t="s">
        <v>6</v>
      </c>
      <c r="C18" s="1">
        <v>8</v>
      </c>
      <c r="D18" s="14"/>
      <c r="E18" s="14"/>
      <c r="F18" s="15"/>
    </row>
    <row r="19" spans="1:6" x14ac:dyDescent="0.25">
      <c r="A19" s="13"/>
      <c r="B19" s="21" t="s">
        <v>1</v>
      </c>
      <c r="C19" s="22">
        <f>FV(C17,C18,,C16)</f>
        <v>15346.865149961528</v>
      </c>
      <c r="D19" s="14"/>
      <c r="E19" s="14"/>
      <c r="F19" s="15"/>
    </row>
    <row r="20" spans="1:6" x14ac:dyDescent="0.25">
      <c r="A20" s="13"/>
      <c r="B20" s="21" t="s">
        <v>53</v>
      </c>
      <c r="C20" s="22">
        <f>FV(C17/2,C18*2,,C16)</f>
        <v>15435.094358332508</v>
      </c>
      <c r="D20" s="14"/>
      <c r="E20" s="14"/>
      <c r="F20" s="15"/>
    </row>
    <row r="21" spans="1:6" x14ac:dyDescent="0.25">
      <c r="A21" s="13"/>
      <c r="B21" s="106" t="s">
        <v>52</v>
      </c>
      <c r="C21" s="106"/>
      <c r="D21" s="14"/>
      <c r="E21" s="14"/>
      <c r="F21" s="15"/>
    </row>
    <row r="22" spans="1:6" ht="15.75" thickBot="1" x14ac:dyDescent="0.3">
      <c r="A22" s="16"/>
      <c r="B22" s="18"/>
      <c r="C22" s="18"/>
      <c r="D22" s="18"/>
      <c r="E22" s="18"/>
      <c r="F22" s="17"/>
    </row>
    <row r="23" spans="1:6" ht="15.75" thickBot="1" x14ac:dyDescent="0.3"/>
    <row r="24" spans="1:6" x14ac:dyDescent="0.25">
      <c r="A24" s="10" t="s">
        <v>13</v>
      </c>
      <c r="B24" s="101" t="s">
        <v>142</v>
      </c>
      <c r="C24" s="101"/>
      <c r="D24" s="101" t="s">
        <v>143</v>
      </c>
      <c r="E24" s="101"/>
      <c r="F24" s="12"/>
    </row>
    <row r="25" spans="1:6" x14ac:dyDescent="0.25">
      <c r="A25" s="13"/>
      <c r="B25" s="1" t="s">
        <v>64</v>
      </c>
      <c r="C25" s="2">
        <v>18000</v>
      </c>
      <c r="D25" s="1" t="s">
        <v>64</v>
      </c>
      <c r="E25" s="2">
        <v>25000</v>
      </c>
      <c r="F25" s="15"/>
    </row>
    <row r="26" spans="1:6" x14ac:dyDescent="0.25">
      <c r="A26" s="13"/>
      <c r="B26" s="1" t="s">
        <v>6</v>
      </c>
      <c r="C26" s="1">
        <v>3</v>
      </c>
      <c r="D26" s="1" t="s">
        <v>90</v>
      </c>
      <c r="E26" s="26">
        <v>3</v>
      </c>
      <c r="F26" s="15"/>
    </row>
    <row r="27" spans="1:6" x14ac:dyDescent="0.25">
      <c r="A27" s="13"/>
      <c r="B27" s="1" t="s">
        <v>144</v>
      </c>
      <c r="C27" s="9">
        <f>C25*0.35</f>
        <v>6300</v>
      </c>
      <c r="D27" s="1" t="s">
        <v>144</v>
      </c>
      <c r="E27" s="9">
        <f>E25*0.55</f>
        <v>13750.000000000002</v>
      </c>
      <c r="F27" s="15"/>
    </row>
    <row r="28" spans="1:6" x14ac:dyDescent="0.25">
      <c r="A28" s="13"/>
      <c r="B28" s="1" t="s">
        <v>5</v>
      </c>
      <c r="C28" s="3">
        <v>7.0000000000000007E-2</v>
      </c>
      <c r="D28" s="1" t="s">
        <v>5</v>
      </c>
      <c r="E28" s="3">
        <v>7.0000000000000007E-2</v>
      </c>
      <c r="F28" s="15"/>
    </row>
    <row r="29" spans="1:6" x14ac:dyDescent="0.25">
      <c r="A29" s="13"/>
      <c r="B29" s="4" t="s">
        <v>145</v>
      </c>
      <c r="C29" s="4">
        <f>PV(C28,C26,,C27)</f>
        <v>-5142.6766244123673</v>
      </c>
      <c r="D29" s="1" t="s">
        <v>145</v>
      </c>
      <c r="E29" s="4">
        <f>PV(E28,E26,,E27)</f>
        <v>-11224.095807249216</v>
      </c>
      <c r="F29" s="15"/>
    </row>
    <row r="30" spans="1:6" x14ac:dyDescent="0.25">
      <c r="A30" s="13"/>
      <c r="B30" s="1" t="s">
        <v>146</v>
      </c>
      <c r="C30" s="9">
        <f>C25+C29</f>
        <v>12857.323375587632</v>
      </c>
      <c r="D30" s="1" t="s">
        <v>146</v>
      </c>
      <c r="E30" s="9">
        <f>E25+E29</f>
        <v>13775.904192750784</v>
      </c>
      <c r="F30" s="15"/>
    </row>
    <row r="31" spans="1:6" x14ac:dyDescent="0.25">
      <c r="A31" s="13"/>
      <c r="B31" s="102" t="s">
        <v>147</v>
      </c>
      <c r="C31" s="102"/>
      <c r="D31" s="102"/>
      <c r="E31" s="102"/>
      <c r="F31" s="15"/>
    </row>
    <row r="32" spans="1:6" x14ac:dyDescent="0.25">
      <c r="A32" s="13"/>
      <c r="B32" s="103" t="s">
        <v>148</v>
      </c>
      <c r="C32" s="104"/>
      <c r="D32" s="105"/>
      <c r="E32" s="82">
        <f>E30-C30</f>
        <v>918.58081716315246</v>
      </c>
      <c r="F32" s="15"/>
    </row>
    <row r="33" spans="1:6" x14ac:dyDescent="0.25">
      <c r="A33" s="13"/>
      <c r="B33" s="14"/>
      <c r="C33" s="14"/>
      <c r="D33" s="14"/>
      <c r="E33" s="14"/>
      <c r="F33" s="15"/>
    </row>
    <row r="34" spans="1:6" x14ac:dyDescent="0.25">
      <c r="A34" s="13"/>
      <c r="B34" s="14"/>
      <c r="C34" s="14"/>
      <c r="D34" s="14"/>
      <c r="E34" s="14"/>
      <c r="F34" s="15"/>
    </row>
    <row r="35" spans="1:6" x14ac:dyDescent="0.25">
      <c r="A35" s="13"/>
      <c r="B35" s="14"/>
      <c r="C35" s="14"/>
      <c r="D35" s="14"/>
      <c r="E35" s="14"/>
      <c r="F35" s="15"/>
    </row>
    <row r="36" spans="1:6" ht="15.75" thickBot="1" x14ac:dyDescent="0.3">
      <c r="A36" s="16"/>
      <c r="B36" s="18"/>
      <c r="C36" s="18"/>
      <c r="D36" s="18"/>
      <c r="E36" s="18"/>
      <c r="F36" s="17"/>
    </row>
    <row r="37" spans="1:6" ht="15.75" thickBot="1" x14ac:dyDescent="0.3"/>
    <row r="38" spans="1:6" x14ac:dyDescent="0.25">
      <c r="A38" s="10" t="s">
        <v>20</v>
      </c>
      <c r="B38" s="19" t="s">
        <v>5</v>
      </c>
      <c r="C38" s="84">
        <v>7.0000000000000007E-2</v>
      </c>
      <c r="D38" s="11"/>
      <c r="E38" s="11"/>
      <c r="F38" s="12"/>
    </row>
    <row r="39" spans="1:6" x14ac:dyDescent="0.25">
      <c r="A39" s="13"/>
      <c r="B39" s="1" t="s">
        <v>149</v>
      </c>
      <c r="C39" s="1">
        <v>12</v>
      </c>
      <c r="D39" s="14"/>
      <c r="E39" s="14"/>
      <c r="F39" s="15"/>
    </row>
    <row r="40" spans="1:6" x14ac:dyDescent="0.25">
      <c r="A40" s="13"/>
      <c r="B40" s="7" t="s">
        <v>33</v>
      </c>
      <c r="C40" s="83">
        <f>EFFECT(C38,C39)</f>
        <v>7.2290080856235894E-2</v>
      </c>
      <c r="D40" s="14"/>
      <c r="E40" s="14"/>
      <c r="F40" s="15"/>
    </row>
    <row r="41" spans="1:6" ht="15.75" thickBot="1" x14ac:dyDescent="0.3">
      <c r="A41" s="16"/>
      <c r="B41" s="18"/>
      <c r="C41" s="18"/>
      <c r="D41" s="18"/>
      <c r="E41" s="18"/>
      <c r="F41" s="17"/>
    </row>
    <row r="42" spans="1:6" ht="15.75" thickBot="1" x14ac:dyDescent="0.3"/>
    <row r="43" spans="1:6" x14ac:dyDescent="0.25">
      <c r="A43" s="10" t="s">
        <v>28</v>
      </c>
      <c r="B43" s="19" t="s">
        <v>150</v>
      </c>
      <c r="C43" s="19">
        <v>10</v>
      </c>
      <c r="D43" s="11"/>
      <c r="E43" s="11"/>
      <c r="F43" s="12"/>
    </row>
    <row r="44" spans="1:6" x14ac:dyDescent="0.25">
      <c r="A44" s="13"/>
      <c r="B44" s="1" t="s">
        <v>66</v>
      </c>
      <c r="C44" s="2">
        <v>5000</v>
      </c>
      <c r="D44" s="14"/>
      <c r="E44" s="14"/>
      <c r="F44" s="15"/>
    </row>
    <row r="45" spans="1:6" x14ac:dyDescent="0.25">
      <c r="A45" s="13"/>
      <c r="B45" s="1" t="s">
        <v>151</v>
      </c>
      <c r="C45" s="1">
        <v>20</v>
      </c>
      <c r="D45" s="14"/>
      <c r="E45" s="14"/>
      <c r="F45" s="15"/>
    </row>
    <row r="46" spans="1:6" x14ac:dyDescent="0.25">
      <c r="A46" s="13"/>
      <c r="B46" s="1" t="s">
        <v>66</v>
      </c>
      <c r="C46" s="1">
        <f>C45*12</f>
        <v>240</v>
      </c>
      <c r="D46" s="14"/>
      <c r="E46" s="14"/>
      <c r="F46" s="15"/>
    </row>
    <row r="47" spans="1:6" x14ac:dyDescent="0.25">
      <c r="A47" s="13"/>
      <c r="B47" s="1" t="s">
        <v>5</v>
      </c>
      <c r="C47" s="6">
        <f>3.5%/12</f>
        <v>2.9166666666666668E-3</v>
      </c>
      <c r="D47" s="14"/>
      <c r="E47" s="14"/>
      <c r="F47" s="15"/>
    </row>
    <row r="48" spans="1:6" x14ac:dyDescent="0.25">
      <c r="A48" s="13"/>
      <c r="B48" s="7" t="s">
        <v>152</v>
      </c>
      <c r="C48" s="8">
        <f>-PV(C47,C46,C44)</f>
        <v>862128.84187686827</v>
      </c>
      <c r="D48" s="14"/>
      <c r="E48" s="14"/>
      <c r="F48" s="15"/>
    </row>
    <row r="49" spans="1:15" x14ac:dyDescent="0.25">
      <c r="A49" s="13"/>
      <c r="B49" s="5" t="s">
        <v>153</v>
      </c>
      <c r="C49" s="2">
        <v>500000</v>
      </c>
      <c r="D49" s="14"/>
      <c r="E49" s="14"/>
      <c r="F49" s="15"/>
    </row>
    <row r="50" spans="1:15" x14ac:dyDescent="0.25">
      <c r="A50" s="13"/>
      <c r="B50" s="5" t="s">
        <v>66</v>
      </c>
      <c r="C50" s="1">
        <f>C43*12</f>
        <v>120</v>
      </c>
      <c r="D50" s="14"/>
      <c r="E50" s="14"/>
      <c r="F50" s="15"/>
    </row>
    <row r="51" spans="1:15" x14ac:dyDescent="0.25">
      <c r="A51" s="13"/>
      <c r="B51" s="7" t="s">
        <v>154</v>
      </c>
      <c r="C51" s="8">
        <f>PMT(C47,C50,-C49,C48)</f>
        <v>-1066.400010722655</v>
      </c>
      <c r="D51" s="14"/>
      <c r="E51" s="14"/>
      <c r="F51" s="15"/>
    </row>
    <row r="52" spans="1:15" x14ac:dyDescent="0.25">
      <c r="A52" s="13"/>
      <c r="B52" s="14"/>
      <c r="C52" s="14"/>
      <c r="D52" s="14"/>
      <c r="E52" s="14"/>
      <c r="F52" s="15"/>
    </row>
    <row r="53" spans="1:15" x14ac:dyDescent="0.25">
      <c r="A53" s="13"/>
      <c r="B53" s="14"/>
      <c r="C53" s="14"/>
      <c r="D53" s="14"/>
      <c r="E53" s="14"/>
      <c r="F53" s="15"/>
    </row>
    <row r="54" spans="1:15" ht="15.75" thickBot="1" x14ac:dyDescent="0.3">
      <c r="A54" s="16"/>
      <c r="B54" s="18"/>
      <c r="C54" s="18"/>
      <c r="D54" s="18"/>
      <c r="E54" s="18"/>
      <c r="F54" s="17"/>
    </row>
    <row r="55" spans="1:15" ht="15.75" thickBot="1" x14ac:dyDescent="0.3"/>
    <row r="56" spans="1:15" x14ac:dyDescent="0.25">
      <c r="A56" s="10" t="s">
        <v>30</v>
      </c>
      <c r="B56" s="19" t="s">
        <v>155</v>
      </c>
      <c r="C56" s="87">
        <v>1500</v>
      </c>
      <c r="D56" s="11"/>
      <c r="E56" s="88" t="s">
        <v>27</v>
      </c>
      <c r="F56" s="89">
        <v>12</v>
      </c>
      <c r="G56" s="90">
        <f t="shared" ref="G56:O56" si="0">F56+12</f>
        <v>24</v>
      </c>
      <c r="H56" s="90">
        <f t="shared" si="0"/>
        <v>36</v>
      </c>
      <c r="I56" s="90">
        <f t="shared" si="0"/>
        <v>48</v>
      </c>
      <c r="J56" s="90">
        <f t="shared" si="0"/>
        <v>60</v>
      </c>
      <c r="K56" s="90">
        <f t="shared" si="0"/>
        <v>72</v>
      </c>
      <c r="L56" s="90">
        <f t="shared" si="0"/>
        <v>84</v>
      </c>
      <c r="M56" s="90">
        <f t="shared" si="0"/>
        <v>96</v>
      </c>
      <c r="N56" s="90">
        <f t="shared" si="0"/>
        <v>108</v>
      </c>
      <c r="O56" s="91">
        <f t="shared" si="0"/>
        <v>120</v>
      </c>
    </row>
    <row r="57" spans="1:15" x14ac:dyDescent="0.25">
      <c r="A57" s="13"/>
      <c r="B57" s="1" t="s">
        <v>156</v>
      </c>
      <c r="C57" s="2">
        <v>300</v>
      </c>
      <c r="D57" s="14"/>
      <c r="E57" s="86">
        <v>1</v>
      </c>
      <c r="F57" s="86">
        <v>2</v>
      </c>
      <c r="G57" s="86">
        <v>3</v>
      </c>
      <c r="H57" s="86">
        <v>4</v>
      </c>
      <c r="I57" s="86">
        <v>5</v>
      </c>
      <c r="J57" s="86">
        <v>6</v>
      </c>
      <c r="K57" s="86">
        <v>7</v>
      </c>
      <c r="L57" s="86">
        <v>8</v>
      </c>
      <c r="M57" s="86">
        <v>9</v>
      </c>
      <c r="N57" s="86">
        <v>10</v>
      </c>
      <c r="O57" s="92">
        <v>11</v>
      </c>
    </row>
    <row r="58" spans="1:15" x14ac:dyDescent="0.25">
      <c r="A58" s="13"/>
      <c r="B58" s="1" t="s">
        <v>157</v>
      </c>
      <c r="C58" s="3">
        <v>0.02</v>
      </c>
      <c r="D58" s="14"/>
      <c r="E58" s="9">
        <f>C56-C57</f>
        <v>1200</v>
      </c>
      <c r="F58" s="9">
        <f>E58*102%</f>
        <v>1224</v>
      </c>
      <c r="G58" s="9">
        <f t="shared" ref="G58:N58" si="1">F58*102%</f>
        <v>1248.48</v>
      </c>
      <c r="H58" s="9">
        <f t="shared" si="1"/>
        <v>1273.4496000000001</v>
      </c>
      <c r="I58" s="9">
        <f t="shared" si="1"/>
        <v>1298.9185920000002</v>
      </c>
      <c r="J58" s="9">
        <f t="shared" si="1"/>
        <v>1324.8969638400004</v>
      </c>
      <c r="K58" s="9">
        <f t="shared" si="1"/>
        <v>1351.3949031168004</v>
      </c>
      <c r="L58" s="9">
        <f t="shared" si="1"/>
        <v>1378.4228011791365</v>
      </c>
      <c r="M58" s="9">
        <f t="shared" si="1"/>
        <v>1405.9912572027192</v>
      </c>
      <c r="N58" s="9">
        <f t="shared" si="1"/>
        <v>1434.1110823467736</v>
      </c>
      <c r="O58" s="93">
        <f>N58*125%</f>
        <v>1792.638852933467</v>
      </c>
    </row>
    <row r="59" spans="1:15" x14ac:dyDescent="0.25">
      <c r="A59" s="13"/>
      <c r="B59" s="1" t="s">
        <v>158</v>
      </c>
      <c r="C59" s="3">
        <v>0.25</v>
      </c>
      <c r="D59" s="14"/>
      <c r="E59" s="4">
        <f t="shared" ref="E59:N59" si="2">-PV($C$61,$F$56,E58)</f>
        <v>13721.895207751928</v>
      </c>
      <c r="F59" s="4">
        <f t="shared" si="2"/>
        <v>13996.333111906966</v>
      </c>
      <c r="G59" s="4">
        <f t="shared" si="2"/>
        <v>14276.259774145106</v>
      </c>
      <c r="H59" s="4">
        <f t="shared" si="2"/>
        <v>14561.78496962801</v>
      </c>
      <c r="I59" s="4">
        <f t="shared" si="2"/>
        <v>14853.02066902057</v>
      </c>
      <c r="J59" s="4">
        <f t="shared" si="2"/>
        <v>15150.081082400984</v>
      </c>
      <c r="K59" s="4">
        <f t="shared" si="2"/>
        <v>15453.082704049002</v>
      </c>
      <c r="L59" s="4">
        <f t="shared" si="2"/>
        <v>15762.144358129986</v>
      </c>
      <c r="M59" s="4">
        <f t="shared" si="2"/>
        <v>16077.387245292588</v>
      </c>
      <c r="N59" s="4">
        <f t="shared" si="2"/>
        <v>16398.934990198439</v>
      </c>
      <c r="O59" s="93">
        <f>O58/C61</f>
        <v>239018.51372446227</v>
      </c>
    </row>
    <row r="60" spans="1:15" x14ac:dyDescent="0.25">
      <c r="A60" s="13"/>
      <c r="B60" s="1" t="s">
        <v>5</v>
      </c>
      <c r="C60" s="3">
        <v>0.09</v>
      </c>
      <c r="D60" s="14"/>
      <c r="E60" s="85">
        <f>E59</f>
        <v>13721.895207751928</v>
      </c>
      <c r="F60" s="85">
        <f t="shared" ref="F60:O60" si="3">-PV($C$61,F56,,F59)</f>
        <v>12795.981760317118</v>
      </c>
      <c r="G60" s="85">
        <f t="shared" si="3"/>
        <v>11932.546250452937</v>
      </c>
      <c r="H60" s="85">
        <f t="shared" si="3"/>
        <v>11127.372849245899</v>
      </c>
      <c r="I60" s="85">
        <f t="shared" si="3"/>
        <v>10376.530199615599</v>
      </c>
      <c r="J60" s="85">
        <f t="shared" si="3"/>
        <v>9676.3522209855219</v>
      </c>
      <c r="K60" s="85">
        <f t="shared" si="3"/>
        <v>9023.4202091986463</v>
      </c>
      <c r="L60" s="85">
        <f t="shared" si="3"/>
        <v>8414.5461442785127</v>
      </c>
      <c r="M60" s="85">
        <f t="shared" si="3"/>
        <v>7846.7571245338704</v>
      </c>
      <c r="N60" s="85">
        <f t="shared" si="3"/>
        <v>7317.2808510045134</v>
      </c>
      <c r="O60" s="94">
        <f t="shared" si="3"/>
        <v>97504.56832967847</v>
      </c>
    </row>
    <row r="61" spans="1:15" x14ac:dyDescent="0.25">
      <c r="A61" s="13"/>
      <c r="B61" s="1" t="s">
        <v>78</v>
      </c>
      <c r="C61" s="6">
        <f>C60/12</f>
        <v>7.4999999999999997E-3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5"/>
    </row>
    <row r="62" spans="1:15" x14ac:dyDescent="0.25">
      <c r="A62" s="13"/>
      <c r="B62" s="7" t="s">
        <v>159</v>
      </c>
      <c r="C62" s="8">
        <f>SUM(E60:O60)</f>
        <v>199737.25114706304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5"/>
    </row>
    <row r="63" spans="1:15" ht="15.75" thickBot="1" x14ac:dyDescent="0.3">
      <c r="A63" s="16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7"/>
    </row>
    <row r="64" spans="1:15" ht="15.75" thickBot="1" x14ac:dyDescent="0.3"/>
    <row r="65" spans="1:9" x14ac:dyDescent="0.25">
      <c r="A65" s="10" t="s">
        <v>36</v>
      </c>
      <c r="B65" s="19" t="s">
        <v>160</v>
      </c>
      <c r="C65" s="87">
        <v>1000</v>
      </c>
      <c r="D65" s="12"/>
    </row>
    <row r="66" spans="1:9" x14ac:dyDescent="0.25">
      <c r="A66" s="13"/>
      <c r="B66" s="1" t="s">
        <v>6</v>
      </c>
      <c r="C66" s="1">
        <v>10</v>
      </c>
      <c r="D66" s="15"/>
    </row>
    <row r="67" spans="1:9" x14ac:dyDescent="0.25">
      <c r="A67" s="13"/>
      <c r="B67" s="1" t="s">
        <v>64</v>
      </c>
      <c r="C67" s="2">
        <v>744.09</v>
      </c>
      <c r="D67" s="15"/>
    </row>
    <row r="68" spans="1:9" x14ac:dyDescent="0.25">
      <c r="A68" s="13"/>
      <c r="B68" s="1" t="s">
        <v>161</v>
      </c>
      <c r="C68" s="1">
        <f>C66*2</f>
        <v>20</v>
      </c>
      <c r="D68" s="15"/>
    </row>
    <row r="69" spans="1:9" x14ac:dyDescent="0.25">
      <c r="A69" s="13"/>
      <c r="B69" s="7" t="s">
        <v>162</v>
      </c>
      <c r="C69" s="95">
        <f>RATE(C68,,-C67,C65)*2</f>
        <v>2.977884698294192E-2</v>
      </c>
      <c r="D69" s="15"/>
    </row>
    <row r="70" spans="1:9" x14ac:dyDescent="0.25">
      <c r="A70" s="13"/>
      <c r="B70" s="14"/>
      <c r="C70" s="14"/>
      <c r="D70" s="15"/>
    </row>
    <row r="71" spans="1:9" ht="15.75" thickBot="1" x14ac:dyDescent="0.3">
      <c r="A71" s="16"/>
      <c r="B71" s="18"/>
      <c r="C71" s="18"/>
      <c r="D71" s="17"/>
    </row>
    <row r="72" spans="1:9" ht="15.75" thickBot="1" x14ac:dyDescent="0.3"/>
    <row r="73" spans="1:9" x14ac:dyDescent="0.25">
      <c r="A73" s="10" t="s">
        <v>43</v>
      </c>
      <c r="B73" s="19" t="s">
        <v>82</v>
      </c>
      <c r="C73" s="84">
        <v>0.06</v>
      </c>
      <c r="D73" s="11"/>
      <c r="E73" s="11"/>
      <c r="F73" s="11"/>
      <c r="G73" s="11"/>
      <c r="H73" s="11"/>
      <c r="I73" s="12"/>
    </row>
    <row r="74" spans="1:9" x14ac:dyDescent="0.25">
      <c r="A74" s="13"/>
      <c r="B74" s="1" t="s">
        <v>161</v>
      </c>
      <c r="C74" s="1">
        <f>C75*2</f>
        <v>20</v>
      </c>
      <c r="D74" s="14"/>
      <c r="E74" s="7" t="s">
        <v>166</v>
      </c>
      <c r="F74" s="8">
        <f>PV(C77,C74,C80,C78)</f>
        <v>-1163.514333445971</v>
      </c>
      <c r="G74" s="14"/>
      <c r="H74" s="14"/>
      <c r="I74" s="15"/>
    </row>
    <row r="75" spans="1:9" x14ac:dyDescent="0.25">
      <c r="A75" s="13"/>
      <c r="B75" s="1" t="s">
        <v>6</v>
      </c>
      <c r="C75" s="1">
        <v>10</v>
      </c>
      <c r="D75" s="14"/>
      <c r="E75" s="7" t="s">
        <v>171</v>
      </c>
      <c r="F75" s="8">
        <f>PV(C82,C74,C80,C78)</f>
        <v>-1000</v>
      </c>
      <c r="G75" s="14"/>
      <c r="H75" s="14"/>
      <c r="I75" s="15"/>
    </row>
    <row r="76" spans="1:9" x14ac:dyDescent="0.25">
      <c r="A76" s="13"/>
      <c r="B76" s="1" t="s">
        <v>163</v>
      </c>
      <c r="C76" s="3">
        <v>0.04</v>
      </c>
      <c r="D76" s="14"/>
      <c r="E76" s="7" t="s">
        <v>172</v>
      </c>
      <c r="F76" s="8">
        <f>PV(C84,C74,C80,C78)</f>
        <v>-864.09673655032293</v>
      </c>
      <c r="G76" s="14"/>
      <c r="H76" s="14"/>
      <c r="I76" s="15"/>
    </row>
    <row r="77" spans="1:9" x14ac:dyDescent="0.25">
      <c r="A77" s="13"/>
      <c r="B77" s="1" t="s">
        <v>167</v>
      </c>
      <c r="C77" s="96">
        <f>C76/2</f>
        <v>0.02</v>
      </c>
      <c r="D77" s="14"/>
      <c r="E77" s="14"/>
      <c r="F77" s="14"/>
      <c r="G77" s="14"/>
      <c r="H77" s="14"/>
      <c r="I77" s="15"/>
    </row>
    <row r="78" spans="1:9" x14ac:dyDescent="0.25">
      <c r="A78" s="13"/>
      <c r="B78" s="1" t="s">
        <v>160</v>
      </c>
      <c r="C78" s="2">
        <f>1000</f>
        <v>1000</v>
      </c>
      <c r="D78" s="14"/>
      <c r="E78" s="97" t="s">
        <v>173</v>
      </c>
      <c r="F78" s="14"/>
      <c r="G78" s="14"/>
      <c r="H78" s="14"/>
      <c r="I78" s="15"/>
    </row>
    <row r="79" spans="1:9" x14ac:dyDescent="0.25">
      <c r="A79" s="13"/>
      <c r="B79" s="1" t="s">
        <v>165</v>
      </c>
      <c r="C79" s="96">
        <f>C73/2</f>
        <v>0.03</v>
      </c>
      <c r="D79" s="14"/>
      <c r="E79" s="14"/>
      <c r="F79" s="14"/>
      <c r="G79" s="14"/>
      <c r="H79" s="14"/>
      <c r="I79" s="15"/>
    </row>
    <row r="80" spans="1:9" x14ac:dyDescent="0.25">
      <c r="A80" s="13"/>
      <c r="B80" s="1" t="s">
        <v>164</v>
      </c>
      <c r="C80" s="9">
        <f>C78*C79</f>
        <v>30</v>
      </c>
      <c r="D80" s="14"/>
      <c r="E80" s="14"/>
      <c r="F80" s="14"/>
      <c r="G80" s="14"/>
      <c r="H80" s="14"/>
      <c r="I80" s="15"/>
    </row>
    <row r="81" spans="1:11" x14ac:dyDescent="0.25">
      <c r="A81" s="13"/>
      <c r="B81" s="1" t="s">
        <v>70</v>
      </c>
      <c r="C81" s="96">
        <f>6%</f>
        <v>0.06</v>
      </c>
      <c r="D81" s="14"/>
      <c r="E81" s="14"/>
      <c r="F81" s="14"/>
      <c r="G81" s="14"/>
      <c r="H81" s="14"/>
      <c r="I81" s="15"/>
    </row>
    <row r="82" spans="1:11" x14ac:dyDescent="0.25">
      <c r="A82" s="13"/>
      <c r="B82" s="1" t="s">
        <v>168</v>
      </c>
      <c r="C82" s="96">
        <f>C81/2</f>
        <v>0.03</v>
      </c>
      <c r="D82" s="14"/>
      <c r="E82" s="14"/>
      <c r="F82" s="14"/>
      <c r="G82" s="14"/>
      <c r="H82" s="14"/>
      <c r="I82" s="15"/>
    </row>
    <row r="83" spans="1:11" x14ac:dyDescent="0.25">
      <c r="A83" s="13"/>
      <c r="B83" s="1" t="s">
        <v>169</v>
      </c>
      <c r="C83" s="96">
        <f>8%</f>
        <v>0.08</v>
      </c>
      <c r="D83" s="14"/>
      <c r="E83" s="14"/>
      <c r="F83" s="14"/>
      <c r="G83" s="14"/>
      <c r="H83" s="14"/>
      <c r="I83" s="15"/>
    </row>
    <row r="84" spans="1:11" x14ac:dyDescent="0.25">
      <c r="A84" s="13"/>
      <c r="B84" s="1" t="s">
        <v>170</v>
      </c>
      <c r="C84" s="96">
        <f>C83/2</f>
        <v>0.04</v>
      </c>
      <c r="D84" s="14"/>
      <c r="E84" s="14"/>
      <c r="F84" s="14"/>
      <c r="G84" s="14"/>
      <c r="H84" s="14"/>
      <c r="I84" s="15"/>
    </row>
    <row r="85" spans="1:11" x14ac:dyDescent="0.25">
      <c r="A85" s="13"/>
      <c r="B85" s="14"/>
      <c r="C85" s="14"/>
      <c r="D85" s="14"/>
      <c r="E85" s="14"/>
      <c r="F85" s="14"/>
      <c r="G85" s="14"/>
      <c r="H85" s="14"/>
      <c r="I85" s="15"/>
    </row>
    <row r="86" spans="1:11" ht="15.75" thickBot="1" x14ac:dyDescent="0.3">
      <c r="A86" s="16"/>
      <c r="B86" s="18"/>
      <c r="C86" s="18"/>
      <c r="D86" s="18"/>
      <c r="E86" s="18"/>
      <c r="F86" s="18"/>
      <c r="G86" s="18"/>
      <c r="H86" s="18"/>
      <c r="I86" s="17"/>
    </row>
    <row r="87" spans="1:11" ht="15.75" thickBot="1" x14ac:dyDescent="0.3"/>
    <row r="88" spans="1:11" x14ac:dyDescent="0.25">
      <c r="A88" s="10" t="s">
        <v>107</v>
      </c>
      <c r="B88" s="11" t="s">
        <v>174</v>
      </c>
      <c r="C88" s="98">
        <v>15000</v>
      </c>
      <c r="D88" s="11"/>
      <c r="E88" s="11"/>
      <c r="F88" s="11"/>
      <c r="G88" s="11"/>
      <c r="H88" s="11"/>
      <c r="I88" s="11"/>
      <c r="J88" s="11"/>
      <c r="K88" s="12"/>
    </row>
    <row r="89" spans="1:11" x14ac:dyDescent="0.25">
      <c r="A89" s="13"/>
      <c r="B89" s="14"/>
      <c r="C89" s="14"/>
      <c r="D89" s="14"/>
      <c r="E89" s="1">
        <v>0</v>
      </c>
      <c r="F89" s="1">
        <v>1</v>
      </c>
      <c r="G89" s="1">
        <v>2</v>
      </c>
      <c r="H89" s="1">
        <v>3</v>
      </c>
      <c r="I89" s="1">
        <v>4</v>
      </c>
      <c r="J89" s="1">
        <v>5</v>
      </c>
      <c r="K89" s="15"/>
    </row>
    <row r="90" spans="1:11" x14ac:dyDescent="0.25">
      <c r="A90" s="13"/>
      <c r="B90" s="14"/>
      <c r="C90" s="14"/>
      <c r="D90" s="14"/>
      <c r="E90" s="2">
        <v>-19000</v>
      </c>
      <c r="F90" s="2">
        <v>5000</v>
      </c>
      <c r="G90" s="2">
        <v>7000</v>
      </c>
      <c r="H90" s="2">
        <v>9000</v>
      </c>
      <c r="I90" s="2">
        <v>3000</v>
      </c>
      <c r="J90" s="2">
        <v>6000</v>
      </c>
      <c r="K90" s="15"/>
    </row>
    <row r="91" spans="1:11" x14ac:dyDescent="0.25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5"/>
    </row>
    <row r="92" spans="1:11" x14ac:dyDescent="0.25">
      <c r="A92" s="13"/>
      <c r="B92" s="7" t="s">
        <v>175</v>
      </c>
      <c r="C92" s="95">
        <f>IRR(E90:J90)</f>
        <v>0.17793865378532758</v>
      </c>
      <c r="D92" s="14"/>
      <c r="E92" s="1">
        <v>0</v>
      </c>
      <c r="F92" s="1">
        <v>1</v>
      </c>
      <c r="G92" s="1">
        <v>2</v>
      </c>
      <c r="H92" s="1">
        <v>3</v>
      </c>
      <c r="I92" s="1">
        <v>4</v>
      </c>
      <c r="J92" s="1">
        <v>5</v>
      </c>
      <c r="K92" s="15"/>
    </row>
    <row r="93" spans="1:11" x14ac:dyDescent="0.25">
      <c r="A93" s="13"/>
      <c r="B93" s="7" t="s">
        <v>176</v>
      </c>
      <c r="C93" s="95">
        <f>IRR(E93:J93)</f>
        <v>0.11555406373004851</v>
      </c>
      <c r="D93" s="14"/>
      <c r="E93" s="2">
        <v>-22000</v>
      </c>
      <c r="F93" s="2">
        <v>5000</v>
      </c>
      <c r="G93" s="2">
        <v>7000</v>
      </c>
      <c r="H93" s="2">
        <v>9000</v>
      </c>
      <c r="I93" s="2">
        <v>3000</v>
      </c>
      <c r="J93" s="2">
        <v>6000</v>
      </c>
      <c r="K93" s="15"/>
    </row>
    <row r="94" spans="1:11" x14ac:dyDescent="0.25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5"/>
    </row>
    <row r="95" spans="1:11" x14ac:dyDescent="0.25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5"/>
    </row>
    <row r="96" spans="1:11" ht="15.75" thickBot="1" x14ac:dyDescent="0.3">
      <c r="A96" s="16"/>
      <c r="B96" s="18"/>
      <c r="C96" s="18"/>
      <c r="D96" s="18"/>
      <c r="E96" s="18"/>
      <c r="F96" s="18"/>
      <c r="G96" s="18"/>
      <c r="H96" s="18"/>
      <c r="I96" s="18"/>
      <c r="J96" s="18"/>
      <c r="K96" s="17"/>
    </row>
  </sheetData>
  <mergeCells count="14">
    <mergeCell ref="B24:C24"/>
    <mergeCell ref="D24:E24"/>
    <mergeCell ref="B31:E31"/>
    <mergeCell ref="B32:D32"/>
    <mergeCell ref="B1:E1"/>
    <mergeCell ref="B2:E2"/>
    <mergeCell ref="B3:E3"/>
    <mergeCell ref="B21:C21"/>
    <mergeCell ref="B4:C4"/>
    <mergeCell ref="D4:E4"/>
    <mergeCell ref="B9:E9"/>
    <mergeCell ref="B13:C13"/>
    <mergeCell ref="B14:C14"/>
    <mergeCell ref="B15:C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5F9F0-F596-46A3-BC06-13B43FC0F554}">
  <dimension ref="A1:Q349"/>
  <sheetViews>
    <sheetView topLeftCell="A325" zoomScale="90" zoomScaleNormal="90" workbookViewId="0">
      <selection activeCell="J349" sqref="J349"/>
    </sheetView>
  </sheetViews>
  <sheetFormatPr baseColWidth="10" defaultRowHeight="15" x14ac:dyDescent="0.25"/>
  <cols>
    <col min="1" max="1" width="12.28515625" style="31" bestFit="1" customWidth="1"/>
    <col min="2" max="2" width="21.85546875" style="31" bestFit="1" customWidth="1"/>
    <col min="3" max="3" width="15.5703125" style="31" bestFit="1" customWidth="1"/>
    <col min="4" max="4" width="13" style="31" bestFit="1" customWidth="1"/>
    <col min="5" max="5" width="25" style="31" bestFit="1" customWidth="1"/>
    <col min="6" max="6" width="21.140625" style="31" bestFit="1" customWidth="1"/>
    <col min="7" max="7" width="15.7109375" style="31" bestFit="1" customWidth="1"/>
    <col min="8" max="8" width="18.140625" style="31" bestFit="1" customWidth="1"/>
    <col min="9" max="9" width="15.85546875" style="31" bestFit="1" customWidth="1"/>
    <col min="10" max="10" width="20.28515625" style="31" bestFit="1" customWidth="1"/>
    <col min="11" max="11" width="17.42578125" style="31" bestFit="1" customWidth="1"/>
    <col min="12" max="17" width="15.7109375" style="31" bestFit="1" customWidth="1"/>
    <col min="18" max="16384" width="11.42578125" style="31"/>
  </cols>
  <sheetData>
    <row r="1" spans="1:11" ht="15.75" thickBot="1" x14ac:dyDescent="0.3">
      <c r="A1" s="27" t="s">
        <v>0</v>
      </c>
      <c r="B1" s="28" t="s">
        <v>54</v>
      </c>
      <c r="C1" s="28">
        <v>25000</v>
      </c>
      <c r="D1" s="29"/>
      <c r="E1" s="29"/>
      <c r="F1" s="29"/>
      <c r="G1" s="29"/>
      <c r="H1" s="30"/>
      <c r="K1" s="32" t="s">
        <v>48</v>
      </c>
    </row>
    <row r="2" spans="1:11" x14ac:dyDescent="0.25">
      <c r="A2" s="33"/>
      <c r="B2" s="28" t="s">
        <v>6</v>
      </c>
      <c r="C2" s="28">
        <v>5</v>
      </c>
      <c r="D2" s="34"/>
      <c r="E2" s="34"/>
      <c r="F2" s="34"/>
      <c r="G2" s="34"/>
      <c r="H2" s="35"/>
    </row>
    <row r="3" spans="1:11" x14ac:dyDescent="0.25">
      <c r="A3" s="33"/>
      <c r="B3" s="28" t="s">
        <v>5</v>
      </c>
      <c r="C3" s="36">
        <v>0.1</v>
      </c>
      <c r="D3" s="34"/>
      <c r="E3" s="34"/>
      <c r="F3" s="34"/>
      <c r="G3" s="34"/>
      <c r="H3" s="35"/>
    </row>
    <row r="4" spans="1:11" x14ac:dyDescent="0.25">
      <c r="A4" s="33"/>
      <c r="B4" s="37" t="s">
        <v>55</v>
      </c>
      <c r="C4" s="38">
        <f>PMT(C3,C2,C1)</f>
        <v>-6594.9370198686347</v>
      </c>
      <c r="D4" s="34"/>
      <c r="E4" s="34"/>
      <c r="F4" s="34"/>
      <c r="G4" s="34"/>
      <c r="H4" s="35"/>
    </row>
    <row r="5" spans="1:11" x14ac:dyDescent="0.25">
      <c r="A5" s="33"/>
      <c r="B5" s="39" t="s">
        <v>56</v>
      </c>
      <c r="C5" s="34"/>
      <c r="D5" s="34"/>
      <c r="E5" s="34"/>
      <c r="F5" s="34"/>
      <c r="G5" s="34"/>
      <c r="H5" s="35"/>
    </row>
    <row r="6" spans="1:11" x14ac:dyDescent="0.25">
      <c r="A6" s="33"/>
      <c r="B6" s="40" t="s">
        <v>57</v>
      </c>
      <c r="C6" s="40" t="s">
        <v>58</v>
      </c>
      <c r="D6" s="40" t="s">
        <v>59</v>
      </c>
      <c r="E6" s="40" t="s">
        <v>60</v>
      </c>
      <c r="F6" s="40" t="s">
        <v>61</v>
      </c>
      <c r="G6" s="40" t="s">
        <v>62</v>
      </c>
      <c r="H6" s="35"/>
    </row>
    <row r="7" spans="1:11" x14ac:dyDescent="0.25">
      <c r="A7" s="33"/>
      <c r="B7" s="41">
        <v>1</v>
      </c>
      <c r="C7" s="41">
        <f>C1</f>
        <v>25000</v>
      </c>
      <c r="D7" s="42">
        <f>-C4</f>
        <v>6594.9370198686347</v>
      </c>
      <c r="E7" s="43">
        <f>C3*C7</f>
        <v>2500</v>
      </c>
      <c r="F7" s="42">
        <f>D7-E7</f>
        <v>4094.9370198686347</v>
      </c>
      <c r="G7" s="44">
        <f>C7-F7</f>
        <v>20905.062980131366</v>
      </c>
      <c r="H7" s="35"/>
    </row>
    <row r="8" spans="1:11" x14ac:dyDescent="0.25">
      <c r="A8" s="33"/>
      <c r="B8" s="41">
        <v>2</v>
      </c>
      <c r="C8" s="44">
        <f>G7</f>
        <v>20905.062980131366</v>
      </c>
      <c r="D8" s="42">
        <f>D7</f>
        <v>6594.9370198686347</v>
      </c>
      <c r="E8" s="44">
        <f>C8*$C$3</f>
        <v>2090.5062980131365</v>
      </c>
      <c r="F8" s="42">
        <f>D8-E8</f>
        <v>4504.4307218554986</v>
      </c>
      <c r="G8" s="44">
        <f>C8-F8</f>
        <v>16400.632258275866</v>
      </c>
      <c r="H8" s="45">
        <f>F11/D11</f>
        <v>0.90909090909090917</v>
      </c>
      <c r="I8" s="46"/>
    </row>
    <row r="9" spans="1:11" x14ac:dyDescent="0.25">
      <c r="A9" s="33"/>
      <c r="B9" s="41">
        <v>3</v>
      </c>
      <c r="C9" s="44">
        <f>G8</f>
        <v>16400.632258275866</v>
      </c>
      <c r="D9" s="42">
        <f>D8</f>
        <v>6594.9370198686347</v>
      </c>
      <c r="E9" s="44">
        <f>C9*$C$3</f>
        <v>1640.0632258275866</v>
      </c>
      <c r="F9" s="42">
        <f>D9-E9</f>
        <v>4954.8737940410483</v>
      </c>
      <c r="G9" s="44">
        <f>C9-F9</f>
        <v>11445.758464234817</v>
      </c>
      <c r="H9" s="35"/>
    </row>
    <row r="10" spans="1:11" x14ac:dyDescent="0.25">
      <c r="A10" s="33"/>
      <c r="B10" s="41">
        <v>4</v>
      </c>
      <c r="C10" s="44">
        <f>G9</f>
        <v>11445.758464234817</v>
      </c>
      <c r="D10" s="42">
        <f>D9</f>
        <v>6594.9370198686347</v>
      </c>
      <c r="E10" s="44">
        <f>C10*$C$3</f>
        <v>1144.5758464234818</v>
      </c>
      <c r="F10" s="42">
        <f>D10-E10</f>
        <v>5450.3611734451533</v>
      </c>
      <c r="G10" s="44">
        <f>C10-F10</f>
        <v>5995.3972907896641</v>
      </c>
      <c r="H10" s="35"/>
    </row>
    <row r="11" spans="1:11" x14ac:dyDescent="0.25">
      <c r="A11" s="33"/>
      <c r="B11" s="41">
        <v>5</v>
      </c>
      <c r="C11" s="44">
        <f>G10</f>
        <v>5995.3972907896641</v>
      </c>
      <c r="D11" s="42">
        <f>D10</f>
        <v>6594.9370198686347</v>
      </c>
      <c r="E11" s="44">
        <f>C11*$C$3</f>
        <v>599.53972907896639</v>
      </c>
      <c r="F11" s="42">
        <f>D11-E11</f>
        <v>5995.3972907896687</v>
      </c>
      <c r="G11" s="44">
        <f>C11-F11</f>
        <v>0</v>
      </c>
      <c r="H11" s="35"/>
    </row>
    <row r="12" spans="1:11" x14ac:dyDescent="0.25">
      <c r="A12" s="33"/>
      <c r="B12" s="34" t="s">
        <v>63</v>
      </c>
      <c r="C12" s="34"/>
      <c r="D12" s="34"/>
      <c r="E12" s="34"/>
      <c r="F12" s="34"/>
      <c r="G12" s="34"/>
      <c r="H12" s="35"/>
    </row>
    <row r="13" spans="1:11" x14ac:dyDescent="0.25">
      <c r="A13" s="33"/>
      <c r="B13" s="34"/>
      <c r="C13" s="34"/>
      <c r="D13" s="34"/>
      <c r="E13" s="34"/>
      <c r="F13" s="34"/>
      <c r="G13" s="34"/>
      <c r="H13" s="35"/>
    </row>
    <row r="14" spans="1:11" x14ac:dyDescent="0.25">
      <c r="A14" s="33"/>
      <c r="B14" s="34"/>
      <c r="C14" s="34"/>
      <c r="D14" s="34"/>
      <c r="E14" s="34"/>
      <c r="F14" s="34"/>
      <c r="G14" s="34"/>
      <c r="H14" s="35"/>
    </row>
    <row r="15" spans="1:11" x14ac:dyDescent="0.25">
      <c r="A15" s="33"/>
      <c r="B15" s="34"/>
      <c r="C15" s="34"/>
      <c r="D15" s="34"/>
      <c r="E15" s="34"/>
      <c r="F15" s="34"/>
      <c r="G15" s="34"/>
      <c r="H15" s="35"/>
    </row>
    <row r="16" spans="1:11" x14ac:dyDescent="0.25">
      <c r="A16" s="33"/>
      <c r="B16" s="34"/>
      <c r="C16" s="34"/>
      <c r="D16" s="34"/>
      <c r="E16" s="34"/>
      <c r="F16" s="34"/>
      <c r="G16" s="34"/>
      <c r="H16" s="35"/>
    </row>
    <row r="17" spans="1:8" x14ac:dyDescent="0.25">
      <c r="A17" s="33"/>
      <c r="B17" s="34"/>
      <c r="C17" s="34"/>
      <c r="D17" s="34"/>
      <c r="E17" s="34"/>
      <c r="F17" s="34"/>
      <c r="G17" s="34"/>
      <c r="H17" s="35"/>
    </row>
    <row r="18" spans="1:8" x14ac:dyDescent="0.25">
      <c r="A18" s="33"/>
      <c r="B18" s="34"/>
      <c r="C18" s="34"/>
      <c r="D18" s="34"/>
      <c r="E18" s="34"/>
      <c r="F18" s="34"/>
      <c r="G18" s="34"/>
      <c r="H18" s="35"/>
    </row>
    <row r="19" spans="1:8" x14ac:dyDescent="0.25">
      <c r="A19" s="33"/>
      <c r="B19" s="34"/>
      <c r="C19" s="34"/>
      <c r="D19" s="34"/>
      <c r="E19" s="34"/>
      <c r="F19" s="34"/>
      <c r="G19" s="34"/>
      <c r="H19" s="35"/>
    </row>
    <row r="20" spans="1:8" x14ac:dyDescent="0.25">
      <c r="A20" s="33"/>
      <c r="B20" s="34"/>
      <c r="C20" s="34"/>
      <c r="D20" s="34"/>
      <c r="E20" s="34"/>
      <c r="F20" s="34"/>
      <c r="G20" s="34"/>
      <c r="H20" s="35"/>
    </row>
    <row r="21" spans="1:8" x14ac:dyDescent="0.25">
      <c r="A21" s="33"/>
      <c r="B21" s="34"/>
      <c r="C21" s="34"/>
      <c r="D21" s="34"/>
      <c r="E21" s="34"/>
      <c r="F21" s="34"/>
      <c r="G21" s="34"/>
      <c r="H21" s="35"/>
    </row>
    <row r="22" spans="1:8" x14ac:dyDescent="0.25">
      <c r="A22" s="33"/>
      <c r="B22" s="34"/>
      <c r="C22" s="34"/>
      <c r="D22" s="34"/>
      <c r="E22" s="34"/>
      <c r="F22" s="34"/>
      <c r="G22" s="34"/>
      <c r="H22" s="35"/>
    </row>
    <row r="23" spans="1:8" x14ac:dyDescent="0.25">
      <c r="A23" s="33"/>
      <c r="B23" s="34"/>
      <c r="C23" s="34"/>
      <c r="D23" s="34"/>
      <c r="E23" s="34"/>
      <c r="F23" s="34"/>
      <c r="G23" s="34"/>
      <c r="H23" s="35"/>
    </row>
    <row r="24" spans="1:8" x14ac:dyDescent="0.25">
      <c r="A24" s="33"/>
      <c r="B24" s="34"/>
      <c r="C24" s="34"/>
      <c r="D24" s="34"/>
      <c r="E24" s="34"/>
      <c r="F24" s="34"/>
      <c r="G24" s="34"/>
      <c r="H24" s="35"/>
    </row>
    <row r="25" spans="1:8" x14ac:dyDescent="0.25">
      <c r="A25" s="33"/>
      <c r="B25" s="34"/>
      <c r="C25" s="34"/>
      <c r="D25" s="34"/>
      <c r="E25" s="34"/>
      <c r="F25" s="34"/>
      <c r="G25" s="34"/>
      <c r="H25" s="35"/>
    </row>
    <row r="26" spans="1:8" x14ac:dyDescent="0.25">
      <c r="A26" s="33"/>
      <c r="B26" s="34"/>
      <c r="C26" s="34"/>
      <c r="D26" s="34"/>
      <c r="E26" s="34"/>
      <c r="F26" s="34"/>
      <c r="G26" s="34"/>
      <c r="H26" s="35"/>
    </row>
    <row r="27" spans="1:8" x14ac:dyDescent="0.25">
      <c r="A27" s="33"/>
      <c r="B27" s="34"/>
      <c r="C27" s="34"/>
      <c r="D27" s="34"/>
      <c r="E27" s="34"/>
      <c r="F27" s="34"/>
      <c r="G27" s="34"/>
      <c r="H27" s="35"/>
    </row>
    <row r="28" spans="1:8" ht="15.75" thickBot="1" x14ac:dyDescent="0.3">
      <c r="A28" s="47"/>
      <c r="B28" s="48"/>
      <c r="C28" s="48"/>
      <c r="D28" s="48"/>
      <c r="E28" s="48"/>
      <c r="F28" s="48"/>
      <c r="G28" s="48"/>
      <c r="H28" s="49"/>
    </row>
    <row r="29" spans="1:8" ht="15.75" thickBot="1" x14ac:dyDescent="0.3"/>
    <row r="30" spans="1:8" x14ac:dyDescent="0.25">
      <c r="A30" s="27" t="s">
        <v>7</v>
      </c>
      <c r="B30" s="50" t="s">
        <v>64</v>
      </c>
      <c r="C30" s="51">
        <v>160000</v>
      </c>
      <c r="D30" s="29"/>
      <c r="E30" s="29"/>
      <c r="F30" s="29"/>
      <c r="G30" s="29"/>
      <c r="H30" s="30"/>
    </row>
    <row r="31" spans="1:8" x14ac:dyDescent="0.25">
      <c r="A31" s="33"/>
      <c r="B31" s="41" t="s">
        <v>65</v>
      </c>
      <c r="C31" s="52">
        <v>30000</v>
      </c>
      <c r="D31" s="41" t="s">
        <v>66</v>
      </c>
      <c r="E31" s="41" t="s">
        <v>67</v>
      </c>
      <c r="F31" s="34"/>
      <c r="G31" s="34"/>
      <c r="H31" s="35"/>
    </row>
    <row r="32" spans="1:8" x14ac:dyDescent="0.25">
      <c r="A32" s="33"/>
      <c r="B32" s="41" t="s">
        <v>68</v>
      </c>
      <c r="C32" s="52">
        <v>4000</v>
      </c>
      <c r="D32" s="53">
        <f>RATE(C33*12,C32,C31-C30)</f>
        <v>5.6365248480388661E-3</v>
      </c>
      <c r="E32" s="54">
        <f>D32*12</f>
        <v>6.7638298176466397E-2</v>
      </c>
      <c r="F32" s="34"/>
      <c r="G32" s="34"/>
      <c r="H32" s="35"/>
    </row>
    <row r="33" spans="1:10" x14ac:dyDescent="0.25">
      <c r="A33" s="33"/>
      <c r="B33" s="41" t="s">
        <v>69</v>
      </c>
      <c r="C33" s="43">
        <v>3</v>
      </c>
      <c r="D33" s="34"/>
      <c r="E33" s="34"/>
      <c r="F33" s="34"/>
      <c r="G33" s="34"/>
      <c r="H33" s="35"/>
    </row>
    <row r="34" spans="1:10" x14ac:dyDescent="0.25">
      <c r="A34" s="33"/>
      <c r="B34" s="55" t="s">
        <v>70</v>
      </c>
      <c r="C34" s="56">
        <v>0.05</v>
      </c>
      <c r="D34" s="34"/>
      <c r="E34" s="34"/>
      <c r="F34" s="34"/>
      <c r="G34" s="34"/>
      <c r="H34" s="35"/>
    </row>
    <row r="35" spans="1:10" x14ac:dyDescent="0.25">
      <c r="A35" s="33"/>
      <c r="B35" s="109" t="s">
        <v>71</v>
      </c>
      <c r="C35" s="109"/>
      <c r="D35" s="109"/>
      <c r="E35" s="109"/>
      <c r="F35" s="109"/>
      <c r="G35" s="34"/>
      <c r="H35" s="35"/>
    </row>
    <row r="36" spans="1:10" ht="15.75" thickBot="1" x14ac:dyDescent="0.3">
      <c r="A36" s="47"/>
      <c r="B36" s="48"/>
      <c r="C36" s="48"/>
      <c r="D36" s="48"/>
      <c r="E36" s="48"/>
      <c r="F36" s="48"/>
      <c r="G36" s="48"/>
      <c r="H36" s="49"/>
    </row>
    <row r="37" spans="1:10" ht="15.75" thickBot="1" x14ac:dyDescent="0.3"/>
    <row r="38" spans="1:10" x14ac:dyDescent="0.25">
      <c r="A38" s="27" t="s">
        <v>13</v>
      </c>
      <c r="B38" s="29" t="s">
        <v>64</v>
      </c>
      <c r="C38" s="57">
        <v>125000</v>
      </c>
      <c r="D38" s="29"/>
      <c r="E38" s="29"/>
      <c r="F38" s="29"/>
      <c r="G38" s="29"/>
      <c r="H38" s="29"/>
      <c r="I38" s="29"/>
      <c r="J38" s="30"/>
    </row>
    <row r="39" spans="1:10" x14ac:dyDescent="0.25">
      <c r="A39" s="33"/>
      <c r="B39" s="34" t="s">
        <v>72</v>
      </c>
      <c r="C39" s="58">
        <v>25000</v>
      </c>
      <c r="D39" s="34"/>
      <c r="E39" s="34"/>
      <c r="F39" s="34"/>
      <c r="G39" s="34"/>
      <c r="H39" s="34"/>
      <c r="I39" s="34"/>
      <c r="J39" s="35"/>
    </row>
    <row r="40" spans="1:10" x14ac:dyDescent="0.25">
      <c r="A40" s="33"/>
      <c r="B40" s="34" t="s">
        <v>29</v>
      </c>
      <c r="C40" s="59">
        <v>7.4999999999999997E-2</v>
      </c>
      <c r="D40" s="60">
        <f>C40/12</f>
        <v>6.2499999999999995E-3</v>
      </c>
      <c r="E40" s="34"/>
      <c r="F40" s="34"/>
      <c r="G40" s="34"/>
      <c r="H40" s="34"/>
      <c r="I40" s="34"/>
      <c r="J40" s="35"/>
    </row>
    <row r="41" spans="1:10" x14ac:dyDescent="0.25">
      <c r="A41" s="33"/>
      <c r="B41" s="34" t="s">
        <v>73</v>
      </c>
      <c r="C41" s="34">
        <f>C42*12</f>
        <v>180</v>
      </c>
      <c r="D41" s="34"/>
      <c r="E41" s="34"/>
      <c r="F41" s="34"/>
      <c r="G41" s="34"/>
      <c r="H41" s="34"/>
      <c r="I41" s="34"/>
      <c r="J41" s="35"/>
    </row>
    <row r="42" spans="1:10" x14ac:dyDescent="0.25">
      <c r="A42" s="33"/>
      <c r="B42" s="34" t="s">
        <v>6</v>
      </c>
      <c r="C42" s="34">
        <v>15</v>
      </c>
      <c r="D42" s="34"/>
      <c r="E42" s="34"/>
      <c r="F42" s="34"/>
      <c r="G42" s="34"/>
      <c r="H42" s="34"/>
      <c r="I42" s="34"/>
      <c r="J42" s="35"/>
    </row>
    <row r="43" spans="1:10" x14ac:dyDescent="0.25">
      <c r="A43" s="33"/>
      <c r="B43" s="61" t="s">
        <v>74</v>
      </c>
      <c r="C43" s="38">
        <f>PMT(C40/12,C41,C38-C39)</f>
        <v>-927.01236000273809</v>
      </c>
      <c r="D43" s="34"/>
      <c r="E43" s="61" t="s">
        <v>75</v>
      </c>
      <c r="F43" s="62">
        <f>G105</f>
        <v>78095.917756859359</v>
      </c>
      <c r="G43" s="34"/>
      <c r="H43" s="61" t="s">
        <v>76</v>
      </c>
      <c r="I43" s="62">
        <f>E106</f>
        <v>488.09948598037096</v>
      </c>
      <c r="J43" s="35"/>
    </row>
    <row r="44" spans="1:10" x14ac:dyDescent="0.25">
      <c r="A44" s="33"/>
      <c r="B44" s="34"/>
      <c r="C44" s="34"/>
      <c r="D44" s="34"/>
      <c r="E44" s="34"/>
      <c r="F44" s="34"/>
      <c r="G44" s="34"/>
      <c r="H44" s="34"/>
      <c r="I44" s="34"/>
      <c r="J44" s="35"/>
    </row>
    <row r="45" spans="1:10" x14ac:dyDescent="0.25">
      <c r="A45" s="33"/>
      <c r="B45" s="40" t="s">
        <v>57</v>
      </c>
      <c r="C45" s="40" t="s">
        <v>58</v>
      </c>
      <c r="D45" s="40" t="s">
        <v>59</v>
      </c>
      <c r="E45" s="40" t="s">
        <v>60</v>
      </c>
      <c r="F45" s="40" t="s">
        <v>61</v>
      </c>
      <c r="G45" s="40" t="s">
        <v>62</v>
      </c>
      <c r="H45" s="34"/>
      <c r="I45" s="34"/>
      <c r="J45" s="35"/>
    </row>
    <row r="46" spans="1:10" x14ac:dyDescent="0.25">
      <c r="A46" s="33"/>
      <c r="B46" s="41">
        <v>1</v>
      </c>
      <c r="C46" s="63">
        <f>C38-C39</f>
        <v>100000</v>
      </c>
      <c r="D46" s="42">
        <f>-C43</f>
        <v>927.01236000273809</v>
      </c>
      <c r="E46" s="63">
        <f>C46*D40</f>
        <v>625</v>
      </c>
      <c r="F46" s="42">
        <f t="shared" ref="F46:F77" si="0">D46-E46</f>
        <v>302.01236000273809</v>
      </c>
      <c r="G46" s="63">
        <f t="shared" ref="G46:G77" si="1">C46-F46</f>
        <v>99697.987639997256</v>
      </c>
      <c r="H46" s="34"/>
      <c r="I46" s="34"/>
      <c r="J46" s="35"/>
    </row>
    <row r="47" spans="1:10" x14ac:dyDescent="0.25">
      <c r="A47" s="33"/>
      <c r="B47" s="41">
        <v>2</v>
      </c>
      <c r="C47" s="63">
        <f t="shared" ref="C47:C78" si="2">G46</f>
        <v>99697.987639997256</v>
      </c>
      <c r="D47" s="42">
        <f t="shared" ref="D47:D78" si="3">D46</f>
        <v>927.01236000273809</v>
      </c>
      <c r="E47" s="63">
        <f t="shared" ref="E47:E78" si="4">C47*$D$40</f>
        <v>623.11242274998278</v>
      </c>
      <c r="F47" s="42">
        <f t="shared" si="0"/>
        <v>303.89993725275531</v>
      </c>
      <c r="G47" s="63">
        <f t="shared" si="1"/>
        <v>99394.087702744495</v>
      </c>
      <c r="H47" s="34"/>
      <c r="I47" s="34"/>
      <c r="J47" s="35"/>
    </row>
    <row r="48" spans="1:10" x14ac:dyDescent="0.25">
      <c r="A48" s="33"/>
      <c r="B48" s="41">
        <v>3</v>
      </c>
      <c r="C48" s="63">
        <f t="shared" si="2"/>
        <v>99394.087702744495</v>
      </c>
      <c r="D48" s="42">
        <f t="shared" si="3"/>
        <v>927.01236000273809</v>
      </c>
      <c r="E48" s="63">
        <f t="shared" si="4"/>
        <v>621.21304814215307</v>
      </c>
      <c r="F48" s="42">
        <f t="shared" si="0"/>
        <v>305.79931186058502</v>
      </c>
      <c r="G48" s="63">
        <f t="shared" si="1"/>
        <v>99088.288390883914</v>
      </c>
      <c r="H48" s="34"/>
      <c r="I48" s="34"/>
      <c r="J48" s="35"/>
    </row>
    <row r="49" spans="1:10" x14ac:dyDescent="0.25">
      <c r="A49" s="33"/>
      <c r="B49" s="41">
        <v>4</v>
      </c>
      <c r="C49" s="63">
        <f t="shared" si="2"/>
        <v>99088.288390883914</v>
      </c>
      <c r="D49" s="42">
        <f t="shared" si="3"/>
        <v>927.01236000273809</v>
      </c>
      <c r="E49" s="63">
        <f t="shared" si="4"/>
        <v>619.30180244302437</v>
      </c>
      <c r="F49" s="42">
        <f t="shared" si="0"/>
        <v>307.71055755971372</v>
      </c>
      <c r="G49" s="63">
        <f t="shared" si="1"/>
        <v>98780.577833324205</v>
      </c>
      <c r="H49" s="34"/>
      <c r="I49" s="34"/>
      <c r="J49" s="35"/>
    </row>
    <row r="50" spans="1:10" x14ac:dyDescent="0.25">
      <c r="A50" s="33"/>
      <c r="B50" s="41">
        <v>5</v>
      </c>
      <c r="C50" s="63">
        <f t="shared" si="2"/>
        <v>98780.577833324205</v>
      </c>
      <c r="D50" s="42">
        <f t="shared" si="3"/>
        <v>927.01236000273809</v>
      </c>
      <c r="E50" s="63">
        <f t="shared" si="4"/>
        <v>617.37861145827628</v>
      </c>
      <c r="F50" s="42">
        <f t="shared" si="0"/>
        <v>309.63374854446181</v>
      </c>
      <c r="G50" s="63">
        <f t="shared" si="1"/>
        <v>98470.944084779738</v>
      </c>
      <c r="H50" s="34"/>
      <c r="I50" s="34"/>
      <c r="J50" s="35"/>
    </row>
    <row r="51" spans="1:10" x14ac:dyDescent="0.25">
      <c r="A51" s="33"/>
      <c r="B51" s="41">
        <v>6</v>
      </c>
      <c r="C51" s="63">
        <f t="shared" si="2"/>
        <v>98470.944084779738</v>
      </c>
      <c r="D51" s="42">
        <f t="shared" si="3"/>
        <v>927.01236000273809</v>
      </c>
      <c r="E51" s="63">
        <f t="shared" si="4"/>
        <v>615.44340052987332</v>
      </c>
      <c r="F51" s="42">
        <f t="shared" si="0"/>
        <v>311.56895947286478</v>
      </c>
      <c r="G51" s="63">
        <f t="shared" si="1"/>
        <v>98159.375125306877</v>
      </c>
      <c r="H51" s="34"/>
      <c r="I51" s="34"/>
      <c r="J51" s="35"/>
    </row>
    <row r="52" spans="1:10" x14ac:dyDescent="0.25">
      <c r="A52" s="33"/>
      <c r="B52" s="41">
        <v>7</v>
      </c>
      <c r="C52" s="63">
        <f t="shared" si="2"/>
        <v>98159.375125306877</v>
      </c>
      <c r="D52" s="42">
        <f t="shared" si="3"/>
        <v>927.01236000273809</v>
      </c>
      <c r="E52" s="63">
        <f t="shared" si="4"/>
        <v>613.49609453316793</v>
      </c>
      <c r="F52" s="42">
        <f t="shared" si="0"/>
        <v>313.51626546957016</v>
      </c>
      <c r="G52" s="63">
        <f t="shared" si="1"/>
        <v>97845.858859837303</v>
      </c>
      <c r="H52" s="34"/>
      <c r="I52" s="34"/>
      <c r="J52" s="35"/>
    </row>
    <row r="53" spans="1:10" x14ac:dyDescent="0.25">
      <c r="A53" s="33"/>
      <c r="B53" s="41">
        <v>8</v>
      </c>
      <c r="C53" s="63">
        <f t="shared" si="2"/>
        <v>97845.858859837303</v>
      </c>
      <c r="D53" s="42">
        <f t="shared" si="3"/>
        <v>927.01236000273809</v>
      </c>
      <c r="E53" s="63">
        <f t="shared" si="4"/>
        <v>611.53661787398312</v>
      </c>
      <c r="F53" s="42">
        <f t="shared" si="0"/>
        <v>315.47574212875497</v>
      </c>
      <c r="G53" s="63">
        <f t="shared" si="1"/>
        <v>97530.383117708552</v>
      </c>
      <c r="H53" s="34"/>
      <c r="I53" s="34"/>
      <c r="J53" s="35"/>
    </row>
    <row r="54" spans="1:10" x14ac:dyDescent="0.25">
      <c r="A54" s="33"/>
      <c r="B54" s="41">
        <v>9</v>
      </c>
      <c r="C54" s="63">
        <f t="shared" si="2"/>
        <v>97530.383117708552</v>
      </c>
      <c r="D54" s="42">
        <f t="shared" si="3"/>
        <v>927.01236000273809</v>
      </c>
      <c r="E54" s="63">
        <f t="shared" si="4"/>
        <v>609.56489448567845</v>
      </c>
      <c r="F54" s="42">
        <f t="shared" si="0"/>
        <v>317.44746551705964</v>
      </c>
      <c r="G54" s="63">
        <f t="shared" si="1"/>
        <v>97212.935652191489</v>
      </c>
      <c r="H54" s="34"/>
      <c r="I54" s="34"/>
      <c r="J54" s="35"/>
    </row>
    <row r="55" spans="1:10" x14ac:dyDescent="0.25">
      <c r="A55" s="33"/>
      <c r="B55" s="41">
        <v>10</v>
      </c>
      <c r="C55" s="63">
        <f t="shared" si="2"/>
        <v>97212.935652191489</v>
      </c>
      <c r="D55" s="42">
        <f t="shared" si="3"/>
        <v>927.01236000273809</v>
      </c>
      <c r="E55" s="63">
        <f t="shared" si="4"/>
        <v>607.58084782619676</v>
      </c>
      <c r="F55" s="42">
        <f t="shared" si="0"/>
        <v>319.43151217654133</v>
      </c>
      <c r="G55" s="63">
        <f t="shared" si="1"/>
        <v>96893.504140014949</v>
      </c>
      <c r="H55" s="34"/>
      <c r="I55" s="34"/>
      <c r="J55" s="35"/>
    </row>
    <row r="56" spans="1:10" x14ac:dyDescent="0.25">
      <c r="A56" s="33"/>
      <c r="B56" s="41">
        <v>11</v>
      </c>
      <c r="C56" s="63">
        <f t="shared" si="2"/>
        <v>96893.504140014949</v>
      </c>
      <c r="D56" s="42">
        <f t="shared" si="3"/>
        <v>927.01236000273809</v>
      </c>
      <c r="E56" s="63">
        <f t="shared" si="4"/>
        <v>605.58440087509337</v>
      </c>
      <c r="F56" s="42">
        <f t="shared" si="0"/>
        <v>321.42795912764473</v>
      </c>
      <c r="G56" s="63">
        <f t="shared" si="1"/>
        <v>96572.076180887307</v>
      </c>
      <c r="H56" s="34"/>
      <c r="I56" s="34"/>
      <c r="J56" s="35"/>
    </row>
    <row r="57" spans="1:10" x14ac:dyDescent="0.25">
      <c r="A57" s="33"/>
      <c r="B57" s="41">
        <v>12</v>
      </c>
      <c r="C57" s="63">
        <f t="shared" si="2"/>
        <v>96572.076180887307</v>
      </c>
      <c r="D57" s="42">
        <f t="shared" si="3"/>
        <v>927.01236000273809</v>
      </c>
      <c r="E57" s="63">
        <f t="shared" si="4"/>
        <v>603.57547613054567</v>
      </c>
      <c r="F57" s="42">
        <f t="shared" si="0"/>
        <v>323.43688387219242</v>
      </c>
      <c r="G57" s="63">
        <f t="shared" si="1"/>
        <v>96248.639297015121</v>
      </c>
      <c r="H57" s="34"/>
      <c r="I57" s="34"/>
      <c r="J57" s="35"/>
    </row>
    <row r="58" spans="1:10" x14ac:dyDescent="0.25">
      <c r="A58" s="33"/>
      <c r="B58" s="41">
        <v>13</v>
      </c>
      <c r="C58" s="63">
        <f t="shared" si="2"/>
        <v>96248.639297015121</v>
      </c>
      <c r="D58" s="42">
        <f t="shared" si="3"/>
        <v>927.01236000273809</v>
      </c>
      <c r="E58" s="63">
        <f t="shared" si="4"/>
        <v>601.55399560634442</v>
      </c>
      <c r="F58" s="42">
        <f t="shared" si="0"/>
        <v>325.45836439639368</v>
      </c>
      <c r="G58" s="63">
        <f t="shared" si="1"/>
        <v>95923.180932618721</v>
      </c>
      <c r="H58" s="34"/>
      <c r="I58" s="34"/>
      <c r="J58" s="35"/>
    </row>
    <row r="59" spans="1:10" x14ac:dyDescent="0.25">
      <c r="A59" s="33"/>
      <c r="B59" s="41">
        <v>14</v>
      </c>
      <c r="C59" s="63">
        <f t="shared" si="2"/>
        <v>95923.180932618721</v>
      </c>
      <c r="D59" s="42">
        <f t="shared" si="3"/>
        <v>927.01236000273809</v>
      </c>
      <c r="E59" s="63">
        <f t="shared" si="4"/>
        <v>599.51988082886692</v>
      </c>
      <c r="F59" s="42">
        <f t="shared" si="0"/>
        <v>327.49247917387117</v>
      </c>
      <c r="G59" s="63">
        <f t="shared" si="1"/>
        <v>95595.688453444847</v>
      </c>
      <c r="H59" s="34"/>
      <c r="I59" s="34"/>
      <c r="J59" s="35"/>
    </row>
    <row r="60" spans="1:10" x14ac:dyDescent="0.25">
      <c r="A60" s="33"/>
      <c r="B60" s="41">
        <v>15</v>
      </c>
      <c r="C60" s="63">
        <f t="shared" si="2"/>
        <v>95595.688453444847</v>
      </c>
      <c r="D60" s="42">
        <f t="shared" si="3"/>
        <v>927.01236000273809</v>
      </c>
      <c r="E60" s="63">
        <f t="shared" si="4"/>
        <v>597.47305283403023</v>
      </c>
      <c r="F60" s="42">
        <f t="shared" si="0"/>
        <v>329.53930716870786</v>
      </c>
      <c r="G60" s="63">
        <f t="shared" si="1"/>
        <v>95266.149146276133</v>
      </c>
      <c r="H60" s="34"/>
      <c r="I60" s="34"/>
      <c r="J60" s="35"/>
    </row>
    <row r="61" spans="1:10" x14ac:dyDescent="0.25">
      <c r="A61" s="33"/>
      <c r="B61" s="41">
        <v>16</v>
      </c>
      <c r="C61" s="63">
        <f t="shared" si="2"/>
        <v>95266.149146276133</v>
      </c>
      <c r="D61" s="42">
        <f t="shared" si="3"/>
        <v>927.01236000273809</v>
      </c>
      <c r="E61" s="63">
        <f t="shared" si="4"/>
        <v>595.41343216422581</v>
      </c>
      <c r="F61" s="42">
        <f t="shared" si="0"/>
        <v>331.59892783851228</v>
      </c>
      <c r="G61" s="63">
        <f t="shared" si="1"/>
        <v>94934.550218437624</v>
      </c>
      <c r="H61" s="34"/>
      <c r="I61" s="34"/>
      <c r="J61" s="35"/>
    </row>
    <row r="62" spans="1:10" x14ac:dyDescent="0.25">
      <c r="A62" s="33"/>
      <c r="B62" s="41">
        <v>17</v>
      </c>
      <c r="C62" s="63">
        <f t="shared" si="2"/>
        <v>94934.550218437624</v>
      </c>
      <c r="D62" s="42">
        <f t="shared" si="3"/>
        <v>927.01236000273809</v>
      </c>
      <c r="E62" s="63">
        <f t="shared" si="4"/>
        <v>593.3409388652351</v>
      </c>
      <c r="F62" s="42">
        <f t="shared" si="0"/>
        <v>333.67142113750299</v>
      </c>
      <c r="G62" s="63">
        <f t="shared" si="1"/>
        <v>94600.878797300116</v>
      </c>
      <c r="H62" s="34"/>
      <c r="I62" s="34"/>
      <c r="J62" s="35"/>
    </row>
    <row r="63" spans="1:10" x14ac:dyDescent="0.25">
      <c r="A63" s="33"/>
      <c r="B63" s="41">
        <v>18</v>
      </c>
      <c r="C63" s="63">
        <f t="shared" si="2"/>
        <v>94600.878797300116</v>
      </c>
      <c r="D63" s="42">
        <f t="shared" si="3"/>
        <v>927.01236000273809</v>
      </c>
      <c r="E63" s="63">
        <f t="shared" si="4"/>
        <v>591.25549248312564</v>
      </c>
      <c r="F63" s="42">
        <f t="shared" si="0"/>
        <v>335.75686751961246</v>
      </c>
      <c r="G63" s="63">
        <f t="shared" si="1"/>
        <v>94265.121929780507</v>
      </c>
      <c r="H63" s="34"/>
      <c r="I63" s="34"/>
      <c r="J63" s="35"/>
    </row>
    <row r="64" spans="1:10" x14ac:dyDescent="0.25">
      <c r="A64" s="33"/>
      <c r="B64" s="41">
        <v>19</v>
      </c>
      <c r="C64" s="63">
        <f t="shared" si="2"/>
        <v>94265.121929780507</v>
      </c>
      <c r="D64" s="42">
        <f t="shared" si="3"/>
        <v>927.01236000273809</v>
      </c>
      <c r="E64" s="63">
        <f t="shared" si="4"/>
        <v>589.15701206112817</v>
      </c>
      <c r="F64" s="42">
        <f t="shared" si="0"/>
        <v>337.85534794160992</v>
      </c>
      <c r="G64" s="63">
        <f t="shared" si="1"/>
        <v>93927.266581838892</v>
      </c>
      <c r="H64" s="34"/>
      <c r="I64" s="34"/>
      <c r="J64" s="35"/>
    </row>
    <row r="65" spans="1:10" x14ac:dyDescent="0.25">
      <c r="A65" s="33"/>
      <c r="B65" s="41">
        <v>20</v>
      </c>
      <c r="C65" s="63">
        <f t="shared" si="2"/>
        <v>93927.266581838892</v>
      </c>
      <c r="D65" s="42">
        <f t="shared" si="3"/>
        <v>927.01236000273809</v>
      </c>
      <c r="E65" s="63">
        <f t="shared" si="4"/>
        <v>587.04541613649303</v>
      </c>
      <c r="F65" s="42">
        <f t="shared" si="0"/>
        <v>339.96694386624506</v>
      </c>
      <c r="G65" s="63">
        <f t="shared" si="1"/>
        <v>93587.299637972654</v>
      </c>
      <c r="H65" s="34"/>
      <c r="I65" s="34"/>
      <c r="J65" s="35"/>
    </row>
    <row r="66" spans="1:10" x14ac:dyDescent="0.25">
      <c r="A66" s="33"/>
      <c r="B66" s="41">
        <v>21</v>
      </c>
      <c r="C66" s="63">
        <f t="shared" si="2"/>
        <v>93587.299637972654</v>
      </c>
      <c r="D66" s="42">
        <f t="shared" si="3"/>
        <v>927.01236000273809</v>
      </c>
      <c r="E66" s="63">
        <f t="shared" si="4"/>
        <v>584.92062273732904</v>
      </c>
      <c r="F66" s="42">
        <f t="shared" si="0"/>
        <v>342.09173726540905</v>
      </c>
      <c r="G66" s="63">
        <f t="shared" si="1"/>
        <v>93245.207900707246</v>
      </c>
      <c r="H66" s="34"/>
      <c r="I66" s="34"/>
      <c r="J66" s="35"/>
    </row>
    <row r="67" spans="1:10" x14ac:dyDescent="0.25">
      <c r="A67" s="33"/>
      <c r="B67" s="41">
        <v>22</v>
      </c>
      <c r="C67" s="63">
        <f t="shared" si="2"/>
        <v>93245.207900707246</v>
      </c>
      <c r="D67" s="42">
        <f t="shared" si="3"/>
        <v>927.01236000273809</v>
      </c>
      <c r="E67" s="63">
        <f t="shared" si="4"/>
        <v>582.78254937942029</v>
      </c>
      <c r="F67" s="42">
        <f t="shared" si="0"/>
        <v>344.2298106233178</v>
      </c>
      <c r="G67" s="63">
        <f t="shared" si="1"/>
        <v>92900.978090083925</v>
      </c>
      <c r="H67" s="34"/>
      <c r="I67" s="34"/>
      <c r="J67" s="35"/>
    </row>
    <row r="68" spans="1:10" x14ac:dyDescent="0.25">
      <c r="A68" s="33"/>
      <c r="B68" s="41">
        <v>23</v>
      </c>
      <c r="C68" s="63">
        <f t="shared" si="2"/>
        <v>92900.978090083925</v>
      </c>
      <c r="D68" s="42">
        <f t="shared" si="3"/>
        <v>927.01236000273809</v>
      </c>
      <c r="E68" s="63">
        <f t="shared" si="4"/>
        <v>580.63111306302449</v>
      </c>
      <c r="F68" s="42">
        <f t="shared" si="0"/>
        <v>346.38124693971361</v>
      </c>
      <c r="G68" s="63">
        <f t="shared" si="1"/>
        <v>92554.596843144216</v>
      </c>
      <c r="H68" s="34"/>
      <c r="I68" s="34"/>
      <c r="J68" s="35"/>
    </row>
    <row r="69" spans="1:10" x14ac:dyDescent="0.25">
      <c r="A69" s="33"/>
      <c r="B69" s="41">
        <v>24</v>
      </c>
      <c r="C69" s="63">
        <f t="shared" si="2"/>
        <v>92554.596843144216</v>
      </c>
      <c r="D69" s="42">
        <f t="shared" si="3"/>
        <v>927.01236000273809</v>
      </c>
      <c r="E69" s="63">
        <f t="shared" si="4"/>
        <v>578.46623026965131</v>
      </c>
      <c r="F69" s="42">
        <f t="shared" si="0"/>
        <v>348.54612973308679</v>
      </c>
      <c r="G69" s="63">
        <f t="shared" si="1"/>
        <v>92206.050713411125</v>
      </c>
      <c r="H69" s="34"/>
      <c r="I69" s="34"/>
      <c r="J69" s="35"/>
    </row>
    <row r="70" spans="1:10" x14ac:dyDescent="0.25">
      <c r="A70" s="33"/>
      <c r="B70" s="41">
        <v>25</v>
      </c>
      <c r="C70" s="63">
        <f t="shared" si="2"/>
        <v>92206.050713411125</v>
      </c>
      <c r="D70" s="42">
        <f t="shared" si="3"/>
        <v>927.01236000273809</v>
      </c>
      <c r="E70" s="63">
        <f t="shared" si="4"/>
        <v>576.28781695881946</v>
      </c>
      <c r="F70" s="42">
        <f t="shared" si="0"/>
        <v>350.72454304391863</v>
      </c>
      <c r="G70" s="63">
        <f t="shared" si="1"/>
        <v>91855.326170367203</v>
      </c>
      <c r="H70" s="34"/>
      <c r="I70" s="34"/>
      <c r="J70" s="35"/>
    </row>
    <row r="71" spans="1:10" x14ac:dyDescent="0.25">
      <c r="A71" s="33"/>
      <c r="B71" s="41">
        <v>26</v>
      </c>
      <c r="C71" s="63">
        <f t="shared" si="2"/>
        <v>91855.326170367203</v>
      </c>
      <c r="D71" s="42">
        <f t="shared" si="3"/>
        <v>927.01236000273809</v>
      </c>
      <c r="E71" s="63">
        <f t="shared" si="4"/>
        <v>574.09578856479493</v>
      </c>
      <c r="F71" s="42">
        <f t="shared" si="0"/>
        <v>352.91657143794316</v>
      </c>
      <c r="G71" s="63">
        <f t="shared" si="1"/>
        <v>91502.409598929255</v>
      </c>
      <c r="H71" s="34"/>
      <c r="I71" s="34"/>
      <c r="J71" s="35"/>
    </row>
    <row r="72" spans="1:10" x14ac:dyDescent="0.25">
      <c r="A72" s="33"/>
      <c r="B72" s="41">
        <v>27</v>
      </c>
      <c r="C72" s="63">
        <f t="shared" si="2"/>
        <v>91502.409598929255</v>
      </c>
      <c r="D72" s="42">
        <f t="shared" si="3"/>
        <v>927.01236000273809</v>
      </c>
      <c r="E72" s="63">
        <f t="shared" si="4"/>
        <v>571.89005999330777</v>
      </c>
      <c r="F72" s="42">
        <f t="shared" si="0"/>
        <v>355.12230000943032</v>
      </c>
      <c r="G72" s="63">
        <f t="shared" si="1"/>
        <v>91147.287298919822</v>
      </c>
      <c r="H72" s="34"/>
      <c r="I72" s="34"/>
      <c r="J72" s="35"/>
    </row>
    <row r="73" spans="1:10" x14ac:dyDescent="0.25">
      <c r="A73" s="33"/>
      <c r="B73" s="41">
        <v>28</v>
      </c>
      <c r="C73" s="63">
        <f t="shared" si="2"/>
        <v>91147.287298919822</v>
      </c>
      <c r="D73" s="42">
        <f t="shared" si="3"/>
        <v>927.01236000273809</v>
      </c>
      <c r="E73" s="63">
        <f t="shared" si="4"/>
        <v>569.67054561824887</v>
      </c>
      <c r="F73" s="42">
        <f t="shared" si="0"/>
        <v>357.34181438448923</v>
      </c>
      <c r="G73" s="63">
        <f t="shared" si="1"/>
        <v>90789.945484535332</v>
      </c>
      <c r="H73" s="34"/>
      <c r="I73" s="34"/>
      <c r="J73" s="35"/>
    </row>
    <row r="74" spans="1:10" x14ac:dyDescent="0.25">
      <c r="A74" s="33"/>
      <c r="B74" s="41">
        <v>29</v>
      </c>
      <c r="C74" s="63">
        <f t="shared" si="2"/>
        <v>90789.945484535332</v>
      </c>
      <c r="D74" s="42">
        <f t="shared" si="3"/>
        <v>927.01236000273809</v>
      </c>
      <c r="E74" s="63">
        <f t="shared" si="4"/>
        <v>567.4371592783458</v>
      </c>
      <c r="F74" s="42">
        <f t="shared" si="0"/>
        <v>359.57520072439229</v>
      </c>
      <c r="G74" s="63">
        <f t="shared" si="1"/>
        <v>90430.370283810946</v>
      </c>
      <c r="H74" s="34"/>
      <c r="I74" s="34"/>
      <c r="J74" s="35"/>
    </row>
    <row r="75" spans="1:10" x14ac:dyDescent="0.25">
      <c r="A75" s="33"/>
      <c r="B75" s="41">
        <v>30</v>
      </c>
      <c r="C75" s="63">
        <f t="shared" si="2"/>
        <v>90430.370283810946</v>
      </c>
      <c r="D75" s="42">
        <f t="shared" si="3"/>
        <v>927.01236000273809</v>
      </c>
      <c r="E75" s="63">
        <f t="shared" si="4"/>
        <v>565.18981427381834</v>
      </c>
      <c r="F75" s="42">
        <f t="shared" si="0"/>
        <v>361.82254572891975</v>
      </c>
      <c r="G75" s="63">
        <f t="shared" si="1"/>
        <v>90068.547738082023</v>
      </c>
      <c r="H75" s="34"/>
      <c r="I75" s="34"/>
      <c r="J75" s="35"/>
    </row>
    <row r="76" spans="1:10" x14ac:dyDescent="0.25">
      <c r="A76" s="33"/>
      <c r="B76" s="41">
        <v>31</v>
      </c>
      <c r="C76" s="63">
        <f t="shared" si="2"/>
        <v>90068.547738082023</v>
      </c>
      <c r="D76" s="42">
        <f t="shared" si="3"/>
        <v>927.01236000273809</v>
      </c>
      <c r="E76" s="63">
        <f t="shared" si="4"/>
        <v>562.9284233630126</v>
      </c>
      <c r="F76" s="42">
        <f t="shared" si="0"/>
        <v>364.08393663972549</v>
      </c>
      <c r="G76" s="63">
        <f t="shared" si="1"/>
        <v>89704.463801442296</v>
      </c>
      <c r="H76" s="34"/>
      <c r="I76" s="34"/>
      <c r="J76" s="35"/>
    </row>
    <row r="77" spans="1:10" x14ac:dyDescent="0.25">
      <c r="A77" s="33"/>
      <c r="B77" s="41">
        <v>32</v>
      </c>
      <c r="C77" s="63">
        <f t="shared" si="2"/>
        <v>89704.463801442296</v>
      </c>
      <c r="D77" s="42">
        <f t="shared" si="3"/>
        <v>927.01236000273809</v>
      </c>
      <c r="E77" s="63">
        <f t="shared" si="4"/>
        <v>560.65289875901431</v>
      </c>
      <c r="F77" s="42">
        <f t="shared" si="0"/>
        <v>366.35946124372379</v>
      </c>
      <c r="G77" s="63">
        <f t="shared" si="1"/>
        <v>89338.104340198566</v>
      </c>
      <c r="H77" s="34"/>
      <c r="I77" s="34"/>
      <c r="J77" s="35"/>
    </row>
    <row r="78" spans="1:10" x14ac:dyDescent="0.25">
      <c r="A78" s="33"/>
      <c r="B78" s="41">
        <v>33</v>
      </c>
      <c r="C78" s="63">
        <f t="shared" si="2"/>
        <v>89338.104340198566</v>
      </c>
      <c r="D78" s="42">
        <f t="shared" si="3"/>
        <v>927.01236000273809</v>
      </c>
      <c r="E78" s="63">
        <f t="shared" si="4"/>
        <v>558.36315212624095</v>
      </c>
      <c r="F78" s="42">
        <f t="shared" ref="F78:F109" si="5">D78-E78</f>
        <v>368.64920787649714</v>
      </c>
      <c r="G78" s="63">
        <f t="shared" ref="G78:G109" si="6">C78-F78</f>
        <v>88969.455132322066</v>
      </c>
      <c r="H78" s="64"/>
      <c r="I78" s="64"/>
      <c r="J78" s="65"/>
    </row>
    <row r="79" spans="1:10" x14ac:dyDescent="0.25">
      <c r="A79" s="33"/>
      <c r="B79" s="41">
        <v>34</v>
      </c>
      <c r="C79" s="63">
        <f t="shared" ref="C79:C110" si="7">G78</f>
        <v>88969.455132322066</v>
      </c>
      <c r="D79" s="42">
        <f t="shared" ref="D79:D110" si="8">D78</f>
        <v>927.01236000273809</v>
      </c>
      <c r="E79" s="63">
        <f t="shared" ref="E79:E110" si="9">C79*$D$40</f>
        <v>556.05909457701284</v>
      </c>
      <c r="F79" s="42">
        <f t="shared" si="5"/>
        <v>370.95326542572525</v>
      </c>
      <c r="G79" s="63">
        <f t="shared" si="6"/>
        <v>88598.501866896346</v>
      </c>
      <c r="H79" s="34"/>
      <c r="I79" s="34"/>
      <c r="J79" s="35"/>
    </row>
    <row r="80" spans="1:10" x14ac:dyDescent="0.25">
      <c r="A80" s="33"/>
      <c r="B80" s="41">
        <v>35</v>
      </c>
      <c r="C80" s="63">
        <f t="shared" si="7"/>
        <v>88598.501866896346</v>
      </c>
      <c r="D80" s="42">
        <f t="shared" si="8"/>
        <v>927.01236000273809</v>
      </c>
      <c r="E80" s="63">
        <f t="shared" si="9"/>
        <v>553.74063666810207</v>
      </c>
      <c r="F80" s="42">
        <f t="shared" si="5"/>
        <v>373.27172333463602</v>
      </c>
      <c r="G80" s="63">
        <f t="shared" si="6"/>
        <v>88225.230143561712</v>
      </c>
      <c r="H80" s="34"/>
      <c r="I80" s="34"/>
      <c r="J80" s="35"/>
    </row>
    <row r="81" spans="1:10" x14ac:dyDescent="0.25">
      <c r="A81" s="33"/>
      <c r="B81" s="41">
        <v>36</v>
      </c>
      <c r="C81" s="63">
        <f t="shared" si="7"/>
        <v>88225.230143561712</v>
      </c>
      <c r="D81" s="42">
        <f t="shared" si="8"/>
        <v>927.01236000273809</v>
      </c>
      <c r="E81" s="63">
        <f t="shared" si="9"/>
        <v>551.4076883972607</v>
      </c>
      <c r="F81" s="42">
        <f t="shared" si="5"/>
        <v>375.60467160547739</v>
      </c>
      <c r="G81" s="63">
        <f t="shared" si="6"/>
        <v>87849.625471956228</v>
      </c>
      <c r="H81" s="34"/>
      <c r="I81" s="34"/>
      <c r="J81" s="35"/>
    </row>
    <row r="82" spans="1:10" x14ac:dyDescent="0.25">
      <c r="A82" s="33"/>
      <c r="B82" s="41">
        <v>37</v>
      </c>
      <c r="C82" s="63">
        <f t="shared" si="7"/>
        <v>87849.625471956228</v>
      </c>
      <c r="D82" s="42">
        <f t="shared" si="8"/>
        <v>927.01236000273809</v>
      </c>
      <c r="E82" s="63">
        <f t="shared" si="9"/>
        <v>549.0601591997264</v>
      </c>
      <c r="F82" s="42">
        <f t="shared" si="5"/>
        <v>377.95220080301169</v>
      </c>
      <c r="G82" s="63">
        <f t="shared" si="6"/>
        <v>87471.673271153209</v>
      </c>
      <c r="H82" s="34"/>
      <c r="I82" s="34"/>
      <c r="J82" s="35"/>
    </row>
    <row r="83" spans="1:10" x14ac:dyDescent="0.25">
      <c r="A83" s="33"/>
      <c r="B83" s="41">
        <v>38</v>
      </c>
      <c r="C83" s="63">
        <f t="shared" si="7"/>
        <v>87471.673271153209</v>
      </c>
      <c r="D83" s="42">
        <f t="shared" si="8"/>
        <v>927.01236000273809</v>
      </c>
      <c r="E83" s="63">
        <f t="shared" si="9"/>
        <v>546.69795794470747</v>
      </c>
      <c r="F83" s="42">
        <f t="shared" si="5"/>
        <v>380.31440205803062</v>
      </c>
      <c r="G83" s="63">
        <f t="shared" si="6"/>
        <v>87091.358869095173</v>
      </c>
      <c r="H83" s="34"/>
      <c r="I83" s="34"/>
      <c r="J83" s="35"/>
    </row>
    <row r="84" spans="1:10" x14ac:dyDescent="0.25">
      <c r="A84" s="33"/>
      <c r="B84" s="41">
        <v>39</v>
      </c>
      <c r="C84" s="63">
        <f t="shared" si="7"/>
        <v>87091.358869095173</v>
      </c>
      <c r="D84" s="42">
        <f t="shared" si="8"/>
        <v>927.01236000273809</v>
      </c>
      <c r="E84" s="63">
        <f t="shared" si="9"/>
        <v>544.32099293184478</v>
      </c>
      <c r="F84" s="42">
        <f t="shared" si="5"/>
        <v>382.69136707089331</v>
      </c>
      <c r="G84" s="63">
        <f t="shared" si="6"/>
        <v>86708.667502024284</v>
      </c>
      <c r="H84" s="34"/>
      <c r="I84" s="34"/>
      <c r="J84" s="35"/>
    </row>
    <row r="85" spans="1:10" x14ac:dyDescent="0.25">
      <c r="A85" s="33"/>
      <c r="B85" s="41">
        <v>40</v>
      </c>
      <c r="C85" s="63">
        <f t="shared" si="7"/>
        <v>86708.667502024284</v>
      </c>
      <c r="D85" s="42">
        <f t="shared" si="8"/>
        <v>927.01236000273809</v>
      </c>
      <c r="E85" s="63">
        <f t="shared" si="9"/>
        <v>541.92917188765171</v>
      </c>
      <c r="F85" s="42">
        <f t="shared" si="5"/>
        <v>385.08318811508639</v>
      </c>
      <c r="G85" s="63">
        <f t="shared" si="6"/>
        <v>86323.584313909203</v>
      </c>
      <c r="H85" s="34"/>
      <c r="I85" s="34"/>
      <c r="J85" s="35"/>
    </row>
    <row r="86" spans="1:10" x14ac:dyDescent="0.25">
      <c r="A86" s="33"/>
      <c r="B86" s="41">
        <v>41</v>
      </c>
      <c r="C86" s="63">
        <f t="shared" si="7"/>
        <v>86323.584313909203</v>
      </c>
      <c r="D86" s="42">
        <f t="shared" si="8"/>
        <v>927.01236000273809</v>
      </c>
      <c r="E86" s="63">
        <f t="shared" si="9"/>
        <v>539.52240196193247</v>
      </c>
      <c r="F86" s="42">
        <f t="shared" si="5"/>
        <v>387.48995804080562</v>
      </c>
      <c r="G86" s="63">
        <f t="shared" si="6"/>
        <v>85936.094355868394</v>
      </c>
      <c r="H86" s="34"/>
      <c r="I86" s="34"/>
      <c r="J86" s="35"/>
    </row>
    <row r="87" spans="1:10" x14ac:dyDescent="0.25">
      <c r="A87" s="33"/>
      <c r="B87" s="41">
        <v>42</v>
      </c>
      <c r="C87" s="63">
        <f t="shared" si="7"/>
        <v>85936.094355868394</v>
      </c>
      <c r="D87" s="42">
        <f t="shared" si="8"/>
        <v>927.01236000273809</v>
      </c>
      <c r="E87" s="63">
        <f t="shared" si="9"/>
        <v>537.10058972417744</v>
      </c>
      <c r="F87" s="42">
        <f t="shared" si="5"/>
        <v>389.91177027856065</v>
      </c>
      <c r="G87" s="63">
        <f t="shared" si="6"/>
        <v>85546.182585589835</v>
      </c>
      <c r="H87" s="34"/>
      <c r="I87" s="34"/>
      <c r="J87" s="35"/>
    </row>
    <row r="88" spans="1:10" x14ac:dyDescent="0.25">
      <c r="A88" s="33"/>
      <c r="B88" s="41">
        <v>43</v>
      </c>
      <c r="C88" s="63">
        <f t="shared" si="7"/>
        <v>85546.182585589835</v>
      </c>
      <c r="D88" s="42">
        <f t="shared" si="8"/>
        <v>927.01236000273809</v>
      </c>
      <c r="E88" s="63">
        <f t="shared" si="9"/>
        <v>534.66364115993645</v>
      </c>
      <c r="F88" s="42">
        <f t="shared" si="5"/>
        <v>392.34871884280165</v>
      </c>
      <c r="G88" s="63">
        <f t="shared" si="6"/>
        <v>85153.833866747038</v>
      </c>
      <c r="H88" s="34"/>
      <c r="I88" s="34"/>
      <c r="J88" s="35"/>
    </row>
    <row r="89" spans="1:10" x14ac:dyDescent="0.25">
      <c r="A89" s="33"/>
      <c r="B89" s="41">
        <v>44</v>
      </c>
      <c r="C89" s="63">
        <f t="shared" si="7"/>
        <v>85153.833866747038</v>
      </c>
      <c r="D89" s="42">
        <f t="shared" si="8"/>
        <v>927.01236000273809</v>
      </c>
      <c r="E89" s="63">
        <f t="shared" si="9"/>
        <v>532.21146166716892</v>
      </c>
      <c r="F89" s="42">
        <f t="shared" si="5"/>
        <v>394.80089833556917</v>
      </c>
      <c r="G89" s="63">
        <f t="shared" si="6"/>
        <v>84759.032968411469</v>
      </c>
      <c r="H89" s="34"/>
      <c r="I89" s="34"/>
      <c r="J89" s="35"/>
    </row>
    <row r="90" spans="1:10" x14ac:dyDescent="0.25">
      <c r="A90" s="33"/>
      <c r="B90" s="41">
        <v>45</v>
      </c>
      <c r="C90" s="63">
        <f t="shared" si="7"/>
        <v>84759.032968411469</v>
      </c>
      <c r="D90" s="42">
        <f t="shared" si="8"/>
        <v>927.01236000273809</v>
      </c>
      <c r="E90" s="63">
        <f t="shared" si="9"/>
        <v>529.74395605257166</v>
      </c>
      <c r="F90" s="42">
        <f t="shared" si="5"/>
        <v>397.26840395016643</v>
      </c>
      <c r="G90" s="63">
        <f t="shared" si="6"/>
        <v>84361.764564461308</v>
      </c>
      <c r="H90" s="34"/>
      <c r="I90" s="34"/>
      <c r="J90" s="35"/>
    </row>
    <row r="91" spans="1:10" x14ac:dyDescent="0.25">
      <c r="A91" s="33"/>
      <c r="B91" s="41">
        <v>46</v>
      </c>
      <c r="C91" s="63">
        <f t="shared" si="7"/>
        <v>84361.764564461308</v>
      </c>
      <c r="D91" s="42">
        <f t="shared" si="8"/>
        <v>927.01236000273809</v>
      </c>
      <c r="E91" s="63">
        <f t="shared" si="9"/>
        <v>527.26102852788313</v>
      </c>
      <c r="F91" s="42">
        <f t="shared" si="5"/>
        <v>399.75133147485496</v>
      </c>
      <c r="G91" s="63">
        <f t="shared" si="6"/>
        <v>83962.013232986457</v>
      </c>
      <c r="H91" s="34"/>
      <c r="I91" s="34"/>
      <c r="J91" s="35"/>
    </row>
    <row r="92" spans="1:10" x14ac:dyDescent="0.25">
      <c r="A92" s="33"/>
      <c r="B92" s="41">
        <v>47</v>
      </c>
      <c r="C92" s="63">
        <f t="shared" si="7"/>
        <v>83962.013232986457</v>
      </c>
      <c r="D92" s="42">
        <f t="shared" si="8"/>
        <v>927.01236000273809</v>
      </c>
      <c r="E92" s="63">
        <f t="shared" si="9"/>
        <v>524.76258270616529</v>
      </c>
      <c r="F92" s="42">
        <f t="shared" si="5"/>
        <v>402.2497772965728</v>
      </c>
      <c r="G92" s="63">
        <f t="shared" si="6"/>
        <v>83559.763455689885</v>
      </c>
      <c r="H92" s="34"/>
      <c r="I92" s="34"/>
      <c r="J92" s="35"/>
    </row>
    <row r="93" spans="1:10" x14ac:dyDescent="0.25">
      <c r="A93" s="33"/>
      <c r="B93" s="41">
        <v>48</v>
      </c>
      <c r="C93" s="63">
        <f t="shared" si="7"/>
        <v>83559.763455689885</v>
      </c>
      <c r="D93" s="42">
        <f t="shared" si="8"/>
        <v>927.01236000273809</v>
      </c>
      <c r="E93" s="63">
        <f t="shared" si="9"/>
        <v>522.24852159806176</v>
      </c>
      <c r="F93" s="42">
        <f t="shared" si="5"/>
        <v>404.76383840467633</v>
      </c>
      <c r="G93" s="63">
        <f t="shared" si="6"/>
        <v>83154.999617285212</v>
      </c>
      <c r="H93" s="34"/>
      <c r="I93" s="34"/>
      <c r="J93" s="35"/>
    </row>
    <row r="94" spans="1:10" x14ac:dyDescent="0.25">
      <c r="A94" s="33"/>
      <c r="B94" s="41">
        <v>49</v>
      </c>
      <c r="C94" s="63">
        <f t="shared" si="7"/>
        <v>83154.999617285212</v>
      </c>
      <c r="D94" s="42">
        <f t="shared" si="8"/>
        <v>927.01236000273809</v>
      </c>
      <c r="E94" s="63">
        <f t="shared" si="9"/>
        <v>519.71874760803257</v>
      </c>
      <c r="F94" s="42">
        <f t="shared" si="5"/>
        <v>407.29361239470552</v>
      </c>
      <c r="G94" s="63">
        <f t="shared" si="6"/>
        <v>82747.706004890511</v>
      </c>
      <c r="H94" s="34"/>
      <c r="I94" s="34"/>
      <c r="J94" s="35"/>
    </row>
    <row r="95" spans="1:10" x14ac:dyDescent="0.25">
      <c r="A95" s="33"/>
      <c r="B95" s="41">
        <v>50</v>
      </c>
      <c r="C95" s="63">
        <f t="shared" si="7"/>
        <v>82747.706004890511</v>
      </c>
      <c r="D95" s="42">
        <f t="shared" si="8"/>
        <v>927.01236000273809</v>
      </c>
      <c r="E95" s="63">
        <f t="shared" si="9"/>
        <v>517.17316253056561</v>
      </c>
      <c r="F95" s="42">
        <f t="shared" si="5"/>
        <v>409.83919747217249</v>
      </c>
      <c r="G95" s="63">
        <f t="shared" si="6"/>
        <v>82337.866807418337</v>
      </c>
      <c r="H95" s="34"/>
      <c r="I95" s="34"/>
      <c r="J95" s="35"/>
    </row>
    <row r="96" spans="1:10" x14ac:dyDescent="0.25">
      <c r="A96" s="33"/>
      <c r="B96" s="41">
        <v>51</v>
      </c>
      <c r="C96" s="63">
        <f t="shared" si="7"/>
        <v>82337.866807418337</v>
      </c>
      <c r="D96" s="42">
        <f t="shared" si="8"/>
        <v>927.01236000273809</v>
      </c>
      <c r="E96" s="63">
        <f t="shared" si="9"/>
        <v>514.61166754636452</v>
      </c>
      <c r="F96" s="42">
        <f t="shared" si="5"/>
        <v>412.40069245637358</v>
      </c>
      <c r="G96" s="63">
        <f t="shared" si="6"/>
        <v>81925.466114961964</v>
      </c>
      <c r="H96" s="34"/>
      <c r="I96" s="34"/>
      <c r="J96" s="35"/>
    </row>
    <row r="97" spans="1:10" x14ac:dyDescent="0.25">
      <c r="A97" s="33"/>
      <c r="B97" s="41">
        <v>52</v>
      </c>
      <c r="C97" s="63">
        <f t="shared" si="7"/>
        <v>81925.466114961964</v>
      </c>
      <c r="D97" s="42">
        <f t="shared" si="8"/>
        <v>927.01236000273809</v>
      </c>
      <c r="E97" s="63">
        <f t="shared" si="9"/>
        <v>512.03416321851228</v>
      </c>
      <c r="F97" s="42">
        <f t="shared" si="5"/>
        <v>414.97819678422582</v>
      </c>
      <c r="G97" s="63">
        <f t="shared" si="6"/>
        <v>81510.487918177736</v>
      </c>
      <c r="H97" s="34"/>
      <c r="I97" s="34"/>
      <c r="J97" s="35"/>
    </row>
    <row r="98" spans="1:10" x14ac:dyDescent="0.25">
      <c r="A98" s="33"/>
      <c r="B98" s="41">
        <v>53</v>
      </c>
      <c r="C98" s="63">
        <f t="shared" si="7"/>
        <v>81510.487918177736</v>
      </c>
      <c r="D98" s="42">
        <f t="shared" si="8"/>
        <v>927.01236000273809</v>
      </c>
      <c r="E98" s="63">
        <f t="shared" si="9"/>
        <v>509.44054948861083</v>
      </c>
      <c r="F98" s="42">
        <f t="shared" si="5"/>
        <v>417.57181051412726</v>
      </c>
      <c r="G98" s="63">
        <f t="shared" si="6"/>
        <v>81092.916107663608</v>
      </c>
      <c r="H98" s="34"/>
      <c r="I98" s="34"/>
      <c r="J98" s="35"/>
    </row>
    <row r="99" spans="1:10" x14ac:dyDescent="0.25">
      <c r="A99" s="33"/>
      <c r="B99" s="41">
        <v>54</v>
      </c>
      <c r="C99" s="63">
        <f t="shared" si="7"/>
        <v>81092.916107663608</v>
      </c>
      <c r="D99" s="42">
        <f t="shared" si="8"/>
        <v>927.01236000273809</v>
      </c>
      <c r="E99" s="63">
        <f t="shared" si="9"/>
        <v>506.83072567289753</v>
      </c>
      <c r="F99" s="42">
        <f t="shared" si="5"/>
        <v>420.18163432984056</v>
      </c>
      <c r="G99" s="63">
        <f t="shared" si="6"/>
        <v>80672.734473333767</v>
      </c>
      <c r="H99" s="34"/>
      <c r="I99" s="34"/>
      <c r="J99" s="35"/>
    </row>
    <row r="100" spans="1:10" x14ac:dyDescent="0.25">
      <c r="A100" s="33"/>
      <c r="B100" s="41">
        <v>55</v>
      </c>
      <c r="C100" s="63">
        <f t="shared" si="7"/>
        <v>80672.734473333767</v>
      </c>
      <c r="D100" s="42">
        <f t="shared" si="8"/>
        <v>927.01236000273809</v>
      </c>
      <c r="E100" s="63">
        <f t="shared" si="9"/>
        <v>504.20459045833599</v>
      </c>
      <c r="F100" s="42">
        <f t="shared" si="5"/>
        <v>422.80776954440211</v>
      </c>
      <c r="G100" s="63">
        <f t="shared" si="6"/>
        <v>80249.926703789359</v>
      </c>
      <c r="H100" s="34"/>
      <c r="I100" s="34"/>
      <c r="J100" s="35"/>
    </row>
    <row r="101" spans="1:10" x14ac:dyDescent="0.25">
      <c r="A101" s="33"/>
      <c r="B101" s="41">
        <v>56</v>
      </c>
      <c r="C101" s="63">
        <f t="shared" si="7"/>
        <v>80249.926703789359</v>
      </c>
      <c r="D101" s="42">
        <f t="shared" si="8"/>
        <v>927.01236000273809</v>
      </c>
      <c r="E101" s="63">
        <f t="shared" si="9"/>
        <v>501.56204189868345</v>
      </c>
      <c r="F101" s="42">
        <f t="shared" si="5"/>
        <v>425.45031810405465</v>
      </c>
      <c r="G101" s="63">
        <f t="shared" si="6"/>
        <v>79824.47638568531</v>
      </c>
      <c r="H101" s="34"/>
      <c r="I101" s="34"/>
      <c r="J101" s="35"/>
    </row>
    <row r="102" spans="1:10" x14ac:dyDescent="0.25">
      <c r="A102" s="33"/>
      <c r="B102" s="41">
        <v>57</v>
      </c>
      <c r="C102" s="63">
        <f t="shared" si="7"/>
        <v>79824.47638568531</v>
      </c>
      <c r="D102" s="42">
        <f t="shared" si="8"/>
        <v>927.01236000273809</v>
      </c>
      <c r="E102" s="63">
        <f t="shared" si="9"/>
        <v>498.90297741053314</v>
      </c>
      <c r="F102" s="42">
        <f t="shared" si="5"/>
        <v>428.10938259220495</v>
      </c>
      <c r="G102" s="63">
        <f t="shared" si="6"/>
        <v>79396.36700309311</v>
      </c>
      <c r="H102" s="34"/>
      <c r="I102" s="34"/>
      <c r="J102" s="35"/>
    </row>
    <row r="103" spans="1:10" x14ac:dyDescent="0.25">
      <c r="A103" s="33"/>
      <c r="B103" s="41">
        <v>58</v>
      </c>
      <c r="C103" s="63">
        <f t="shared" si="7"/>
        <v>79396.36700309311</v>
      </c>
      <c r="D103" s="42">
        <f t="shared" si="8"/>
        <v>927.01236000273809</v>
      </c>
      <c r="E103" s="63">
        <f t="shared" si="9"/>
        <v>496.22729376933188</v>
      </c>
      <c r="F103" s="42">
        <f t="shared" si="5"/>
        <v>430.78506623340621</v>
      </c>
      <c r="G103" s="63">
        <f t="shared" si="6"/>
        <v>78965.5819368597</v>
      </c>
      <c r="H103" s="34"/>
      <c r="I103" s="34"/>
      <c r="J103" s="35"/>
    </row>
    <row r="104" spans="1:10" x14ac:dyDescent="0.25">
      <c r="A104" s="33"/>
      <c r="B104" s="41">
        <v>59</v>
      </c>
      <c r="C104" s="63">
        <f t="shared" si="7"/>
        <v>78965.5819368597</v>
      </c>
      <c r="D104" s="42">
        <f t="shared" si="8"/>
        <v>927.01236000273809</v>
      </c>
      <c r="E104" s="63">
        <f t="shared" si="9"/>
        <v>493.53488710537306</v>
      </c>
      <c r="F104" s="42">
        <f t="shared" si="5"/>
        <v>433.47747289736503</v>
      </c>
      <c r="G104" s="63">
        <f t="shared" si="6"/>
        <v>78532.104463962329</v>
      </c>
      <c r="H104" s="34"/>
      <c r="I104" s="34"/>
      <c r="J104" s="35"/>
    </row>
    <row r="105" spans="1:10" x14ac:dyDescent="0.25">
      <c r="A105" s="33"/>
      <c r="B105" s="41">
        <v>60</v>
      </c>
      <c r="C105" s="63">
        <f t="shared" si="7"/>
        <v>78532.104463962329</v>
      </c>
      <c r="D105" s="42">
        <f t="shared" si="8"/>
        <v>927.01236000273809</v>
      </c>
      <c r="E105" s="63">
        <f t="shared" si="9"/>
        <v>490.82565289976452</v>
      </c>
      <c r="F105" s="42">
        <f t="shared" si="5"/>
        <v>436.18670710297357</v>
      </c>
      <c r="G105" s="63">
        <f t="shared" si="6"/>
        <v>78095.917756859359</v>
      </c>
      <c r="H105" s="34"/>
      <c r="I105" s="34"/>
      <c r="J105" s="35"/>
    </row>
    <row r="106" spans="1:10" x14ac:dyDescent="0.25">
      <c r="A106" s="33"/>
      <c r="B106" s="41">
        <v>61</v>
      </c>
      <c r="C106" s="63">
        <f t="shared" si="7"/>
        <v>78095.917756859359</v>
      </c>
      <c r="D106" s="42">
        <f t="shared" si="8"/>
        <v>927.01236000273809</v>
      </c>
      <c r="E106" s="63">
        <f t="shared" si="9"/>
        <v>488.09948598037096</v>
      </c>
      <c r="F106" s="42">
        <f t="shared" si="5"/>
        <v>438.91287402236713</v>
      </c>
      <c r="G106" s="63">
        <f t="shared" si="6"/>
        <v>77657.004882836991</v>
      </c>
      <c r="H106" s="34"/>
      <c r="I106" s="34"/>
      <c r="J106" s="35"/>
    </row>
    <row r="107" spans="1:10" x14ac:dyDescent="0.25">
      <c r="A107" s="33"/>
      <c r="B107" s="41">
        <v>62</v>
      </c>
      <c r="C107" s="63">
        <f t="shared" si="7"/>
        <v>77657.004882836991</v>
      </c>
      <c r="D107" s="42">
        <f t="shared" si="8"/>
        <v>927.01236000273809</v>
      </c>
      <c r="E107" s="63">
        <f t="shared" si="9"/>
        <v>485.35628051773114</v>
      </c>
      <c r="F107" s="42">
        <f t="shared" si="5"/>
        <v>441.65607948500696</v>
      </c>
      <c r="G107" s="63">
        <f t="shared" si="6"/>
        <v>77215.348803351982</v>
      </c>
      <c r="H107" s="34"/>
      <c r="I107" s="34"/>
      <c r="J107" s="35"/>
    </row>
    <row r="108" spans="1:10" x14ac:dyDescent="0.25">
      <c r="A108" s="33"/>
      <c r="B108" s="41">
        <v>63</v>
      </c>
      <c r="C108" s="63">
        <f t="shared" si="7"/>
        <v>77215.348803351982</v>
      </c>
      <c r="D108" s="42">
        <f t="shared" si="8"/>
        <v>927.01236000273809</v>
      </c>
      <c r="E108" s="63">
        <f t="shared" si="9"/>
        <v>482.59593002094982</v>
      </c>
      <c r="F108" s="42">
        <f t="shared" si="5"/>
        <v>444.41642998178827</v>
      </c>
      <c r="G108" s="63">
        <f t="shared" si="6"/>
        <v>76770.932373370189</v>
      </c>
      <c r="H108" s="34"/>
      <c r="I108" s="34"/>
      <c r="J108" s="35"/>
    </row>
    <row r="109" spans="1:10" x14ac:dyDescent="0.25">
      <c r="A109" s="33"/>
      <c r="B109" s="41">
        <v>64</v>
      </c>
      <c r="C109" s="63">
        <f t="shared" si="7"/>
        <v>76770.932373370189</v>
      </c>
      <c r="D109" s="42">
        <f t="shared" si="8"/>
        <v>927.01236000273809</v>
      </c>
      <c r="E109" s="63">
        <f t="shared" si="9"/>
        <v>479.81832733356362</v>
      </c>
      <c r="F109" s="42">
        <f t="shared" si="5"/>
        <v>447.19403266917448</v>
      </c>
      <c r="G109" s="63">
        <f t="shared" si="6"/>
        <v>76323.73834070102</v>
      </c>
      <c r="H109" s="34"/>
      <c r="I109" s="34"/>
      <c r="J109" s="35"/>
    </row>
    <row r="110" spans="1:10" x14ac:dyDescent="0.25">
      <c r="A110" s="33"/>
      <c r="B110" s="41">
        <v>65</v>
      </c>
      <c r="C110" s="63">
        <f t="shared" si="7"/>
        <v>76323.73834070102</v>
      </c>
      <c r="D110" s="42">
        <f t="shared" si="8"/>
        <v>927.01236000273809</v>
      </c>
      <c r="E110" s="63">
        <f t="shared" si="9"/>
        <v>477.02336462938132</v>
      </c>
      <c r="F110" s="42">
        <f t="shared" ref="F110:F141" si="10">D110-E110</f>
        <v>449.98899537335677</v>
      </c>
      <c r="G110" s="63">
        <f t="shared" ref="G110:G141" si="11">C110-F110</f>
        <v>75873.749345327669</v>
      </c>
      <c r="H110" s="34"/>
      <c r="I110" s="34"/>
      <c r="J110" s="35"/>
    </row>
    <row r="111" spans="1:10" x14ac:dyDescent="0.25">
      <c r="A111" s="33"/>
      <c r="B111" s="41">
        <v>66</v>
      </c>
      <c r="C111" s="63">
        <f t="shared" ref="C111:C142" si="12">G110</f>
        <v>75873.749345327669</v>
      </c>
      <c r="D111" s="42">
        <f t="shared" ref="D111:D142" si="13">D110</f>
        <v>927.01236000273809</v>
      </c>
      <c r="E111" s="63">
        <f t="shared" ref="E111:E142" si="14">C111*$D$40</f>
        <v>474.21093340829788</v>
      </c>
      <c r="F111" s="42">
        <f t="shared" si="10"/>
        <v>452.80142659444022</v>
      </c>
      <c r="G111" s="63">
        <f t="shared" si="11"/>
        <v>75420.947918733233</v>
      </c>
      <c r="H111" s="34"/>
      <c r="I111" s="34"/>
      <c r="J111" s="35"/>
    </row>
    <row r="112" spans="1:10" x14ac:dyDescent="0.25">
      <c r="A112" s="33"/>
      <c r="B112" s="41">
        <v>67</v>
      </c>
      <c r="C112" s="63">
        <f t="shared" si="12"/>
        <v>75420.947918733233</v>
      </c>
      <c r="D112" s="42">
        <f t="shared" si="13"/>
        <v>927.01236000273809</v>
      </c>
      <c r="E112" s="63">
        <f t="shared" si="14"/>
        <v>471.38092449208267</v>
      </c>
      <c r="F112" s="42">
        <f t="shared" si="10"/>
        <v>455.63143551065542</v>
      </c>
      <c r="G112" s="63">
        <f t="shared" si="11"/>
        <v>74965.316483222574</v>
      </c>
      <c r="H112" s="34"/>
      <c r="I112" s="34"/>
      <c r="J112" s="35"/>
    </row>
    <row r="113" spans="1:10" x14ac:dyDescent="0.25">
      <c r="A113" s="33"/>
      <c r="B113" s="41">
        <v>68</v>
      </c>
      <c r="C113" s="63">
        <f t="shared" si="12"/>
        <v>74965.316483222574</v>
      </c>
      <c r="D113" s="42">
        <f t="shared" si="13"/>
        <v>927.01236000273809</v>
      </c>
      <c r="E113" s="63">
        <f t="shared" si="14"/>
        <v>468.53322802014105</v>
      </c>
      <c r="F113" s="42">
        <f t="shared" si="10"/>
        <v>458.47913198259704</v>
      </c>
      <c r="G113" s="63">
        <f t="shared" si="11"/>
        <v>74506.83735123997</v>
      </c>
      <c r="H113" s="34"/>
      <c r="I113" s="34"/>
      <c r="J113" s="35"/>
    </row>
    <row r="114" spans="1:10" x14ac:dyDescent="0.25">
      <c r="A114" s="33"/>
      <c r="B114" s="41">
        <v>69</v>
      </c>
      <c r="C114" s="63">
        <f t="shared" si="12"/>
        <v>74506.83735123997</v>
      </c>
      <c r="D114" s="42">
        <f t="shared" si="13"/>
        <v>927.01236000273809</v>
      </c>
      <c r="E114" s="63">
        <f t="shared" si="14"/>
        <v>465.66773344524978</v>
      </c>
      <c r="F114" s="42">
        <f t="shared" si="10"/>
        <v>461.34462655748831</v>
      </c>
      <c r="G114" s="63">
        <f t="shared" si="11"/>
        <v>74045.492724682481</v>
      </c>
      <c r="H114" s="34"/>
      <c r="I114" s="34"/>
      <c r="J114" s="35"/>
    </row>
    <row r="115" spans="1:10" x14ac:dyDescent="0.25">
      <c r="A115" s="33"/>
      <c r="B115" s="41">
        <v>70</v>
      </c>
      <c r="C115" s="63">
        <f t="shared" si="12"/>
        <v>74045.492724682481</v>
      </c>
      <c r="D115" s="42">
        <f t="shared" si="13"/>
        <v>927.01236000273809</v>
      </c>
      <c r="E115" s="63">
        <f t="shared" si="14"/>
        <v>462.78432952926545</v>
      </c>
      <c r="F115" s="42">
        <f t="shared" si="10"/>
        <v>464.22803047347264</v>
      </c>
      <c r="G115" s="63">
        <f t="shared" si="11"/>
        <v>73581.264694209007</v>
      </c>
      <c r="H115" s="34"/>
      <c r="I115" s="34"/>
      <c r="J115" s="35"/>
    </row>
    <row r="116" spans="1:10" x14ac:dyDescent="0.25">
      <c r="A116" s="33"/>
      <c r="B116" s="41">
        <v>71</v>
      </c>
      <c r="C116" s="63">
        <f t="shared" si="12"/>
        <v>73581.264694209007</v>
      </c>
      <c r="D116" s="42">
        <f t="shared" si="13"/>
        <v>927.01236000273809</v>
      </c>
      <c r="E116" s="63">
        <f t="shared" si="14"/>
        <v>459.88290433880627</v>
      </c>
      <c r="F116" s="42">
        <f t="shared" si="10"/>
        <v>467.12945566393182</v>
      </c>
      <c r="G116" s="63">
        <f t="shared" si="11"/>
        <v>73114.135238545074</v>
      </c>
      <c r="H116" s="34"/>
      <c r="I116" s="34"/>
      <c r="J116" s="35"/>
    </row>
    <row r="117" spans="1:10" x14ac:dyDescent="0.25">
      <c r="A117" s="33"/>
      <c r="B117" s="41">
        <v>72</v>
      </c>
      <c r="C117" s="63">
        <f t="shared" si="12"/>
        <v>73114.135238545074</v>
      </c>
      <c r="D117" s="42">
        <f t="shared" si="13"/>
        <v>927.01236000273809</v>
      </c>
      <c r="E117" s="63">
        <f t="shared" si="14"/>
        <v>456.96334524090668</v>
      </c>
      <c r="F117" s="42">
        <f t="shared" si="10"/>
        <v>470.04901476183142</v>
      </c>
      <c r="G117" s="63">
        <f t="shared" si="11"/>
        <v>72644.086223783248</v>
      </c>
      <c r="H117" s="34"/>
      <c r="I117" s="34"/>
      <c r="J117" s="35"/>
    </row>
    <row r="118" spans="1:10" x14ac:dyDescent="0.25">
      <c r="A118" s="33"/>
      <c r="B118" s="41">
        <v>73</v>
      </c>
      <c r="C118" s="63">
        <f t="shared" si="12"/>
        <v>72644.086223783248</v>
      </c>
      <c r="D118" s="42">
        <f t="shared" si="13"/>
        <v>927.01236000273809</v>
      </c>
      <c r="E118" s="63">
        <f t="shared" si="14"/>
        <v>454.02553889864527</v>
      </c>
      <c r="F118" s="42">
        <f t="shared" si="10"/>
        <v>472.98682110409283</v>
      </c>
      <c r="G118" s="63">
        <f t="shared" si="11"/>
        <v>72171.09940267916</v>
      </c>
      <c r="H118" s="34"/>
      <c r="I118" s="34"/>
      <c r="J118" s="35"/>
    </row>
    <row r="119" spans="1:10" x14ac:dyDescent="0.25">
      <c r="A119" s="33"/>
      <c r="B119" s="41">
        <v>74</v>
      </c>
      <c r="C119" s="63">
        <f t="shared" si="12"/>
        <v>72171.09940267916</v>
      </c>
      <c r="D119" s="42">
        <f t="shared" si="13"/>
        <v>927.01236000273809</v>
      </c>
      <c r="E119" s="63">
        <f t="shared" si="14"/>
        <v>451.06937126674472</v>
      </c>
      <c r="F119" s="42">
        <f t="shared" si="10"/>
        <v>475.94298873599337</v>
      </c>
      <c r="G119" s="63">
        <f t="shared" si="11"/>
        <v>71695.156413943172</v>
      </c>
      <c r="H119" s="34"/>
      <c r="I119" s="34"/>
      <c r="J119" s="35"/>
    </row>
    <row r="120" spans="1:10" x14ac:dyDescent="0.25">
      <c r="A120" s="33"/>
      <c r="B120" s="41">
        <v>75</v>
      </c>
      <c r="C120" s="63">
        <f t="shared" si="12"/>
        <v>71695.156413943172</v>
      </c>
      <c r="D120" s="42">
        <f t="shared" si="13"/>
        <v>927.01236000273809</v>
      </c>
      <c r="E120" s="63">
        <f t="shared" si="14"/>
        <v>448.0947275871448</v>
      </c>
      <c r="F120" s="42">
        <f t="shared" si="10"/>
        <v>478.91763241559329</v>
      </c>
      <c r="G120" s="63">
        <f t="shared" si="11"/>
        <v>71216.238781527572</v>
      </c>
      <c r="H120" s="34"/>
      <c r="I120" s="34"/>
      <c r="J120" s="35"/>
    </row>
    <row r="121" spans="1:10" x14ac:dyDescent="0.25">
      <c r="A121" s="33"/>
      <c r="B121" s="41">
        <v>76</v>
      </c>
      <c r="C121" s="63">
        <f t="shared" si="12"/>
        <v>71216.238781527572</v>
      </c>
      <c r="D121" s="42">
        <f t="shared" si="13"/>
        <v>927.01236000273809</v>
      </c>
      <c r="E121" s="63">
        <f t="shared" si="14"/>
        <v>445.10149238454727</v>
      </c>
      <c r="F121" s="42">
        <f t="shared" si="10"/>
        <v>481.91086761819082</v>
      </c>
      <c r="G121" s="63">
        <f t="shared" si="11"/>
        <v>70734.327913909379</v>
      </c>
      <c r="H121" s="34"/>
      <c r="I121" s="34"/>
      <c r="J121" s="35"/>
    </row>
    <row r="122" spans="1:10" x14ac:dyDescent="0.25">
      <c r="A122" s="33"/>
      <c r="B122" s="41">
        <v>77</v>
      </c>
      <c r="C122" s="63">
        <f t="shared" si="12"/>
        <v>70734.327913909379</v>
      </c>
      <c r="D122" s="42">
        <f t="shared" si="13"/>
        <v>927.01236000273809</v>
      </c>
      <c r="E122" s="63">
        <f t="shared" si="14"/>
        <v>442.08954946193359</v>
      </c>
      <c r="F122" s="42">
        <f t="shared" si="10"/>
        <v>484.92281054080451</v>
      </c>
      <c r="G122" s="63">
        <f t="shared" si="11"/>
        <v>70249.405103368568</v>
      </c>
      <c r="H122" s="34"/>
      <c r="I122" s="34"/>
      <c r="J122" s="35"/>
    </row>
    <row r="123" spans="1:10" x14ac:dyDescent="0.25">
      <c r="A123" s="33"/>
      <c r="B123" s="41">
        <v>78</v>
      </c>
      <c r="C123" s="63">
        <f t="shared" si="12"/>
        <v>70249.405103368568</v>
      </c>
      <c r="D123" s="42">
        <f t="shared" si="13"/>
        <v>927.01236000273809</v>
      </c>
      <c r="E123" s="63">
        <f t="shared" si="14"/>
        <v>439.05878189605352</v>
      </c>
      <c r="F123" s="42">
        <f t="shared" si="10"/>
        <v>487.95357810668457</v>
      </c>
      <c r="G123" s="63">
        <f t="shared" si="11"/>
        <v>69761.451525261888</v>
      </c>
      <c r="H123" s="34"/>
      <c r="I123" s="34"/>
      <c r="J123" s="35"/>
    </row>
    <row r="124" spans="1:10" x14ac:dyDescent="0.25">
      <c r="A124" s="33"/>
      <c r="B124" s="41">
        <v>79</v>
      </c>
      <c r="C124" s="63">
        <f t="shared" si="12"/>
        <v>69761.451525261888</v>
      </c>
      <c r="D124" s="42">
        <f t="shared" si="13"/>
        <v>927.01236000273809</v>
      </c>
      <c r="E124" s="63">
        <f t="shared" si="14"/>
        <v>436.00907203288676</v>
      </c>
      <c r="F124" s="42">
        <f t="shared" si="10"/>
        <v>491.00328796985133</v>
      </c>
      <c r="G124" s="63">
        <f t="shared" si="11"/>
        <v>69270.448237292032</v>
      </c>
      <c r="H124" s="34"/>
      <c r="I124" s="34"/>
      <c r="J124" s="35"/>
    </row>
    <row r="125" spans="1:10" x14ac:dyDescent="0.25">
      <c r="A125" s="33"/>
      <c r="B125" s="41">
        <v>80</v>
      </c>
      <c r="C125" s="63">
        <f t="shared" si="12"/>
        <v>69270.448237292032</v>
      </c>
      <c r="D125" s="42">
        <f t="shared" si="13"/>
        <v>927.01236000273809</v>
      </c>
      <c r="E125" s="63">
        <f t="shared" si="14"/>
        <v>432.94030148307519</v>
      </c>
      <c r="F125" s="42">
        <f t="shared" si="10"/>
        <v>494.0720585196629</v>
      </c>
      <c r="G125" s="63">
        <f t="shared" si="11"/>
        <v>68776.376178772363</v>
      </c>
      <c r="H125" s="34"/>
      <c r="I125" s="34"/>
      <c r="J125" s="35"/>
    </row>
    <row r="126" spans="1:10" x14ac:dyDescent="0.25">
      <c r="A126" s="33"/>
      <c r="B126" s="41">
        <v>81</v>
      </c>
      <c r="C126" s="63">
        <f t="shared" si="12"/>
        <v>68776.376178772363</v>
      </c>
      <c r="D126" s="42">
        <f t="shared" si="13"/>
        <v>927.01236000273809</v>
      </c>
      <c r="E126" s="63">
        <f t="shared" si="14"/>
        <v>429.85235111732726</v>
      </c>
      <c r="F126" s="42">
        <f t="shared" si="10"/>
        <v>497.16000888541083</v>
      </c>
      <c r="G126" s="63">
        <f t="shared" si="11"/>
        <v>68279.216169886946</v>
      </c>
      <c r="H126" s="34"/>
      <c r="I126" s="34"/>
      <c r="J126" s="35"/>
    </row>
    <row r="127" spans="1:10" x14ac:dyDescent="0.25">
      <c r="A127" s="33"/>
      <c r="B127" s="41">
        <v>82</v>
      </c>
      <c r="C127" s="63">
        <f t="shared" si="12"/>
        <v>68279.216169886946</v>
      </c>
      <c r="D127" s="42">
        <f t="shared" si="13"/>
        <v>927.01236000273809</v>
      </c>
      <c r="E127" s="63">
        <f t="shared" si="14"/>
        <v>426.74510106179338</v>
      </c>
      <c r="F127" s="42">
        <f t="shared" si="10"/>
        <v>500.26725894094471</v>
      </c>
      <c r="G127" s="63">
        <f t="shared" si="11"/>
        <v>67778.948910945997</v>
      </c>
      <c r="H127" s="34"/>
      <c r="I127" s="34"/>
      <c r="J127" s="35"/>
    </row>
    <row r="128" spans="1:10" x14ac:dyDescent="0.25">
      <c r="A128" s="33"/>
      <c r="B128" s="41">
        <v>83</v>
      </c>
      <c r="C128" s="63">
        <f t="shared" si="12"/>
        <v>67778.948910945997</v>
      </c>
      <c r="D128" s="42">
        <f t="shared" si="13"/>
        <v>927.01236000273809</v>
      </c>
      <c r="E128" s="63">
        <f t="shared" si="14"/>
        <v>423.61843069341245</v>
      </c>
      <c r="F128" s="42">
        <f t="shared" si="10"/>
        <v>503.39392930932564</v>
      </c>
      <c r="G128" s="63">
        <f t="shared" si="11"/>
        <v>67275.554981636669</v>
      </c>
      <c r="H128" s="34"/>
      <c r="I128" s="34"/>
      <c r="J128" s="35"/>
    </row>
    <row r="129" spans="1:10" x14ac:dyDescent="0.25">
      <c r="A129" s="33"/>
      <c r="B129" s="41">
        <v>84</v>
      </c>
      <c r="C129" s="63">
        <f t="shared" si="12"/>
        <v>67275.554981636669</v>
      </c>
      <c r="D129" s="42">
        <f t="shared" si="13"/>
        <v>927.01236000273809</v>
      </c>
      <c r="E129" s="63">
        <f t="shared" si="14"/>
        <v>420.47221863522913</v>
      </c>
      <c r="F129" s="42">
        <f t="shared" si="10"/>
        <v>506.54014136750897</v>
      </c>
      <c r="G129" s="63">
        <f t="shared" si="11"/>
        <v>66769.014840269156</v>
      </c>
      <c r="H129" s="34"/>
      <c r="I129" s="34"/>
      <c r="J129" s="35"/>
    </row>
    <row r="130" spans="1:10" x14ac:dyDescent="0.25">
      <c r="A130" s="33"/>
      <c r="B130" s="41">
        <v>85</v>
      </c>
      <c r="C130" s="63">
        <f t="shared" si="12"/>
        <v>66769.014840269156</v>
      </c>
      <c r="D130" s="42">
        <f t="shared" si="13"/>
        <v>927.01236000273809</v>
      </c>
      <c r="E130" s="63">
        <f t="shared" si="14"/>
        <v>417.30634275168217</v>
      </c>
      <c r="F130" s="42">
        <f t="shared" si="10"/>
        <v>509.70601725105593</v>
      </c>
      <c r="G130" s="63">
        <f t="shared" si="11"/>
        <v>66259.308823018102</v>
      </c>
      <c r="H130" s="34"/>
      <c r="I130" s="34"/>
      <c r="J130" s="35"/>
    </row>
    <row r="131" spans="1:10" x14ac:dyDescent="0.25">
      <c r="A131" s="33"/>
      <c r="B131" s="41">
        <v>86</v>
      </c>
      <c r="C131" s="63">
        <f t="shared" si="12"/>
        <v>66259.308823018102</v>
      </c>
      <c r="D131" s="42">
        <f t="shared" si="13"/>
        <v>927.01236000273809</v>
      </c>
      <c r="E131" s="63">
        <f t="shared" si="14"/>
        <v>414.12068014386313</v>
      </c>
      <c r="F131" s="42">
        <f t="shared" si="10"/>
        <v>512.89167985887502</v>
      </c>
      <c r="G131" s="63">
        <f t="shared" si="11"/>
        <v>65746.417143159226</v>
      </c>
      <c r="H131" s="34"/>
      <c r="I131" s="34"/>
      <c r="J131" s="35"/>
    </row>
    <row r="132" spans="1:10" x14ac:dyDescent="0.25">
      <c r="A132" s="33"/>
      <c r="B132" s="41">
        <v>87</v>
      </c>
      <c r="C132" s="63">
        <f t="shared" si="12"/>
        <v>65746.417143159226</v>
      </c>
      <c r="D132" s="42">
        <f t="shared" si="13"/>
        <v>927.01236000273809</v>
      </c>
      <c r="E132" s="63">
        <f t="shared" si="14"/>
        <v>410.91510714474515</v>
      </c>
      <c r="F132" s="42">
        <f t="shared" si="10"/>
        <v>516.097252857993</v>
      </c>
      <c r="G132" s="63">
        <f t="shared" si="11"/>
        <v>65230.319890301231</v>
      </c>
      <c r="H132" s="34"/>
      <c r="I132" s="34"/>
      <c r="J132" s="35"/>
    </row>
    <row r="133" spans="1:10" x14ac:dyDescent="0.25">
      <c r="A133" s="33"/>
      <c r="B133" s="41">
        <v>88</v>
      </c>
      <c r="C133" s="63">
        <f t="shared" si="12"/>
        <v>65230.319890301231</v>
      </c>
      <c r="D133" s="42">
        <f t="shared" si="13"/>
        <v>927.01236000273809</v>
      </c>
      <c r="E133" s="63">
        <f t="shared" si="14"/>
        <v>407.68949931438266</v>
      </c>
      <c r="F133" s="42">
        <f t="shared" si="10"/>
        <v>519.32286068835538</v>
      </c>
      <c r="G133" s="63">
        <f t="shared" si="11"/>
        <v>64710.997029612874</v>
      </c>
      <c r="H133" s="34"/>
      <c r="I133" s="34"/>
      <c r="J133" s="35"/>
    </row>
    <row r="134" spans="1:10" x14ac:dyDescent="0.25">
      <c r="A134" s="33"/>
      <c r="B134" s="41">
        <v>89</v>
      </c>
      <c r="C134" s="63">
        <f t="shared" si="12"/>
        <v>64710.997029612874</v>
      </c>
      <c r="D134" s="42">
        <f t="shared" si="13"/>
        <v>927.01236000273809</v>
      </c>
      <c r="E134" s="63">
        <f t="shared" si="14"/>
        <v>404.44373143508045</v>
      </c>
      <c r="F134" s="42">
        <f t="shared" si="10"/>
        <v>522.5686285676577</v>
      </c>
      <c r="G134" s="63">
        <f t="shared" si="11"/>
        <v>64188.428401045217</v>
      </c>
      <c r="H134" s="34"/>
      <c r="I134" s="34"/>
      <c r="J134" s="35"/>
    </row>
    <row r="135" spans="1:10" x14ac:dyDescent="0.25">
      <c r="A135" s="33"/>
      <c r="B135" s="41">
        <v>90</v>
      </c>
      <c r="C135" s="63">
        <f t="shared" si="12"/>
        <v>64188.428401045217</v>
      </c>
      <c r="D135" s="42">
        <f t="shared" si="13"/>
        <v>927.01236000273809</v>
      </c>
      <c r="E135" s="63">
        <f t="shared" si="14"/>
        <v>401.17767750653258</v>
      </c>
      <c r="F135" s="42">
        <f t="shared" si="10"/>
        <v>525.83468249620546</v>
      </c>
      <c r="G135" s="63">
        <f t="shared" si="11"/>
        <v>63662.593718549011</v>
      </c>
      <c r="H135" s="34"/>
      <c r="I135" s="34"/>
      <c r="J135" s="35"/>
    </row>
    <row r="136" spans="1:10" x14ac:dyDescent="0.25">
      <c r="A136" s="33"/>
      <c r="B136" s="41">
        <v>91</v>
      </c>
      <c r="C136" s="63">
        <f t="shared" si="12"/>
        <v>63662.593718549011</v>
      </c>
      <c r="D136" s="42">
        <f t="shared" si="13"/>
        <v>927.01236000273809</v>
      </c>
      <c r="E136" s="63">
        <f t="shared" si="14"/>
        <v>397.89121074093129</v>
      </c>
      <c r="F136" s="42">
        <f t="shared" si="10"/>
        <v>529.12114926180675</v>
      </c>
      <c r="G136" s="63">
        <f t="shared" si="11"/>
        <v>63133.472569287202</v>
      </c>
      <c r="H136" s="34"/>
      <c r="I136" s="34"/>
      <c r="J136" s="35"/>
    </row>
    <row r="137" spans="1:10" x14ac:dyDescent="0.25">
      <c r="A137" s="33"/>
      <c r="B137" s="41">
        <v>92</v>
      </c>
      <c r="C137" s="63">
        <f t="shared" si="12"/>
        <v>63133.472569287202</v>
      </c>
      <c r="D137" s="42">
        <f t="shared" si="13"/>
        <v>927.01236000273809</v>
      </c>
      <c r="E137" s="63">
        <f t="shared" si="14"/>
        <v>394.58420355804498</v>
      </c>
      <c r="F137" s="42">
        <f t="shared" si="10"/>
        <v>532.42815644469306</v>
      </c>
      <c r="G137" s="63">
        <f t="shared" si="11"/>
        <v>62601.044412842508</v>
      </c>
      <c r="H137" s="34"/>
      <c r="I137" s="34"/>
      <c r="J137" s="35"/>
    </row>
    <row r="138" spans="1:10" x14ac:dyDescent="0.25">
      <c r="A138" s="33"/>
      <c r="B138" s="41">
        <v>93</v>
      </c>
      <c r="C138" s="63">
        <f t="shared" si="12"/>
        <v>62601.044412842508</v>
      </c>
      <c r="D138" s="42">
        <f t="shared" si="13"/>
        <v>927.01236000273809</v>
      </c>
      <c r="E138" s="63">
        <f t="shared" si="14"/>
        <v>391.25652758026564</v>
      </c>
      <c r="F138" s="42">
        <f t="shared" si="10"/>
        <v>535.75583242247239</v>
      </c>
      <c r="G138" s="63">
        <f t="shared" si="11"/>
        <v>62065.288580420034</v>
      </c>
      <c r="H138" s="34"/>
      <c r="I138" s="34"/>
      <c r="J138" s="35"/>
    </row>
    <row r="139" spans="1:10" x14ac:dyDescent="0.25">
      <c r="A139" s="33"/>
      <c r="B139" s="41">
        <v>94</v>
      </c>
      <c r="C139" s="63">
        <f t="shared" si="12"/>
        <v>62065.288580420034</v>
      </c>
      <c r="D139" s="42">
        <f t="shared" si="13"/>
        <v>927.01236000273809</v>
      </c>
      <c r="E139" s="63">
        <f t="shared" si="14"/>
        <v>387.90805362762518</v>
      </c>
      <c r="F139" s="42">
        <f t="shared" si="10"/>
        <v>539.10430637511286</v>
      </c>
      <c r="G139" s="63">
        <f t="shared" si="11"/>
        <v>61526.184274044921</v>
      </c>
      <c r="H139" s="34"/>
      <c r="I139" s="34"/>
      <c r="J139" s="35"/>
    </row>
    <row r="140" spans="1:10" x14ac:dyDescent="0.25">
      <c r="A140" s="33"/>
      <c r="B140" s="41">
        <v>95</v>
      </c>
      <c r="C140" s="63">
        <f t="shared" si="12"/>
        <v>61526.184274044921</v>
      </c>
      <c r="D140" s="42">
        <f t="shared" si="13"/>
        <v>927.01236000273809</v>
      </c>
      <c r="E140" s="63">
        <f t="shared" si="14"/>
        <v>384.53865171278073</v>
      </c>
      <c r="F140" s="42">
        <f t="shared" si="10"/>
        <v>542.47370828995736</v>
      </c>
      <c r="G140" s="63">
        <f t="shared" si="11"/>
        <v>60983.710565754962</v>
      </c>
      <c r="H140" s="34"/>
      <c r="I140" s="34"/>
      <c r="J140" s="35"/>
    </row>
    <row r="141" spans="1:10" x14ac:dyDescent="0.25">
      <c r="A141" s="33"/>
      <c r="B141" s="41">
        <v>96</v>
      </c>
      <c r="C141" s="63">
        <f t="shared" si="12"/>
        <v>60983.710565754962</v>
      </c>
      <c r="D141" s="42">
        <f t="shared" si="13"/>
        <v>927.01236000273809</v>
      </c>
      <c r="E141" s="63">
        <f t="shared" si="14"/>
        <v>381.14819103596847</v>
      </c>
      <c r="F141" s="42">
        <f t="shared" si="10"/>
        <v>545.86416896676963</v>
      </c>
      <c r="G141" s="63">
        <f t="shared" si="11"/>
        <v>60437.846396788191</v>
      </c>
      <c r="H141" s="34"/>
      <c r="I141" s="34"/>
      <c r="J141" s="35"/>
    </row>
    <row r="142" spans="1:10" x14ac:dyDescent="0.25">
      <c r="A142" s="33"/>
      <c r="B142" s="41">
        <v>97</v>
      </c>
      <c r="C142" s="63">
        <f t="shared" si="12"/>
        <v>60437.846396788191</v>
      </c>
      <c r="D142" s="42">
        <f t="shared" si="13"/>
        <v>927.01236000273809</v>
      </c>
      <c r="E142" s="63">
        <f t="shared" si="14"/>
        <v>377.73653997992614</v>
      </c>
      <c r="F142" s="42">
        <f t="shared" ref="F142:F173" si="15">D142-E142</f>
        <v>549.27582002281201</v>
      </c>
      <c r="G142" s="63">
        <f t="shared" ref="G142:G173" si="16">C142-F142</f>
        <v>59888.570576765378</v>
      </c>
      <c r="H142" s="34"/>
      <c r="I142" s="34"/>
      <c r="J142" s="35"/>
    </row>
    <row r="143" spans="1:10" x14ac:dyDescent="0.25">
      <c r="A143" s="33"/>
      <c r="B143" s="41">
        <v>98</v>
      </c>
      <c r="C143" s="63">
        <f t="shared" ref="C143:C174" si="17">G142</f>
        <v>59888.570576765378</v>
      </c>
      <c r="D143" s="42">
        <f t="shared" ref="D143:D174" si="18">D142</f>
        <v>927.01236000273809</v>
      </c>
      <c r="E143" s="63">
        <f t="shared" ref="E143:E174" si="19">C143*$D$40</f>
        <v>374.30356610478356</v>
      </c>
      <c r="F143" s="42">
        <f t="shared" si="15"/>
        <v>552.70879389795459</v>
      </c>
      <c r="G143" s="63">
        <f t="shared" si="16"/>
        <v>59335.861782867425</v>
      </c>
      <c r="H143" s="34"/>
      <c r="I143" s="34"/>
      <c r="J143" s="35"/>
    </row>
    <row r="144" spans="1:10" x14ac:dyDescent="0.25">
      <c r="A144" s="33"/>
      <c r="B144" s="41">
        <v>99</v>
      </c>
      <c r="C144" s="63">
        <f t="shared" si="17"/>
        <v>59335.861782867425</v>
      </c>
      <c r="D144" s="42">
        <f t="shared" si="18"/>
        <v>927.01236000273809</v>
      </c>
      <c r="E144" s="63">
        <f t="shared" si="19"/>
        <v>370.8491361429214</v>
      </c>
      <c r="F144" s="42">
        <f t="shared" si="15"/>
        <v>556.16322385981675</v>
      </c>
      <c r="G144" s="63">
        <f t="shared" si="16"/>
        <v>58779.698559007607</v>
      </c>
      <c r="H144" s="34"/>
      <c r="I144" s="34"/>
      <c r="J144" s="35"/>
    </row>
    <row r="145" spans="1:10" x14ac:dyDescent="0.25">
      <c r="A145" s="33"/>
      <c r="B145" s="41">
        <v>100</v>
      </c>
      <c r="C145" s="63">
        <f t="shared" si="17"/>
        <v>58779.698559007607</v>
      </c>
      <c r="D145" s="42">
        <f t="shared" si="18"/>
        <v>927.01236000273809</v>
      </c>
      <c r="E145" s="63">
        <f t="shared" si="19"/>
        <v>367.37311599379751</v>
      </c>
      <c r="F145" s="42">
        <f t="shared" si="15"/>
        <v>559.63924400894052</v>
      </c>
      <c r="G145" s="63">
        <f t="shared" si="16"/>
        <v>58220.059314998667</v>
      </c>
      <c r="H145" s="34"/>
      <c r="I145" s="34"/>
      <c r="J145" s="35"/>
    </row>
    <row r="146" spans="1:10" x14ac:dyDescent="0.25">
      <c r="A146" s="33"/>
      <c r="B146" s="41">
        <v>101</v>
      </c>
      <c r="C146" s="63">
        <f t="shared" si="17"/>
        <v>58220.059314998667</v>
      </c>
      <c r="D146" s="42">
        <f t="shared" si="18"/>
        <v>927.01236000273809</v>
      </c>
      <c r="E146" s="63">
        <f t="shared" si="19"/>
        <v>363.87537071874164</v>
      </c>
      <c r="F146" s="42">
        <f t="shared" si="15"/>
        <v>563.1369892839964</v>
      </c>
      <c r="G146" s="63">
        <f t="shared" si="16"/>
        <v>57656.922325714673</v>
      </c>
      <c r="H146" s="34"/>
      <c r="I146" s="34"/>
      <c r="J146" s="35"/>
    </row>
    <row r="147" spans="1:10" x14ac:dyDescent="0.25">
      <c r="A147" s="33"/>
      <c r="B147" s="41">
        <v>102</v>
      </c>
      <c r="C147" s="63">
        <f t="shared" si="17"/>
        <v>57656.922325714673</v>
      </c>
      <c r="D147" s="42">
        <f t="shared" si="18"/>
        <v>927.01236000273809</v>
      </c>
      <c r="E147" s="63">
        <f t="shared" si="19"/>
        <v>360.35576453571667</v>
      </c>
      <c r="F147" s="42">
        <f t="shared" si="15"/>
        <v>566.65659546702136</v>
      </c>
      <c r="G147" s="63">
        <f t="shared" si="16"/>
        <v>57090.265730247651</v>
      </c>
      <c r="H147" s="34"/>
      <c r="I147" s="34"/>
      <c r="J147" s="35"/>
    </row>
    <row r="148" spans="1:10" x14ac:dyDescent="0.25">
      <c r="A148" s="33"/>
      <c r="B148" s="41">
        <v>103</v>
      </c>
      <c r="C148" s="63">
        <f t="shared" si="17"/>
        <v>57090.265730247651</v>
      </c>
      <c r="D148" s="42">
        <f t="shared" si="18"/>
        <v>927.01236000273809</v>
      </c>
      <c r="E148" s="63">
        <f t="shared" si="19"/>
        <v>356.8141608140478</v>
      </c>
      <c r="F148" s="42">
        <f t="shared" si="15"/>
        <v>570.1981991886903</v>
      </c>
      <c r="G148" s="63">
        <f t="shared" si="16"/>
        <v>56520.067531058958</v>
      </c>
      <c r="H148" s="34"/>
      <c r="I148" s="34"/>
      <c r="J148" s="35"/>
    </row>
    <row r="149" spans="1:10" x14ac:dyDescent="0.25">
      <c r="A149" s="33"/>
      <c r="B149" s="41">
        <v>104</v>
      </c>
      <c r="C149" s="63">
        <f t="shared" si="17"/>
        <v>56520.067531058958</v>
      </c>
      <c r="D149" s="42">
        <f t="shared" si="18"/>
        <v>927.01236000273809</v>
      </c>
      <c r="E149" s="63">
        <f t="shared" si="19"/>
        <v>353.25042206911843</v>
      </c>
      <c r="F149" s="42">
        <f t="shared" si="15"/>
        <v>573.76193793361972</v>
      </c>
      <c r="G149" s="63">
        <f t="shared" si="16"/>
        <v>55946.30559312534</v>
      </c>
      <c r="H149" s="34"/>
      <c r="I149" s="34"/>
      <c r="J149" s="35"/>
    </row>
    <row r="150" spans="1:10" x14ac:dyDescent="0.25">
      <c r="A150" s="33"/>
      <c r="B150" s="41">
        <v>105</v>
      </c>
      <c r="C150" s="63">
        <f t="shared" si="17"/>
        <v>55946.30559312534</v>
      </c>
      <c r="D150" s="42">
        <f t="shared" si="18"/>
        <v>927.01236000273809</v>
      </c>
      <c r="E150" s="63">
        <f t="shared" si="19"/>
        <v>349.66440995703334</v>
      </c>
      <c r="F150" s="42">
        <f t="shared" si="15"/>
        <v>577.34795004570469</v>
      </c>
      <c r="G150" s="63">
        <f t="shared" si="16"/>
        <v>55368.957643079637</v>
      </c>
      <c r="H150" s="34"/>
      <c r="I150" s="34"/>
      <c r="J150" s="35"/>
    </row>
    <row r="151" spans="1:10" x14ac:dyDescent="0.25">
      <c r="A151" s="33"/>
      <c r="B151" s="41">
        <v>106</v>
      </c>
      <c r="C151" s="63">
        <f t="shared" si="17"/>
        <v>55368.957643079637</v>
      </c>
      <c r="D151" s="42">
        <f t="shared" si="18"/>
        <v>927.01236000273809</v>
      </c>
      <c r="E151" s="63">
        <f t="shared" si="19"/>
        <v>346.05598526924769</v>
      </c>
      <c r="F151" s="42">
        <f t="shared" si="15"/>
        <v>580.95637473349041</v>
      </c>
      <c r="G151" s="63">
        <f t="shared" si="16"/>
        <v>54788.001268346146</v>
      </c>
      <c r="H151" s="34"/>
      <c r="I151" s="34"/>
      <c r="J151" s="35"/>
    </row>
    <row r="152" spans="1:10" x14ac:dyDescent="0.25">
      <c r="A152" s="33"/>
      <c r="B152" s="41">
        <v>107</v>
      </c>
      <c r="C152" s="63">
        <f t="shared" si="17"/>
        <v>54788.001268346146</v>
      </c>
      <c r="D152" s="42">
        <f t="shared" si="18"/>
        <v>927.01236000273809</v>
      </c>
      <c r="E152" s="63">
        <f t="shared" si="19"/>
        <v>342.42500792716339</v>
      </c>
      <c r="F152" s="42">
        <f t="shared" si="15"/>
        <v>584.5873520755747</v>
      </c>
      <c r="G152" s="63">
        <f t="shared" si="16"/>
        <v>54203.413916270569</v>
      </c>
      <c r="H152" s="34"/>
      <c r="I152" s="34"/>
      <c r="J152" s="35"/>
    </row>
    <row r="153" spans="1:10" x14ac:dyDescent="0.25">
      <c r="A153" s="33"/>
      <c r="B153" s="41">
        <v>108</v>
      </c>
      <c r="C153" s="63">
        <f t="shared" si="17"/>
        <v>54203.413916270569</v>
      </c>
      <c r="D153" s="42">
        <f t="shared" si="18"/>
        <v>927.01236000273809</v>
      </c>
      <c r="E153" s="63">
        <f t="shared" si="19"/>
        <v>338.77133697669103</v>
      </c>
      <c r="F153" s="42">
        <f t="shared" si="15"/>
        <v>588.24102302604706</v>
      </c>
      <c r="G153" s="63">
        <f t="shared" si="16"/>
        <v>53615.172893244518</v>
      </c>
      <c r="H153" s="34"/>
      <c r="I153" s="34"/>
      <c r="J153" s="35"/>
    </row>
    <row r="154" spans="1:10" x14ac:dyDescent="0.25">
      <c r="A154" s="33"/>
      <c r="B154" s="41">
        <v>109</v>
      </c>
      <c r="C154" s="63">
        <f t="shared" si="17"/>
        <v>53615.172893244518</v>
      </c>
      <c r="D154" s="42">
        <f t="shared" si="18"/>
        <v>927.01236000273809</v>
      </c>
      <c r="E154" s="63">
        <f t="shared" si="19"/>
        <v>335.09483058277823</v>
      </c>
      <c r="F154" s="42">
        <f t="shared" si="15"/>
        <v>591.91752941995992</v>
      </c>
      <c r="G154" s="63">
        <f t="shared" si="16"/>
        <v>53023.255363824559</v>
      </c>
      <c r="H154" s="34"/>
      <c r="I154" s="34"/>
      <c r="J154" s="35"/>
    </row>
    <row r="155" spans="1:10" x14ac:dyDescent="0.25">
      <c r="A155" s="33"/>
      <c r="B155" s="41">
        <v>110</v>
      </c>
      <c r="C155" s="63">
        <f t="shared" si="17"/>
        <v>53023.255363824559</v>
      </c>
      <c r="D155" s="42">
        <f t="shared" si="18"/>
        <v>927.01236000273809</v>
      </c>
      <c r="E155" s="63">
        <f t="shared" si="19"/>
        <v>331.39534602390347</v>
      </c>
      <c r="F155" s="42">
        <f t="shared" si="15"/>
        <v>595.61701397883462</v>
      </c>
      <c r="G155" s="63">
        <f t="shared" si="16"/>
        <v>52427.638349845722</v>
      </c>
      <c r="H155" s="34"/>
      <c r="I155" s="34"/>
      <c r="J155" s="35"/>
    </row>
    <row r="156" spans="1:10" x14ac:dyDescent="0.25">
      <c r="A156" s="33"/>
      <c r="B156" s="41">
        <v>111</v>
      </c>
      <c r="C156" s="63">
        <f t="shared" si="17"/>
        <v>52427.638349845722</v>
      </c>
      <c r="D156" s="42">
        <f t="shared" si="18"/>
        <v>927.01236000273809</v>
      </c>
      <c r="E156" s="63">
        <f t="shared" si="19"/>
        <v>327.67273968653575</v>
      </c>
      <c r="F156" s="42">
        <f t="shared" si="15"/>
        <v>599.3396203162024</v>
      </c>
      <c r="G156" s="63">
        <f t="shared" si="16"/>
        <v>51828.298729529517</v>
      </c>
      <c r="H156" s="34"/>
      <c r="I156" s="34"/>
      <c r="J156" s="35"/>
    </row>
    <row r="157" spans="1:10" x14ac:dyDescent="0.25">
      <c r="A157" s="33"/>
      <c r="B157" s="41">
        <v>112</v>
      </c>
      <c r="C157" s="63">
        <f t="shared" si="17"/>
        <v>51828.298729529517</v>
      </c>
      <c r="D157" s="42">
        <f t="shared" si="18"/>
        <v>927.01236000273809</v>
      </c>
      <c r="E157" s="63">
        <f t="shared" si="19"/>
        <v>323.92686705955947</v>
      </c>
      <c r="F157" s="42">
        <f t="shared" si="15"/>
        <v>603.08549294317868</v>
      </c>
      <c r="G157" s="63">
        <f t="shared" si="16"/>
        <v>51225.213236586336</v>
      </c>
      <c r="H157" s="34"/>
      <c r="I157" s="34"/>
      <c r="J157" s="35"/>
    </row>
    <row r="158" spans="1:10" x14ac:dyDescent="0.25">
      <c r="A158" s="33"/>
      <c r="B158" s="41">
        <v>113</v>
      </c>
      <c r="C158" s="63">
        <f t="shared" si="17"/>
        <v>51225.213236586336</v>
      </c>
      <c r="D158" s="42">
        <f t="shared" si="18"/>
        <v>927.01236000273809</v>
      </c>
      <c r="E158" s="63">
        <f t="shared" si="19"/>
        <v>320.15758272866458</v>
      </c>
      <c r="F158" s="42">
        <f t="shared" si="15"/>
        <v>606.85477727407351</v>
      </c>
      <c r="G158" s="63">
        <f t="shared" si="16"/>
        <v>50618.358459312265</v>
      </c>
      <c r="H158" s="34"/>
      <c r="I158" s="34"/>
      <c r="J158" s="35"/>
    </row>
    <row r="159" spans="1:10" x14ac:dyDescent="0.25">
      <c r="A159" s="33"/>
      <c r="B159" s="41">
        <v>114</v>
      </c>
      <c r="C159" s="63">
        <f t="shared" si="17"/>
        <v>50618.358459312265</v>
      </c>
      <c r="D159" s="42">
        <f t="shared" si="18"/>
        <v>927.01236000273809</v>
      </c>
      <c r="E159" s="63">
        <f t="shared" si="19"/>
        <v>316.36474037070161</v>
      </c>
      <c r="F159" s="42">
        <f t="shared" si="15"/>
        <v>610.64761963203648</v>
      </c>
      <c r="G159" s="63">
        <f t="shared" si="16"/>
        <v>50007.710839680229</v>
      </c>
      <c r="H159" s="34"/>
      <c r="I159" s="34"/>
      <c r="J159" s="35"/>
    </row>
    <row r="160" spans="1:10" x14ac:dyDescent="0.25">
      <c r="A160" s="33"/>
      <c r="B160" s="41">
        <v>115</v>
      </c>
      <c r="C160" s="63">
        <f t="shared" si="17"/>
        <v>50007.710839680229</v>
      </c>
      <c r="D160" s="42">
        <f t="shared" si="18"/>
        <v>927.01236000273809</v>
      </c>
      <c r="E160" s="63">
        <f t="shared" si="19"/>
        <v>312.54819274800138</v>
      </c>
      <c r="F160" s="42">
        <f t="shared" si="15"/>
        <v>614.46416725473671</v>
      </c>
      <c r="G160" s="63">
        <f t="shared" si="16"/>
        <v>49393.246672425492</v>
      </c>
      <c r="H160" s="34"/>
      <c r="I160" s="34"/>
      <c r="J160" s="35"/>
    </row>
    <row r="161" spans="1:10" x14ac:dyDescent="0.25">
      <c r="A161" s="33"/>
      <c r="B161" s="41">
        <v>116</v>
      </c>
      <c r="C161" s="63">
        <f t="shared" si="17"/>
        <v>49393.246672425492</v>
      </c>
      <c r="D161" s="42">
        <f t="shared" si="18"/>
        <v>927.01236000273809</v>
      </c>
      <c r="E161" s="63">
        <f t="shared" si="19"/>
        <v>308.70779170265928</v>
      </c>
      <c r="F161" s="42">
        <f t="shared" si="15"/>
        <v>618.30456830007881</v>
      </c>
      <c r="G161" s="63">
        <f t="shared" si="16"/>
        <v>48774.94210412541</v>
      </c>
      <c r="H161" s="34"/>
      <c r="I161" s="34"/>
      <c r="J161" s="35"/>
    </row>
    <row r="162" spans="1:10" x14ac:dyDescent="0.25">
      <c r="A162" s="33"/>
      <c r="B162" s="41">
        <v>117</v>
      </c>
      <c r="C162" s="63">
        <f t="shared" si="17"/>
        <v>48774.94210412541</v>
      </c>
      <c r="D162" s="42">
        <f t="shared" si="18"/>
        <v>927.01236000273809</v>
      </c>
      <c r="E162" s="63">
        <f t="shared" si="19"/>
        <v>304.84338815078377</v>
      </c>
      <c r="F162" s="42">
        <f t="shared" si="15"/>
        <v>622.16897185195432</v>
      </c>
      <c r="G162" s="63">
        <f t="shared" si="16"/>
        <v>48152.773132273454</v>
      </c>
      <c r="H162" s="34"/>
      <c r="I162" s="34"/>
      <c r="J162" s="35"/>
    </row>
    <row r="163" spans="1:10" x14ac:dyDescent="0.25">
      <c r="A163" s="33"/>
      <c r="B163" s="41">
        <v>118</v>
      </c>
      <c r="C163" s="63">
        <f t="shared" si="17"/>
        <v>48152.773132273454</v>
      </c>
      <c r="D163" s="42">
        <f t="shared" si="18"/>
        <v>927.01236000273809</v>
      </c>
      <c r="E163" s="63">
        <f t="shared" si="19"/>
        <v>300.95483207670907</v>
      </c>
      <c r="F163" s="42">
        <f t="shared" si="15"/>
        <v>626.05752792602902</v>
      </c>
      <c r="G163" s="63">
        <f t="shared" si="16"/>
        <v>47526.715604347424</v>
      </c>
      <c r="H163" s="34"/>
      <c r="I163" s="34"/>
      <c r="J163" s="35"/>
    </row>
    <row r="164" spans="1:10" x14ac:dyDescent="0.25">
      <c r="A164" s="33"/>
      <c r="B164" s="41">
        <v>119</v>
      </c>
      <c r="C164" s="63">
        <f t="shared" si="17"/>
        <v>47526.715604347424</v>
      </c>
      <c r="D164" s="42">
        <f t="shared" si="18"/>
        <v>927.01236000273809</v>
      </c>
      <c r="E164" s="63">
        <f t="shared" si="19"/>
        <v>297.04197252717137</v>
      </c>
      <c r="F164" s="42">
        <f t="shared" si="15"/>
        <v>629.97038747556667</v>
      </c>
      <c r="G164" s="63">
        <f t="shared" si="16"/>
        <v>46896.745216871859</v>
      </c>
      <c r="H164" s="34"/>
      <c r="I164" s="34"/>
      <c r="J164" s="35"/>
    </row>
    <row r="165" spans="1:10" x14ac:dyDescent="0.25">
      <c r="A165" s="33"/>
      <c r="B165" s="41">
        <v>120</v>
      </c>
      <c r="C165" s="63">
        <f t="shared" si="17"/>
        <v>46896.745216871859</v>
      </c>
      <c r="D165" s="42">
        <f t="shared" si="18"/>
        <v>927.01236000273809</v>
      </c>
      <c r="E165" s="63">
        <f t="shared" si="19"/>
        <v>293.10465760544912</v>
      </c>
      <c r="F165" s="42">
        <f t="shared" si="15"/>
        <v>633.90770239728897</v>
      </c>
      <c r="G165" s="63">
        <f t="shared" si="16"/>
        <v>46262.837514474573</v>
      </c>
      <c r="H165" s="34"/>
      <c r="I165" s="34"/>
      <c r="J165" s="35"/>
    </row>
    <row r="166" spans="1:10" x14ac:dyDescent="0.25">
      <c r="A166" s="33"/>
      <c r="B166" s="41">
        <v>121</v>
      </c>
      <c r="C166" s="63">
        <f t="shared" si="17"/>
        <v>46262.837514474573</v>
      </c>
      <c r="D166" s="42">
        <f t="shared" si="18"/>
        <v>927.01236000273809</v>
      </c>
      <c r="E166" s="63">
        <f t="shared" si="19"/>
        <v>289.14273446546605</v>
      </c>
      <c r="F166" s="42">
        <f t="shared" si="15"/>
        <v>637.86962553727199</v>
      </c>
      <c r="G166" s="63">
        <f t="shared" si="16"/>
        <v>45624.967888937303</v>
      </c>
      <c r="H166" s="34"/>
      <c r="I166" s="34"/>
      <c r="J166" s="35"/>
    </row>
    <row r="167" spans="1:10" x14ac:dyDescent="0.25">
      <c r="A167" s="33"/>
      <c r="B167" s="41">
        <v>122</v>
      </c>
      <c r="C167" s="63">
        <f t="shared" si="17"/>
        <v>45624.967888937303</v>
      </c>
      <c r="D167" s="42">
        <f t="shared" si="18"/>
        <v>927.01236000273809</v>
      </c>
      <c r="E167" s="63">
        <f t="shared" si="19"/>
        <v>285.15604930585812</v>
      </c>
      <c r="F167" s="42">
        <f t="shared" si="15"/>
        <v>641.85631069687997</v>
      </c>
      <c r="G167" s="63">
        <f t="shared" si="16"/>
        <v>44983.111578240423</v>
      </c>
      <c r="H167" s="34"/>
      <c r="I167" s="34"/>
      <c r="J167" s="35"/>
    </row>
    <row r="168" spans="1:10" x14ac:dyDescent="0.25">
      <c r="A168" s="33"/>
      <c r="B168" s="41">
        <v>123</v>
      </c>
      <c r="C168" s="63">
        <f t="shared" si="17"/>
        <v>44983.111578240423</v>
      </c>
      <c r="D168" s="42">
        <f t="shared" si="18"/>
        <v>927.01236000273809</v>
      </c>
      <c r="E168" s="63">
        <f t="shared" si="19"/>
        <v>281.14444736400264</v>
      </c>
      <c r="F168" s="42">
        <f t="shared" si="15"/>
        <v>645.86791263873545</v>
      </c>
      <c r="G168" s="63">
        <f t="shared" si="16"/>
        <v>44337.243665601687</v>
      </c>
      <c r="H168" s="34"/>
      <c r="I168" s="34"/>
      <c r="J168" s="35"/>
    </row>
    <row r="169" spans="1:10" x14ac:dyDescent="0.25">
      <c r="A169" s="33"/>
      <c r="B169" s="41">
        <v>124</v>
      </c>
      <c r="C169" s="63">
        <f t="shared" si="17"/>
        <v>44337.243665601687</v>
      </c>
      <c r="D169" s="42">
        <f t="shared" si="18"/>
        <v>927.01236000273809</v>
      </c>
      <c r="E169" s="63">
        <f t="shared" si="19"/>
        <v>277.10777291001051</v>
      </c>
      <c r="F169" s="42">
        <f t="shared" si="15"/>
        <v>649.90458709272752</v>
      </c>
      <c r="G169" s="63">
        <f t="shared" si="16"/>
        <v>43687.339078508958</v>
      </c>
      <c r="H169" s="34"/>
      <c r="I169" s="34"/>
      <c r="J169" s="35"/>
    </row>
    <row r="170" spans="1:10" x14ac:dyDescent="0.25">
      <c r="A170" s="33"/>
      <c r="B170" s="41">
        <v>125</v>
      </c>
      <c r="C170" s="63">
        <f t="shared" si="17"/>
        <v>43687.339078508958</v>
      </c>
      <c r="D170" s="42">
        <f t="shared" si="18"/>
        <v>927.01236000273809</v>
      </c>
      <c r="E170" s="63">
        <f t="shared" si="19"/>
        <v>273.04586924068099</v>
      </c>
      <c r="F170" s="42">
        <f t="shared" si="15"/>
        <v>653.96649076205711</v>
      </c>
      <c r="G170" s="63">
        <f t="shared" si="16"/>
        <v>43033.372587746904</v>
      </c>
      <c r="H170" s="34"/>
      <c r="I170" s="34"/>
      <c r="J170" s="35"/>
    </row>
    <row r="171" spans="1:10" x14ac:dyDescent="0.25">
      <c r="A171" s="33"/>
      <c r="B171" s="41">
        <v>126</v>
      </c>
      <c r="C171" s="63">
        <f t="shared" si="17"/>
        <v>43033.372587746904</v>
      </c>
      <c r="D171" s="42">
        <f t="shared" si="18"/>
        <v>927.01236000273809</v>
      </c>
      <c r="E171" s="63">
        <f t="shared" si="19"/>
        <v>268.95857867341812</v>
      </c>
      <c r="F171" s="42">
        <f t="shared" si="15"/>
        <v>658.05378132931992</v>
      </c>
      <c r="G171" s="63">
        <f t="shared" si="16"/>
        <v>42375.318806417585</v>
      </c>
      <c r="H171" s="34"/>
      <c r="I171" s="34"/>
      <c r="J171" s="35"/>
    </row>
    <row r="172" spans="1:10" x14ac:dyDescent="0.25">
      <c r="A172" s="33"/>
      <c r="B172" s="41">
        <v>127</v>
      </c>
      <c r="C172" s="63">
        <f t="shared" si="17"/>
        <v>42375.318806417585</v>
      </c>
      <c r="D172" s="42">
        <f t="shared" si="18"/>
        <v>927.01236000273809</v>
      </c>
      <c r="E172" s="63">
        <f t="shared" si="19"/>
        <v>264.84574254010988</v>
      </c>
      <c r="F172" s="42">
        <f t="shared" si="15"/>
        <v>662.16661746262821</v>
      </c>
      <c r="G172" s="63">
        <f t="shared" si="16"/>
        <v>41713.152188954955</v>
      </c>
      <c r="H172" s="34"/>
      <c r="I172" s="34"/>
      <c r="J172" s="35"/>
    </row>
    <row r="173" spans="1:10" x14ac:dyDescent="0.25">
      <c r="A173" s="33"/>
      <c r="B173" s="41">
        <v>128</v>
      </c>
      <c r="C173" s="63">
        <f t="shared" si="17"/>
        <v>41713.152188954955</v>
      </c>
      <c r="D173" s="42">
        <f t="shared" si="18"/>
        <v>927.01236000273809</v>
      </c>
      <c r="E173" s="63">
        <f t="shared" si="19"/>
        <v>260.70720118096847</v>
      </c>
      <c r="F173" s="42">
        <f t="shared" si="15"/>
        <v>666.30515882176962</v>
      </c>
      <c r="G173" s="63">
        <f t="shared" si="16"/>
        <v>41046.847030133184</v>
      </c>
      <c r="H173" s="34"/>
      <c r="I173" s="34"/>
      <c r="J173" s="35"/>
    </row>
    <row r="174" spans="1:10" x14ac:dyDescent="0.25">
      <c r="A174" s="33"/>
      <c r="B174" s="41">
        <v>129</v>
      </c>
      <c r="C174" s="63">
        <f t="shared" si="17"/>
        <v>41046.847030133184</v>
      </c>
      <c r="D174" s="42">
        <f t="shared" si="18"/>
        <v>927.01236000273809</v>
      </c>
      <c r="E174" s="63">
        <f t="shared" si="19"/>
        <v>256.54279393833235</v>
      </c>
      <c r="F174" s="42">
        <f t="shared" ref="F174:F205" si="20">D174-E174</f>
        <v>670.46956606440574</v>
      </c>
      <c r="G174" s="63">
        <f t="shared" ref="G174:G205" si="21">C174-F174</f>
        <v>40376.377464068777</v>
      </c>
      <c r="H174" s="34"/>
      <c r="I174" s="34"/>
      <c r="J174" s="35"/>
    </row>
    <row r="175" spans="1:10" x14ac:dyDescent="0.25">
      <c r="A175" s="33"/>
      <c r="B175" s="41">
        <v>130</v>
      </c>
      <c r="C175" s="63">
        <f t="shared" ref="C175:C206" si="22">G174</f>
        <v>40376.377464068777</v>
      </c>
      <c r="D175" s="42">
        <f t="shared" ref="D175:D206" si="23">D174</f>
        <v>927.01236000273809</v>
      </c>
      <c r="E175" s="63">
        <f t="shared" ref="E175:E206" si="24">C175*$D$40</f>
        <v>252.35235915042983</v>
      </c>
      <c r="F175" s="42">
        <f t="shared" si="20"/>
        <v>674.66000085230826</v>
      </c>
      <c r="G175" s="63">
        <f t="shared" si="21"/>
        <v>39701.717463216468</v>
      </c>
      <c r="H175" s="34"/>
      <c r="I175" s="34"/>
      <c r="J175" s="35"/>
    </row>
    <row r="176" spans="1:10" x14ac:dyDescent="0.25">
      <c r="A176" s="33"/>
      <c r="B176" s="41">
        <v>131</v>
      </c>
      <c r="C176" s="63">
        <f t="shared" si="22"/>
        <v>39701.717463216468</v>
      </c>
      <c r="D176" s="42">
        <f t="shared" si="23"/>
        <v>927.01236000273809</v>
      </c>
      <c r="E176" s="63">
        <f t="shared" si="24"/>
        <v>248.1357341451029</v>
      </c>
      <c r="F176" s="42">
        <f t="shared" si="20"/>
        <v>678.87662585763519</v>
      </c>
      <c r="G176" s="63">
        <f t="shared" si="21"/>
        <v>39022.840837358832</v>
      </c>
      <c r="H176" s="34"/>
      <c r="I176" s="34"/>
      <c r="J176" s="35"/>
    </row>
    <row r="177" spans="1:10" x14ac:dyDescent="0.25">
      <c r="A177" s="33"/>
      <c r="B177" s="41">
        <v>132</v>
      </c>
      <c r="C177" s="63">
        <f t="shared" si="22"/>
        <v>39022.840837358832</v>
      </c>
      <c r="D177" s="42">
        <f t="shared" si="23"/>
        <v>927.01236000273809</v>
      </c>
      <c r="E177" s="63">
        <f t="shared" si="24"/>
        <v>243.89275523349266</v>
      </c>
      <c r="F177" s="42">
        <f t="shared" si="20"/>
        <v>683.11960476924537</v>
      </c>
      <c r="G177" s="63">
        <f t="shared" si="21"/>
        <v>38339.721232589589</v>
      </c>
      <c r="H177" s="34"/>
      <c r="I177" s="34"/>
      <c r="J177" s="35"/>
    </row>
    <row r="178" spans="1:10" x14ac:dyDescent="0.25">
      <c r="A178" s="33"/>
      <c r="B178" s="41">
        <v>133</v>
      </c>
      <c r="C178" s="63">
        <f t="shared" si="22"/>
        <v>38339.721232589589</v>
      </c>
      <c r="D178" s="42">
        <f t="shared" si="23"/>
        <v>927.01236000273809</v>
      </c>
      <c r="E178" s="63">
        <f t="shared" si="24"/>
        <v>239.62325770368491</v>
      </c>
      <c r="F178" s="42">
        <f t="shared" si="20"/>
        <v>687.38910229905321</v>
      </c>
      <c r="G178" s="63">
        <f t="shared" si="21"/>
        <v>37652.332130290539</v>
      </c>
      <c r="H178" s="34"/>
      <c r="I178" s="34"/>
      <c r="J178" s="35"/>
    </row>
    <row r="179" spans="1:10" x14ac:dyDescent="0.25">
      <c r="A179" s="33"/>
      <c r="B179" s="41">
        <v>134</v>
      </c>
      <c r="C179" s="63">
        <f t="shared" si="22"/>
        <v>37652.332130290539</v>
      </c>
      <c r="D179" s="42">
        <f t="shared" si="23"/>
        <v>927.01236000273809</v>
      </c>
      <c r="E179" s="63">
        <f t="shared" si="24"/>
        <v>235.32707581431586</v>
      </c>
      <c r="F179" s="42">
        <f t="shared" si="20"/>
        <v>691.6852841884222</v>
      </c>
      <c r="G179" s="63">
        <f t="shared" si="21"/>
        <v>36960.646846102114</v>
      </c>
      <c r="H179" s="34"/>
      <c r="I179" s="34"/>
      <c r="J179" s="35"/>
    </row>
    <row r="180" spans="1:10" x14ac:dyDescent="0.25">
      <c r="A180" s="33"/>
      <c r="B180" s="41">
        <v>135</v>
      </c>
      <c r="C180" s="63">
        <f t="shared" si="22"/>
        <v>36960.646846102114</v>
      </c>
      <c r="D180" s="42">
        <f t="shared" si="23"/>
        <v>927.01236000273809</v>
      </c>
      <c r="E180" s="63">
        <f t="shared" si="24"/>
        <v>231.00404278813821</v>
      </c>
      <c r="F180" s="42">
        <f t="shared" si="20"/>
        <v>696.00831721459986</v>
      </c>
      <c r="G180" s="63">
        <f t="shared" si="21"/>
        <v>36264.638528887517</v>
      </c>
      <c r="H180" s="34"/>
      <c r="I180" s="34"/>
      <c r="J180" s="35"/>
    </row>
    <row r="181" spans="1:10" x14ac:dyDescent="0.25">
      <c r="A181" s="33"/>
      <c r="B181" s="41">
        <v>136</v>
      </c>
      <c r="C181" s="63">
        <f t="shared" si="22"/>
        <v>36264.638528887517</v>
      </c>
      <c r="D181" s="42">
        <f t="shared" si="23"/>
        <v>927.01236000273809</v>
      </c>
      <c r="E181" s="63">
        <f t="shared" si="24"/>
        <v>226.65399080554695</v>
      </c>
      <c r="F181" s="42">
        <f t="shared" si="20"/>
        <v>700.35836919719111</v>
      </c>
      <c r="G181" s="63">
        <f t="shared" si="21"/>
        <v>35564.280159690323</v>
      </c>
      <c r="H181" s="34"/>
      <c r="I181" s="34"/>
      <c r="J181" s="35"/>
    </row>
    <row r="182" spans="1:10" x14ac:dyDescent="0.25">
      <c r="A182" s="33"/>
      <c r="B182" s="41">
        <v>137</v>
      </c>
      <c r="C182" s="63">
        <f t="shared" si="22"/>
        <v>35564.280159690323</v>
      </c>
      <c r="D182" s="42">
        <f t="shared" si="23"/>
        <v>927.01236000273809</v>
      </c>
      <c r="E182" s="63">
        <f t="shared" si="24"/>
        <v>222.2767509980645</v>
      </c>
      <c r="F182" s="42">
        <f t="shared" si="20"/>
        <v>704.73560900467362</v>
      </c>
      <c r="G182" s="63">
        <f t="shared" si="21"/>
        <v>34859.544550685649</v>
      </c>
      <c r="H182" s="34"/>
      <c r="I182" s="34"/>
      <c r="J182" s="35"/>
    </row>
    <row r="183" spans="1:10" x14ac:dyDescent="0.25">
      <c r="A183" s="33"/>
      <c r="B183" s="41">
        <v>138</v>
      </c>
      <c r="C183" s="63">
        <f t="shared" si="22"/>
        <v>34859.544550685649</v>
      </c>
      <c r="D183" s="42">
        <f t="shared" si="23"/>
        <v>927.01236000273809</v>
      </c>
      <c r="E183" s="63">
        <f t="shared" si="24"/>
        <v>217.87215344178529</v>
      </c>
      <c r="F183" s="42">
        <f t="shared" si="20"/>
        <v>709.14020656095283</v>
      </c>
      <c r="G183" s="63">
        <f t="shared" si="21"/>
        <v>34150.404344124698</v>
      </c>
      <c r="H183" s="34"/>
      <c r="I183" s="34"/>
      <c r="J183" s="35"/>
    </row>
    <row r="184" spans="1:10" x14ac:dyDescent="0.25">
      <c r="A184" s="33"/>
      <c r="B184" s="41">
        <v>139</v>
      </c>
      <c r="C184" s="63">
        <f t="shared" si="22"/>
        <v>34150.404344124698</v>
      </c>
      <c r="D184" s="42">
        <f t="shared" si="23"/>
        <v>927.01236000273809</v>
      </c>
      <c r="E184" s="63">
        <f t="shared" si="24"/>
        <v>213.44002715077934</v>
      </c>
      <c r="F184" s="42">
        <f t="shared" si="20"/>
        <v>713.57233285195878</v>
      </c>
      <c r="G184" s="63">
        <f t="shared" si="21"/>
        <v>33436.832011272738</v>
      </c>
      <c r="H184" s="34"/>
      <c r="I184" s="34"/>
      <c r="J184" s="35"/>
    </row>
    <row r="185" spans="1:10" x14ac:dyDescent="0.25">
      <c r="A185" s="33"/>
      <c r="B185" s="41">
        <v>140</v>
      </c>
      <c r="C185" s="63">
        <f t="shared" si="22"/>
        <v>33436.832011272738</v>
      </c>
      <c r="D185" s="42">
        <f t="shared" si="23"/>
        <v>927.01236000273809</v>
      </c>
      <c r="E185" s="63">
        <f t="shared" si="24"/>
        <v>208.9802000704546</v>
      </c>
      <c r="F185" s="42">
        <f t="shared" si="20"/>
        <v>718.03215993228355</v>
      </c>
      <c r="G185" s="63">
        <f t="shared" si="21"/>
        <v>32718.799851340453</v>
      </c>
      <c r="H185" s="34"/>
      <c r="I185" s="34"/>
      <c r="J185" s="35"/>
    </row>
    <row r="186" spans="1:10" x14ac:dyDescent="0.25">
      <c r="A186" s="33"/>
      <c r="B186" s="41">
        <v>141</v>
      </c>
      <c r="C186" s="63">
        <f t="shared" si="22"/>
        <v>32718.799851340453</v>
      </c>
      <c r="D186" s="42">
        <f t="shared" si="23"/>
        <v>927.01236000273809</v>
      </c>
      <c r="E186" s="63">
        <f t="shared" si="24"/>
        <v>204.49249907087781</v>
      </c>
      <c r="F186" s="42">
        <f t="shared" si="20"/>
        <v>722.51986093186031</v>
      </c>
      <c r="G186" s="63">
        <f t="shared" si="21"/>
        <v>31996.279990408591</v>
      </c>
      <c r="H186" s="34"/>
      <c r="I186" s="34"/>
      <c r="J186" s="35"/>
    </row>
    <row r="187" spans="1:10" x14ac:dyDescent="0.25">
      <c r="A187" s="33"/>
      <c r="B187" s="41">
        <v>142</v>
      </c>
      <c r="C187" s="63">
        <f t="shared" si="22"/>
        <v>31996.279990408591</v>
      </c>
      <c r="D187" s="42">
        <f t="shared" si="23"/>
        <v>927.01236000273809</v>
      </c>
      <c r="E187" s="63">
        <f t="shared" si="24"/>
        <v>199.97674994005368</v>
      </c>
      <c r="F187" s="42">
        <f t="shared" si="20"/>
        <v>727.03561006268444</v>
      </c>
      <c r="G187" s="63">
        <f t="shared" si="21"/>
        <v>31269.244380345906</v>
      </c>
      <c r="H187" s="34"/>
      <c r="I187" s="34"/>
      <c r="J187" s="35"/>
    </row>
    <row r="188" spans="1:10" x14ac:dyDescent="0.25">
      <c r="A188" s="33"/>
      <c r="B188" s="41">
        <v>143</v>
      </c>
      <c r="C188" s="63">
        <f t="shared" si="22"/>
        <v>31269.244380345906</v>
      </c>
      <c r="D188" s="42">
        <f t="shared" si="23"/>
        <v>927.01236000273809</v>
      </c>
      <c r="E188" s="63">
        <f t="shared" si="24"/>
        <v>195.4327773771619</v>
      </c>
      <c r="F188" s="42">
        <f t="shared" si="20"/>
        <v>731.57958262557622</v>
      </c>
      <c r="G188" s="63">
        <f t="shared" si="21"/>
        <v>30537.664797720332</v>
      </c>
      <c r="H188" s="34"/>
      <c r="I188" s="34"/>
      <c r="J188" s="35"/>
    </row>
    <row r="189" spans="1:10" x14ac:dyDescent="0.25">
      <c r="A189" s="33"/>
      <c r="B189" s="41">
        <v>144</v>
      </c>
      <c r="C189" s="63">
        <f t="shared" si="22"/>
        <v>30537.664797720332</v>
      </c>
      <c r="D189" s="42">
        <f t="shared" si="23"/>
        <v>927.01236000273809</v>
      </c>
      <c r="E189" s="63">
        <f t="shared" si="24"/>
        <v>190.86040498575207</v>
      </c>
      <c r="F189" s="42">
        <f t="shared" si="20"/>
        <v>736.15195501698599</v>
      </c>
      <c r="G189" s="63">
        <f t="shared" si="21"/>
        <v>29801.512842703345</v>
      </c>
      <c r="H189" s="34"/>
      <c r="I189" s="34"/>
      <c r="J189" s="35"/>
    </row>
    <row r="190" spans="1:10" x14ac:dyDescent="0.25">
      <c r="A190" s="33"/>
      <c r="B190" s="41">
        <v>145</v>
      </c>
      <c r="C190" s="63">
        <f t="shared" si="22"/>
        <v>29801.512842703345</v>
      </c>
      <c r="D190" s="42">
        <f t="shared" si="23"/>
        <v>927.01236000273809</v>
      </c>
      <c r="E190" s="63">
        <f t="shared" si="24"/>
        <v>186.25945526689588</v>
      </c>
      <c r="F190" s="42">
        <f t="shared" si="20"/>
        <v>740.75290473584221</v>
      </c>
      <c r="G190" s="63">
        <f t="shared" si="21"/>
        <v>29060.759937967501</v>
      </c>
      <c r="H190" s="34"/>
      <c r="I190" s="34"/>
      <c r="J190" s="35"/>
    </row>
    <row r="191" spans="1:10" x14ac:dyDescent="0.25">
      <c r="A191" s="33"/>
      <c r="B191" s="41">
        <v>146</v>
      </c>
      <c r="C191" s="63">
        <f t="shared" si="22"/>
        <v>29060.759937967501</v>
      </c>
      <c r="D191" s="42">
        <f t="shared" si="23"/>
        <v>927.01236000273809</v>
      </c>
      <c r="E191" s="63">
        <f t="shared" si="24"/>
        <v>181.62974961229688</v>
      </c>
      <c r="F191" s="42">
        <f t="shared" si="20"/>
        <v>745.38261039044119</v>
      </c>
      <c r="G191" s="63">
        <f t="shared" si="21"/>
        <v>28315.377327577058</v>
      </c>
      <c r="H191" s="34"/>
      <c r="I191" s="34"/>
      <c r="J191" s="35"/>
    </row>
    <row r="192" spans="1:10" x14ac:dyDescent="0.25">
      <c r="A192" s="33"/>
      <c r="B192" s="41">
        <v>147</v>
      </c>
      <c r="C192" s="63">
        <f t="shared" si="22"/>
        <v>28315.377327577058</v>
      </c>
      <c r="D192" s="42">
        <f t="shared" si="23"/>
        <v>927.01236000273809</v>
      </c>
      <c r="E192" s="63">
        <f t="shared" si="24"/>
        <v>176.97110829735661</v>
      </c>
      <c r="F192" s="42">
        <f t="shared" si="20"/>
        <v>750.04125170538146</v>
      </c>
      <c r="G192" s="63">
        <f t="shared" si="21"/>
        <v>27565.336075871677</v>
      </c>
      <c r="H192" s="34"/>
      <c r="I192" s="34"/>
      <c r="J192" s="35"/>
    </row>
    <row r="193" spans="1:10" x14ac:dyDescent="0.25">
      <c r="A193" s="33"/>
      <c r="B193" s="41">
        <v>148</v>
      </c>
      <c r="C193" s="63">
        <f t="shared" si="22"/>
        <v>27565.336075871677</v>
      </c>
      <c r="D193" s="42">
        <f t="shared" si="23"/>
        <v>927.01236000273809</v>
      </c>
      <c r="E193" s="63">
        <f t="shared" si="24"/>
        <v>172.28335047419796</v>
      </c>
      <c r="F193" s="42">
        <f t="shared" si="20"/>
        <v>754.72900952854013</v>
      </c>
      <c r="G193" s="63">
        <f t="shared" si="21"/>
        <v>26810.607066343138</v>
      </c>
      <c r="H193" s="34"/>
      <c r="I193" s="34"/>
      <c r="J193" s="35"/>
    </row>
    <row r="194" spans="1:10" x14ac:dyDescent="0.25">
      <c r="A194" s="33"/>
      <c r="B194" s="41">
        <v>149</v>
      </c>
      <c r="C194" s="63">
        <f t="shared" si="22"/>
        <v>26810.607066343138</v>
      </c>
      <c r="D194" s="42">
        <f t="shared" si="23"/>
        <v>927.01236000273809</v>
      </c>
      <c r="E194" s="63">
        <f t="shared" si="24"/>
        <v>167.5662941646446</v>
      </c>
      <c r="F194" s="42">
        <f t="shared" si="20"/>
        <v>759.44606583809355</v>
      </c>
      <c r="G194" s="63">
        <f t="shared" si="21"/>
        <v>26051.161000505046</v>
      </c>
      <c r="H194" s="34"/>
      <c r="I194" s="34"/>
      <c r="J194" s="35"/>
    </row>
    <row r="195" spans="1:10" x14ac:dyDescent="0.25">
      <c r="A195" s="33"/>
      <c r="B195" s="41">
        <v>150</v>
      </c>
      <c r="C195" s="63">
        <f t="shared" si="22"/>
        <v>26051.161000505046</v>
      </c>
      <c r="D195" s="42">
        <f t="shared" si="23"/>
        <v>927.01236000273809</v>
      </c>
      <c r="E195" s="63">
        <f t="shared" si="24"/>
        <v>162.81975625315653</v>
      </c>
      <c r="F195" s="42">
        <f t="shared" si="20"/>
        <v>764.19260374958162</v>
      </c>
      <c r="G195" s="63">
        <f t="shared" si="21"/>
        <v>25286.968396755463</v>
      </c>
      <c r="H195" s="34"/>
      <c r="I195" s="34"/>
      <c r="J195" s="35"/>
    </row>
    <row r="196" spans="1:10" x14ac:dyDescent="0.25">
      <c r="A196" s="33"/>
      <c r="B196" s="41">
        <v>151</v>
      </c>
      <c r="C196" s="63">
        <f t="shared" si="22"/>
        <v>25286.968396755463</v>
      </c>
      <c r="D196" s="42">
        <f t="shared" si="23"/>
        <v>927.01236000273809</v>
      </c>
      <c r="E196" s="63">
        <f t="shared" si="24"/>
        <v>158.04355247972163</v>
      </c>
      <c r="F196" s="42">
        <f t="shared" si="20"/>
        <v>768.96880752301649</v>
      </c>
      <c r="G196" s="63">
        <f t="shared" si="21"/>
        <v>24517.999589232448</v>
      </c>
      <c r="H196" s="34"/>
      <c r="I196" s="34"/>
      <c r="J196" s="35"/>
    </row>
    <row r="197" spans="1:10" x14ac:dyDescent="0.25">
      <c r="A197" s="33"/>
      <c r="B197" s="41">
        <v>152</v>
      </c>
      <c r="C197" s="63">
        <f t="shared" si="22"/>
        <v>24517.999589232448</v>
      </c>
      <c r="D197" s="42">
        <f t="shared" si="23"/>
        <v>927.01236000273809</v>
      </c>
      <c r="E197" s="63">
        <f t="shared" si="24"/>
        <v>153.23749743270278</v>
      </c>
      <c r="F197" s="42">
        <f t="shared" si="20"/>
        <v>773.77486257003534</v>
      </c>
      <c r="G197" s="63">
        <f t="shared" si="21"/>
        <v>23744.224726662411</v>
      </c>
      <c r="H197" s="34"/>
      <c r="I197" s="34"/>
      <c r="J197" s="35"/>
    </row>
    <row r="198" spans="1:10" x14ac:dyDescent="0.25">
      <c r="A198" s="33"/>
      <c r="B198" s="41">
        <v>153</v>
      </c>
      <c r="C198" s="63">
        <f t="shared" si="22"/>
        <v>23744.224726662411</v>
      </c>
      <c r="D198" s="42">
        <f t="shared" si="23"/>
        <v>927.01236000273809</v>
      </c>
      <c r="E198" s="63">
        <f t="shared" si="24"/>
        <v>148.40140454164006</v>
      </c>
      <c r="F198" s="42">
        <f t="shared" si="20"/>
        <v>778.610955461098</v>
      </c>
      <c r="G198" s="63">
        <f t="shared" si="21"/>
        <v>22965.613771201311</v>
      </c>
      <c r="H198" s="34"/>
      <c r="I198" s="34"/>
      <c r="J198" s="35"/>
    </row>
    <row r="199" spans="1:10" x14ac:dyDescent="0.25">
      <c r="A199" s="33"/>
      <c r="B199" s="41">
        <v>154</v>
      </c>
      <c r="C199" s="63">
        <f t="shared" si="22"/>
        <v>22965.613771201311</v>
      </c>
      <c r="D199" s="42">
        <f t="shared" si="23"/>
        <v>927.01236000273809</v>
      </c>
      <c r="E199" s="63">
        <f t="shared" si="24"/>
        <v>143.53508607000819</v>
      </c>
      <c r="F199" s="42">
        <f t="shared" si="20"/>
        <v>783.47727393272987</v>
      </c>
      <c r="G199" s="63">
        <f t="shared" si="21"/>
        <v>22182.136497268581</v>
      </c>
      <c r="H199" s="34"/>
      <c r="I199" s="34"/>
      <c r="J199" s="35"/>
    </row>
    <row r="200" spans="1:10" x14ac:dyDescent="0.25">
      <c r="A200" s="33"/>
      <c r="B200" s="41">
        <v>155</v>
      </c>
      <c r="C200" s="63">
        <f t="shared" si="22"/>
        <v>22182.136497268581</v>
      </c>
      <c r="D200" s="42">
        <f t="shared" si="23"/>
        <v>927.01236000273809</v>
      </c>
      <c r="E200" s="63">
        <f t="shared" si="24"/>
        <v>138.63835310792862</v>
      </c>
      <c r="F200" s="42">
        <f t="shared" si="20"/>
        <v>788.37400689480944</v>
      </c>
      <c r="G200" s="63">
        <f t="shared" si="21"/>
        <v>21393.762490373771</v>
      </c>
      <c r="H200" s="34"/>
      <c r="I200" s="34"/>
      <c r="J200" s="35"/>
    </row>
    <row r="201" spans="1:10" x14ac:dyDescent="0.25">
      <c r="A201" s="33"/>
      <c r="B201" s="41">
        <v>156</v>
      </c>
      <c r="C201" s="63">
        <f t="shared" si="22"/>
        <v>21393.762490373771</v>
      </c>
      <c r="D201" s="42">
        <f t="shared" si="23"/>
        <v>927.01236000273809</v>
      </c>
      <c r="E201" s="63">
        <f t="shared" si="24"/>
        <v>133.71101556483606</v>
      </c>
      <c r="F201" s="42">
        <f t="shared" si="20"/>
        <v>793.301344437902</v>
      </c>
      <c r="G201" s="63">
        <f t="shared" si="21"/>
        <v>20600.461145935868</v>
      </c>
      <c r="H201" s="34"/>
      <c r="I201" s="34"/>
      <c r="J201" s="35"/>
    </row>
    <row r="202" spans="1:10" x14ac:dyDescent="0.25">
      <c r="A202" s="33"/>
      <c r="B202" s="41">
        <v>157</v>
      </c>
      <c r="C202" s="63">
        <f t="shared" si="22"/>
        <v>20600.461145935868</v>
      </c>
      <c r="D202" s="42">
        <f t="shared" si="23"/>
        <v>927.01236000273809</v>
      </c>
      <c r="E202" s="63">
        <f t="shared" si="24"/>
        <v>128.75288216209916</v>
      </c>
      <c r="F202" s="42">
        <f t="shared" si="20"/>
        <v>798.25947784063897</v>
      </c>
      <c r="G202" s="63">
        <f t="shared" si="21"/>
        <v>19802.201668095229</v>
      </c>
      <c r="H202" s="34"/>
      <c r="I202" s="34"/>
      <c r="J202" s="35"/>
    </row>
    <row r="203" spans="1:10" x14ac:dyDescent="0.25">
      <c r="A203" s="33"/>
      <c r="B203" s="41">
        <v>158</v>
      </c>
      <c r="C203" s="63">
        <f t="shared" si="22"/>
        <v>19802.201668095229</v>
      </c>
      <c r="D203" s="42">
        <f t="shared" si="23"/>
        <v>927.01236000273809</v>
      </c>
      <c r="E203" s="63">
        <f t="shared" si="24"/>
        <v>123.76376042559517</v>
      </c>
      <c r="F203" s="42">
        <f t="shared" si="20"/>
        <v>803.24859957714295</v>
      </c>
      <c r="G203" s="63">
        <f t="shared" si="21"/>
        <v>18998.953068518087</v>
      </c>
      <c r="H203" s="34"/>
      <c r="I203" s="34"/>
      <c r="J203" s="35"/>
    </row>
    <row r="204" spans="1:10" x14ac:dyDescent="0.25">
      <c r="A204" s="33"/>
      <c r="B204" s="41">
        <v>159</v>
      </c>
      <c r="C204" s="63">
        <f t="shared" si="22"/>
        <v>18998.953068518087</v>
      </c>
      <c r="D204" s="42">
        <f t="shared" si="23"/>
        <v>927.01236000273809</v>
      </c>
      <c r="E204" s="63">
        <f t="shared" si="24"/>
        <v>118.74345667823803</v>
      </c>
      <c r="F204" s="42">
        <f t="shared" si="20"/>
        <v>808.26890332450012</v>
      </c>
      <c r="G204" s="63">
        <f t="shared" si="21"/>
        <v>18190.684165193587</v>
      </c>
      <c r="H204" s="34"/>
      <c r="I204" s="34"/>
      <c r="J204" s="35"/>
    </row>
    <row r="205" spans="1:10" x14ac:dyDescent="0.25">
      <c r="A205" s="33"/>
      <c r="B205" s="41">
        <v>160</v>
      </c>
      <c r="C205" s="63">
        <f t="shared" si="22"/>
        <v>18190.684165193587</v>
      </c>
      <c r="D205" s="42">
        <f t="shared" si="23"/>
        <v>927.01236000273809</v>
      </c>
      <c r="E205" s="63">
        <f t="shared" si="24"/>
        <v>113.69177603245991</v>
      </c>
      <c r="F205" s="42">
        <f t="shared" si="20"/>
        <v>813.32058397027822</v>
      </c>
      <c r="G205" s="63">
        <f t="shared" si="21"/>
        <v>17377.363581223308</v>
      </c>
      <c r="H205" s="34"/>
      <c r="I205" s="34"/>
      <c r="J205" s="35"/>
    </row>
    <row r="206" spans="1:10" x14ac:dyDescent="0.25">
      <c r="A206" s="33"/>
      <c r="B206" s="41">
        <v>161</v>
      </c>
      <c r="C206" s="63">
        <f t="shared" si="22"/>
        <v>17377.363581223308</v>
      </c>
      <c r="D206" s="42">
        <f t="shared" si="23"/>
        <v>927.01236000273809</v>
      </c>
      <c r="E206" s="63">
        <f t="shared" si="24"/>
        <v>108.60852238264566</v>
      </c>
      <c r="F206" s="42">
        <f t="shared" ref="F206:F225" si="25">D206-E206</f>
        <v>818.40383762009242</v>
      </c>
      <c r="G206" s="63">
        <f t="shared" ref="G206:G225" si="26">C206-F206</f>
        <v>16558.959743603216</v>
      </c>
      <c r="H206" s="34"/>
      <c r="I206" s="34"/>
      <c r="J206" s="35"/>
    </row>
    <row r="207" spans="1:10" x14ac:dyDescent="0.25">
      <c r="A207" s="33"/>
      <c r="B207" s="41">
        <v>162</v>
      </c>
      <c r="C207" s="63">
        <f t="shared" ref="C207:C225" si="27">G206</f>
        <v>16558.959743603216</v>
      </c>
      <c r="D207" s="42">
        <f t="shared" ref="D207:D225" si="28">D206</f>
        <v>927.01236000273809</v>
      </c>
      <c r="E207" s="63">
        <f t="shared" ref="E207:E225" si="29">C207*$D$40</f>
        <v>103.4934983975201</v>
      </c>
      <c r="F207" s="42">
        <f t="shared" si="25"/>
        <v>823.51886160521804</v>
      </c>
      <c r="G207" s="63">
        <f t="shared" si="26"/>
        <v>15735.440881997998</v>
      </c>
      <c r="H207" s="34"/>
      <c r="I207" s="34"/>
      <c r="J207" s="35"/>
    </row>
    <row r="208" spans="1:10" x14ac:dyDescent="0.25">
      <c r="A208" s="33"/>
      <c r="B208" s="41">
        <v>163</v>
      </c>
      <c r="C208" s="63">
        <f t="shared" si="27"/>
        <v>15735.440881997998</v>
      </c>
      <c r="D208" s="42">
        <f t="shared" si="28"/>
        <v>927.01236000273809</v>
      </c>
      <c r="E208" s="63">
        <f t="shared" si="29"/>
        <v>98.346505512487482</v>
      </c>
      <c r="F208" s="42">
        <f t="shared" si="25"/>
        <v>828.66585449025058</v>
      </c>
      <c r="G208" s="63">
        <f t="shared" si="26"/>
        <v>14906.775027507747</v>
      </c>
      <c r="H208" s="34"/>
      <c r="I208" s="34"/>
      <c r="J208" s="35"/>
    </row>
    <row r="209" spans="1:10" x14ac:dyDescent="0.25">
      <c r="A209" s="33"/>
      <c r="B209" s="41">
        <v>164</v>
      </c>
      <c r="C209" s="63">
        <f t="shared" si="27"/>
        <v>14906.775027507747</v>
      </c>
      <c r="D209" s="42">
        <f t="shared" si="28"/>
        <v>927.01236000273809</v>
      </c>
      <c r="E209" s="63">
        <f t="shared" si="29"/>
        <v>93.167343921923404</v>
      </c>
      <c r="F209" s="42">
        <f t="shared" si="25"/>
        <v>833.84501608081473</v>
      </c>
      <c r="G209" s="63">
        <f t="shared" si="26"/>
        <v>14072.930011426932</v>
      </c>
      <c r="H209" s="34"/>
      <c r="I209" s="34"/>
      <c r="J209" s="35"/>
    </row>
    <row r="210" spans="1:10" x14ac:dyDescent="0.25">
      <c r="A210" s="33"/>
      <c r="B210" s="41">
        <v>165</v>
      </c>
      <c r="C210" s="63">
        <f t="shared" si="27"/>
        <v>14072.930011426932</v>
      </c>
      <c r="D210" s="42">
        <f t="shared" si="28"/>
        <v>927.01236000273809</v>
      </c>
      <c r="E210" s="63">
        <f t="shared" si="29"/>
        <v>87.955812571418321</v>
      </c>
      <c r="F210" s="42">
        <f t="shared" si="25"/>
        <v>839.05654743131981</v>
      </c>
      <c r="G210" s="63">
        <f t="shared" si="26"/>
        <v>13233.873463995613</v>
      </c>
      <c r="H210" s="34"/>
      <c r="I210" s="34"/>
      <c r="J210" s="35"/>
    </row>
    <row r="211" spans="1:10" x14ac:dyDescent="0.25">
      <c r="A211" s="33"/>
      <c r="B211" s="41">
        <v>166</v>
      </c>
      <c r="C211" s="63">
        <f t="shared" si="27"/>
        <v>13233.873463995613</v>
      </c>
      <c r="D211" s="42">
        <f t="shared" si="28"/>
        <v>927.01236000273809</v>
      </c>
      <c r="E211" s="63">
        <f t="shared" si="29"/>
        <v>82.711709149972577</v>
      </c>
      <c r="F211" s="42">
        <f t="shared" si="25"/>
        <v>844.30065085276556</v>
      </c>
      <c r="G211" s="63">
        <f t="shared" si="26"/>
        <v>12389.572813142848</v>
      </c>
      <c r="H211" s="34"/>
      <c r="I211" s="34"/>
      <c r="J211" s="35"/>
    </row>
    <row r="212" spans="1:10" x14ac:dyDescent="0.25">
      <c r="A212" s="33"/>
      <c r="B212" s="41">
        <v>167</v>
      </c>
      <c r="C212" s="63">
        <f t="shared" si="27"/>
        <v>12389.572813142848</v>
      </c>
      <c r="D212" s="42">
        <f t="shared" si="28"/>
        <v>927.01236000273809</v>
      </c>
      <c r="E212" s="63">
        <f t="shared" si="29"/>
        <v>77.434830082142796</v>
      </c>
      <c r="F212" s="42">
        <f t="shared" si="25"/>
        <v>849.57752992059534</v>
      </c>
      <c r="G212" s="63">
        <f t="shared" si="26"/>
        <v>11539.995283222252</v>
      </c>
      <c r="H212" s="34"/>
      <c r="I212" s="34"/>
      <c r="J212" s="35"/>
    </row>
    <row r="213" spans="1:10" x14ac:dyDescent="0.25">
      <c r="A213" s="33"/>
      <c r="B213" s="41">
        <v>168</v>
      </c>
      <c r="C213" s="63">
        <f t="shared" si="27"/>
        <v>11539.995283222252</v>
      </c>
      <c r="D213" s="42">
        <f t="shared" si="28"/>
        <v>927.01236000273809</v>
      </c>
      <c r="E213" s="63">
        <f t="shared" si="29"/>
        <v>72.124970520139073</v>
      </c>
      <c r="F213" s="42">
        <f t="shared" si="25"/>
        <v>854.88738948259902</v>
      </c>
      <c r="G213" s="63">
        <f t="shared" si="26"/>
        <v>10685.107893739652</v>
      </c>
      <c r="H213" s="34"/>
      <c r="I213" s="34"/>
      <c r="J213" s="35"/>
    </row>
    <row r="214" spans="1:10" x14ac:dyDescent="0.25">
      <c r="A214" s="33"/>
      <c r="B214" s="41">
        <v>169</v>
      </c>
      <c r="C214" s="63">
        <f t="shared" si="27"/>
        <v>10685.107893739652</v>
      </c>
      <c r="D214" s="42">
        <f t="shared" si="28"/>
        <v>927.01236000273809</v>
      </c>
      <c r="E214" s="63">
        <f t="shared" si="29"/>
        <v>66.781924335872816</v>
      </c>
      <c r="F214" s="42">
        <f t="shared" si="25"/>
        <v>860.23043566686533</v>
      </c>
      <c r="G214" s="63">
        <f t="shared" si="26"/>
        <v>9824.8774580727877</v>
      </c>
      <c r="H214" s="34"/>
      <c r="I214" s="34"/>
      <c r="J214" s="35"/>
    </row>
    <row r="215" spans="1:10" x14ac:dyDescent="0.25">
      <c r="A215" s="33"/>
      <c r="B215" s="41">
        <v>170</v>
      </c>
      <c r="C215" s="63">
        <f t="shared" si="27"/>
        <v>9824.8774580727877</v>
      </c>
      <c r="D215" s="42">
        <f t="shared" si="28"/>
        <v>927.01236000273809</v>
      </c>
      <c r="E215" s="63">
        <f t="shared" si="29"/>
        <v>61.405484112954916</v>
      </c>
      <c r="F215" s="42">
        <f t="shared" si="25"/>
        <v>865.60687588978317</v>
      </c>
      <c r="G215" s="63">
        <f t="shared" si="26"/>
        <v>8959.2705821830041</v>
      </c>
      <c r="H215" s="34"/>
      <c r="I215" s="34"/>
      <c r="J215" s="35"/>
    </row>
    <row r="216" spans="1:10" x14ac:dyDescent="0.25">
      <c r="A216" s="33"/>
      <c r="B216" s="41">
        <v>171</v>
      </c>
      <c r="C216" s="63">
        <f t="shared" si="27"/>
        <v>8959.2705821830041</v>
      </c>
      <c r="D216" s="42">
        <f t="shared" si="28"/>
        <v>927.01236000273809</v>
      </c>
      <c r="E216" s="63">
        <f t="shared" si="29"/>
        <v>55.99544113864377</v>
      </c>
      <c r="F216" s="42">
        <f t="shared" si="25"/>
        <v>871.01691886409435</v>
      </c>
      <c r="G216" s="63">
        <f t="shared" si="26"/>
        <v>8088.2536633189102</v>
      </c>
      <c r="H216" s="34"/>
      <c r="I216" s="34"/>
      <c r="J216" s="35"/>
    </row>
    <row r="217" spans="1:10" x14ac:dyDescent="0.25">
      <c r="A217" s="33"/>
      <c r="B217" s="41">
        <v>172</v>
      </c>
      <c r="C217" s="63">
        <f t="shared" si="27"/>
        <v>8088.2536633189102</v>
      </c>
      <c r="D217" s="42">
        <f t="shared" si="28"/>
        <v>927.01236000273809</v>
      </c>
      <c r="E217" s="63">
        <f t="shared" si="29"/>
        <v>50.551585395743182</v>
      </c>
      <c r="F217" s="42">
        <f t="shared" si="25"/>
        <v>876.46077460699496</v>
      </c>
      <c r="G217" s="63">
        <f t="shared" si="26"/>
        <v>7211.7928887119151</v>
      </c>
      <c r="H217" s="34"/>
      <c r="I217" s="34"/>
      <c r="J217" s="35"/>
    </row>
    <row r="218" spans="1:10" x14ac:dyDescent="0.25">
      <c r="A218" s="33"/>
      <c r="B218" s="41">
        <v>173</v>
      </c>
      <c r="C218" s="63">
        <f t="shared" si="27"/>
        <v>7211.7928887119151</v>
      </c>
      <c r="D218" s="42">
        <f t="shared" si="28"/>
        <v>927.01236000273809</v>
      </c>
      <c r="E218" s="63">
        <f t="shared" si="29"/>
        <v>45.073705554449468</v>
      </c>
      <c r="F218" s="42">
        <f t="shared" si="25"/>
        <v>881.93865444828862</v>
      </c>
      <c r="G218" s="63">
        <f t="shared" si="26"/>
        <v>6329.8542342636265</v>
      </c>
      <c r="H218" s="34"/>
      <c r="I218" s="34"/>
      <c r="J218" s="35"/>
    </row>
    <row r="219" spans="1:10" x14ac:dyDescent="0.25">
      <c r="A219" s="33"/>
      <c r="B219" s="41">
        <v>174</v>
      </c>
      <c r="C219" s="63">
        <f t="shared" si="27"/>
        <v>6329.8542342636265</v>
      </c>
      <c r="D219" s="42">
        <f t="shared" si="28"/>
        <v>927.01236000273809</v>
      </c>
      <c r="E219" s="63">
        <f t="shared" si="29"/>
        <v>39.56158896414766</v>
      </c>
      <c r="F219" s="42">
        <f t="shared" si="25"/>
        <v>887.45077103859046</v>
      </c>
      <c r="G219" s="63">
        <f t="shared" si="26"/>
        <v>5442.4034632250359</v>
      </c>
      <c r="H219" s="34"/>
      <c r="I219" s="34"/>
      <c r="J219" s="35"/>
    </row>
    <row r="220" spans="1:10" x14ac:dyDescent="0.25">
      <c r="A220" s="33"/>
      <c r="B220" s="41">
        <v>175</v>
      </c>
      <c r="C220" s="63">
        <f t="shared" si="27"/>
        <v>5442.4034632250359</v>
      </c>
      <c r="D220" s="42">
        <f t="shared" si="28"/>
        <v>927.01236000273809</v>
      </c>
      <c r="E220" s="63">
        <f t="shared" si="29"/>
        <v>34.015021645156473</v>
      </c>
      <c r="F220" s="42">
        <f t="shared" si="25"/>
        <v>892.99733835758161</v>
      </c>
      <c r="G220" s="63">
        <f t="shared" si="26"/>
        <v>4549.4061248674543</v>
      </c>
      <c r="H220" s="34"/>
      <c r="I220" s="34"/>
      <c r="J220" s="35"/>
    </row>
    <row r="221" spans="1:10" x14ac:dyDescent="0.25">
      <c r="A221" s="33"/>
      <c r="B221" s="41">
        <v>176</v>
      </c>
      <c r="C221" s="63">
        <f t="shared" si="27"/>
        <v>4549.4061248674543</v>
      </c>
      <c r="D221" s="42">
        <f t="shared" si="28"/>
        <v>927.01236000273809</v>
      </c>
      <c r="E221" s="63">
        <f t="shared" si="29"/>
        <v>28.433788280421588</v>
      </c>
      <c r="F221" s="42">
        <f t="shared" si="25"/>
        <v>898.5785717223165</v>
      </c>
      <c r="G221" s="63">
        <f t="shared" si="26"/>
        <v>3650.8275531451377</v>
      </c>
      <c r="H221" s="34"/>
      <c r="I221" s="34"/>
      <c r="J221" s="35"/>
    </row>
    <row r="222" spans="1:10" x14ac:dyDescent="0.25">
      <c r="A222" s="33"/>
      <c r="B222" s="41">
        <v>177</v>
      </c>
      <c r="C222" s="63">
        <f t="shared" si="27"/>
        <v>3650.8275531451377</v>
      </c>
      <c r="D222" s="42">
        <f t="shared" si="28"/>
        <v>927.01236000273809</v>
      </c>
      <c r="E222" s="63">
        <f t="shared" si="29"/>
        <v>22.817672207157109</v>
      </c>
      <c r="F222" s="42">
        <f t="shared" si="25"/>
        <v>904.19468779558099</v>
      </c>
      <c r="G222" s="63">
        <f t="shared" si="26"/>
        <v>2746.6328653495566</v>
      </c>
      <c r="H222" s="34"/>
      <c r="I222" s="34"/>
      <c r="J222" s="35"/>
    </row>
    <row r="223" spans="1:10" x14ac:dyDescent="0.25">
      <c r="A223" s="33"/>
      <c r="B223" s="41">
        <v>178</v>
      </c>
      <c r="C223" s="63">
        <f t="shared" si="27"/>
        <v>2746.6328653495566</v>
      </c>
      <c r="D223" s="42">
        <f t="shared" si="28"/>
        <v>927.01236000273809</v>
      </c>
      <c r="E223" s="63">
        <f t="shared" si="29"/>
        <v>17.166455408434729</v>
      </c>
      <c r="F223" s="42">
        <f t="shared" si="25"/>
        <v>909.84590459430342</v>
      </c>
      <c r="G223" s="63">
        <f t="shared" si="26"/>
        <v>1836.7869607552532</v>
      </c>
      <c r="H223" s="34"/>
      <c r="I223" s="34"/>
      <c r="J223" s="35"/>
    </row>
    <row r="224" spans="1:10" x14ac:dyDescent="0.25">
      <c r="A224" s="33"/>
      <c r="B224" s="41">
        <v>179</v>
      </c>
      <c r="C224" s="63">
        <f t="shared" si="27"/>
        <v>1836.7869607552532</v>
      </c>
      <c r="D224" s="42">
        <f t="shared" si="28"/>
        <v>927.01236000273809</v>
      </c>
      <c r="E224" s="63">
        <f t="shared" si="29"/>
        <v>11.479918504720331</v>
      </c>
      <c r="F224" s="42">
        <f t="shared" si="25"/>
        <v>915.53244149801776</v>
      </c>
      <c r="G224" s="63">
        <f t="shared" si="26"/>
        <v>921.25451925723542</v>
      </c>
      <c r="H224" s="34"/>
      <c r="I224" s="34"/>
      <c r="J224" s="35"/>
    </row>
    <row r="225" spans="1:10" x14ac:dyDescent="0.25">
      <c r="A225" s="33"/>
      <c r="B225" s="41">
        <v>180</v>
      </c>
      <c r="C225" s="63">
        <f t="shared" si="27"/>
        <v>921.25451925723542</v>
      </c>
      <c r="D225" s="42">
        <f t="shared" si="28"/>
        <v>927.01236000273809</v>
      </c>
      <c r="E225" s="63">
        <f t="shared" si="29"/>
        <v>5.7578407453577212</v>
      </c>
      <c r="F225" s="42">
        <f t="shared" si="25"/>
        <v>921.25451925738037</v>
      </c>
      <c r="G225" s="63">
        <f t="shared" si="26"/>
        <v>-1.4495071809506044E-10</v>
      </c>
      <c r="H225" s="34"/>
      <c r="I225" s="34"/>
      <c r="J225" s="35"/>
    </row>
    <row r="226" spans="1:10" ht="15.75" thickBot="1" x14ac:dyDescent="0.3">
      <c r="A226" s="47"/>
      <c r="B226" s="48"/>
      <c r="C226" s="48"/>
      <c r="D226" s="48"/>
      <c r="E226" s="48"/>
      <c r="F226" s="48"/>
      <c r="G226" s="48"/>
      <c r="H226" s="48"/>
      <c r="I226" s="48"/>
      <c r="J226" s="49"/>
    </row>
    <row r="227" spans="1:10" ht="15.75" thickBot="1" x14ac:dyDescent="0.3"/>
    <row r="228" spans="1:10" x14ac:dyDescent="0.25">
      <c r="A228" s="27" t="s">
        <v>20</v>
      </c>
      <c r="B228" s="50" t="s">
        <v>77</v>
      </c>
      <c r="C228" s="51">
        <v>120000</v>
      </c>
      <c r="D228" s="30"/>
    </row>
    <row r="229" spans="1:10" x14ac:dyDescent="0.25">
      <c r="A229" s="33"/>
      <c r="B229" s="41" t="s">
        <v>73</v>
      </c>
      <c r="C229" s="52">
        <v>4762</v>
      </c>
      <c r="D229" s="35"/>
    </row>
    <row r="230" spans="1:10" x14ac:dyDescent="0.25">
      <c r="A230" s="33"/>
      <c r="B230" s="41" t="s">
        <v>17</v>
      </c>
      <c r="C230" s="41">
        <v>36</v>
      </c>
      <c r="D230" s="35"/>
    </row>
    <row r="231" spans="1:10" x14ac:dyDescent="0.25">
      <c r="A231" s="33"/>
      <c r="B231" s="41" t="s">
        <v>78</v>
      </c>
      <c r="C231" s="53">
        <f>RATE(C230,-C229,C228)</f>
        <v>2.0712745957276419E-2</v>
      </c>
      <c r="D231" s="35"/>
    </row>
    <row r="232" spans="1:10" x14ac:dyDescent="0.25">
      <c r="A232" s="33"/>
      <c r="B232" s="61" t="s">
        <v>29</v>
      </c>
      <c r="C232" s="54">
        <f>C231*12</f>
        <v>0.24855295148731704</v>
      </c>
      <c r="D232" s="35"/>
    </row>
    <row r="233" spans="1:10" x14ac:dyDescent="0.25">
      <c r="A233" s="33"/>
      <c r="B233" s="34"/>
      <c r="C233" s="34"/>
      <c r="D233" s="35"/>
    </row>
    <row r="234" spans="1:10" ht="15.75" thickBot="1" x14ac:dyDescent="0.3">
      <c r="A234" s="47"/>
      <c r="B234" s="48"/>
      <c r="C234" s="48"/>
      <c r="D234" s="49"/>
    </row>
    <row r="235" spans="1:10" ht="15.75" thickBot="1" x14ac:dyDescent="0.3"/>
    <row r="236" spans="1:10" x14ac:dyDescent="0.25">
      <c r="A236" s="27" t="s">
        <v>28</v>
      </c>
      <c r="B236" s="110" t="s">
        <v>79</v>
      </c>
      <c r="C236" s="110"/>
      <c r="D236" s="30"/>
    </row>
    <row r="237" spans="1:10" x14ac:dyDescent="0.25">
      <c r="A237" s="33"/>
      <c r="B237" s="41" t="s">
        <v>80</v>
      </c>
      <c r="C237" s="52">
        <v>50000000</v>
      </c>
      <c r="D237" s="35"/>
    </row>
    <row r="238" spans="1:10" x14ac:dyDescent="0.25">
      <c r="A238" s="33"/>
      <c r="B238" s="41" t="s">
        <v>81</v>
      </c>
      <c r="C238" s="41">
        <v>10</v>
      </c>
      <c r="D238" s="35"/>
    </row>
    <row r="239" spans="1:10" x14ac:dyDescent="0.25">
      <c r="A239" s="33"/>
      <c r="B239" s="41" t="s">
        <v>82</v>
      </c>
      <c r="C239" s="53">
        <v>7.4999999999999997E-2</v>
      </c>
      <c r="D239" s="35"/>
    </row>
    <row r="240" spans="1:10" x14ac:dyDescent="0.25">
      <c r="A240" s="33"/>
      <c r="B240" s="41" t="s">
        <v>83</v>
      </c>
      <c r="C240" s="52">
        <v>1000</v>
      </c>
      <c r="D240" s="35"/>
    </row>
    <row r="241" spans="1:10" x14ac:dyDescent="0.25">
      <c r="A241" s="33"/>
      <c r="B241" s="41" t="s">
        <v>84</v>
      </c>
      <c r="C241" s="66">
        <v>7.0000000000000007E-2</v>
      </c>
      <c r="D241" s="35"/>
    </row>
    <row r="242" spans="1:10" x14ac:dyDescent="0.25">
      <c r="A242" s="33"/>
      <c r="B242" s="41" t="s">
        <v>85</v>
      </c>
      <c r="C242" s="63">
        <f>C240*C239</f>
        <v>75</v>
      </c>
      <c r="D242" s="35"/>
    </row>
    <row r="243" spans="1:10" x14ac:dyDescent="0.25">
      <c r="A243" s="33"/>
      <c r="B243" s="61" t="s">
        <v>86</v>
      </c>
      <c r="C243" s="38">
        <f>PV(C241,C238,C242,C240)</f>
        <v>-1035.1179077046629</v>
      </c>
      <c r="D243" s="35"/>
    </row>
    <row r="244" spans="1:10" x14ac:dyDescent="0.25">
      <c r="A244" s="33"/>
      <c r="B244" s="41" t="s">
        <v>87</v>
      </c>
      <c r="C244" s="41">
        <f>C237/C240</f>
        <v>50000</v>
      </c>
      <c r="D244" s="35"/>
    </row>
    <row r="245" spans="1:10" x14ac:dyDescent="0.25">
      <c r="A245" s="33"/>
      <c r="B245" s="61" t="s">
        <v>88</v>
      </c>
      <c r="C245" s="38">
        <f>C244*-C243</f>
        <v>51755895.385233149</v>
      </c>
      <c r="D245" s="35"/>
    </row>
    <row r="246" spans="1:10" ht="15.75" thickBot="1" x14ac:dyDescent="0.3">
      <c r="A246" s="47"/>
      <c r="B246" s="48"/>
      <c r="C246" s="48"/>
      <c r="D246" s="49"/>
    </row>
    <row r="247" spans="1:10" ht="15.75" thickBot="1" x14ac:dyDescent="0.3"/>
    <row r="248" spans="1:10" x14ac:dyDescent="0.25">
      <c r="A248" s="27" t="s">
        <v>30</v>
      </c>
      <c r="B248" s="29" t="s">
        <v>89</v>
      </c>
      <c r="C248" s="57">
        <v>180000</v>
      </c>
      <c r="D248" s="29"/>
      <c r="E248" s="29"/>
      <c r="F248" s="29"/>
      <c r="G248" s="29"/>
      <c r="H248" s="29"/>
      <c r="I248" s="29"/>
      <c r="J248" s="30"/>
    </row>
    <row r="249" spans="1:10" x14ac:dyDescent="0.25">
      <c r="A249" s="33"/>
      <c r="B249" s="34" t="s">
        <v>90</v>
      </c>
      <c r="C249" s="34">
        <v>20</v>
      </c>
      <c r="D249" s="34"/>
      <c r="E249" s="34"/>
      <c r="F249" s="34"/>
      <c r="G249" s="34"/>
      <c r="H249" s="34"/>
      <c r="I249" s="34"/>
      <c r="J249" s="35"/>
    </row>
    <row r="250" spans="1:10" x14ac:dyDescent="0.25">
      <c r="A250" s="33"/>
      <c r="B250" s="34" t="s">
        <v>5</v>
      </c>
      <c r="C250" s="67">
        <v>0.08</v>
      </c>
      <c r="D250" s="34"/>
      <c r="E250" s="61" t="s">
        <v>91</v>
      </c>
      <c r="F250" s="62">
        <f>G269</f>
        <v>124093.13249700595</v>
      </c>
      <c r="G250" s="34"/>
      <c r="H250" s="34"/>
      <c r="I250" s="34"/>
      <c r="J250" s="35"/>
    </row>
    <row r="251" spans="1:10" x14ac:dyDescent="0.25">
      <c r="A251" s="33"/>
      <c r="B251" s="34" t="s">
        <v>66</v>
      </c>
      <c r="C251" s="60">
        <f>C250/12</f>
        <v>6.6666666666666671E-3</v>
      </c>
      <c r="D251" s="34"/>
      <c r="E251" s="61" t="s">
        <v>92</v>
      </c>
      <c r="F251" s="38">
        <f>PMT(D257,C253,F250)</f>
        <v>-17421.57231047246</v>
      </c>
      <c r="G251" s="61" t="s">
        <v>93</v>
      </c>
      <c r="H251" s="38">
        <f>PMT(C255,C253*12,F250)</f>
        <v>-1409.0524181931701</v>
      </c>
      <c r="I251" s="34"/>
      <c r="J251" s="35"/>
    </row>
    <row r="252" spans="1:10" x14ac:dyDescent="0.25">
      <c r="A252" s="33"/>
      <c r="B252" s="34" t="s">
        <v>94</v>
      </c>
      <c r="C252" s="34"/>
      <c r="D252" s="34"/>
      <c r="E252" s="61" t="s">
        <v>95</v>
      </c>
      <c r="F252" s="62">
        <f>I274-I284</f>
        <v>10229.382536618134</v>
      </c>
      <c r="G252" s="34"/>
      <c r="H252" s="34"/>
      <c r="I252" s="34"/>
      <c r="J252" s="35"/>
    </row>
    <row r="253" spans="1:10" x14ac:dyDescent="0.25">
      <c r="A253" s="33"/>
      <c r="B253" s="34" t="s">
        <v>90</v>
      </c>
      <c r="C253" s="34">
        <v>10</v>
      </c>
      <c r="D253" s="34"/>
      <c r="E253" s="34"/>
      <c r="F253" s="34"/>
      <c r="G253" s="34"/>
      <c r="H253" s="34"/>
      <c r="I253" s="34"/>
      <c r="J253" s="35"/>
    </row>
    <row r="254" spans="1:10" x14ac:dyDescent="0.25">
      <c r="A254" s="33"/>
      <c r="B254" s="34" t="s">
        <v>5</v>
      </c>
      <c r="C254" s="59">
        <v>6.5000000000000002E-2</v>
      </c>
      <c r="D254" s="34"/>
      <c r="E254" s="34"/>
      <c r="F254" s="34"/>
      <c r="G254" s="34"/>
      <c r="H254" s="34"/>
      <c r="I254" s="34"/>
      <c r="J254" s="35"/>
    </row>
    <row r="255" spans="1:10" x14ac:dyDescent="0.25">
      <c r="A255" s="33"/>
      <c r="B255" s="34" t="s">
        <v>66</v>
      </c>
      <c r="C255" s="60">
        <f>C254/12</f>
        <v>5.4166666666666669E-3</v>
      </c>
      <c r="D255" s="68"/>
      <c r="E255" s="68"/>
      <c r="F255" s="34"/>
      <c r="G255" s="34"/>
      <c r="H255" s="34"/>
      <c r="I255" s="34"/>
      <c r="J255" s="35"/>
    </row>
    <row r="256" spans="1:10" x14ac:dyDescent="0.25">
      <c r="A256" s="33"/>
      <c r="B256" s="34" t="s">
        <v>96</v>
      </c>
      <c r="C256" s="58">
        <v>3000</v>
      </c>
      <c r="D256" s="34"/>
      <c r="E256" s="34"/>
      <c r="F256" s="34"/>
      <c r="G256" s="34"/>
      <c r="H256" s="34"/>
      <c r="I256" s="34"/>
      <c r="J256" s="35"/>
    </row>
    <row r="257" spans="1:10" x14ac:dyDescent="0.25">
      <c r="A257" s="33"/>
      <c r="B257" s="34" t="s">
        <v>33</v>
      </c>
      <c r="C257" s="60">
        <f>EFFECT(C250,12)</f>
        <v>8.2999506807510004E-2</v>
      </c>
      <c r="D257" s="60">
        <f>EFFECT(C254,12)</f>
        <v>6.6971852002543075E-2</v>
      </c>
      <c r="E257" s="34"/>
      <c r="F257" s="34"/>
      <c r="G257" s="34"/>
      <c r="H257" s="34"/>
      <c r="I257" s="34"/>
      <c r="J257" s="35"/>
    </row>
    <row r="258" spans="1:10" x14ac:dyDescent="0.25">
      <c r="A258" s="33"/>
      <c r="B258" s="34"/>
      <c r="C258" s="34"/>
      <c r="D258" s="34"/>
      <c r="E258" s="34"/>
      <c r="F258" s="34"/>
      <c r="G258" s="34"/>
      <c r="H258" s="34"/>
      <c r="I258" s="34"/>
      <c r="J258" s="35"/>
    </row>
    <row r="259" spans="1:10" x14ac:dyDescent="0.25">
      <c r="A259" s="33" t="s">
        <v>97</v>
      </c>
      <c r="B259" s="40" t="s">
        <v>57</v>
      </c>
      <c r="C259" s="40" t="s">
        <v>58</v>
      </c>
      <c r="D259" s="40" t="s">
        <v>59</v>
      </c>
      <c r="E259" s="40" t="s">
        <v>60</v>
      </c>
      <c r="F259" s="40" t="s">
        <v>61</v>
      </c>
      <c r="G259" s="40" t="s">
        <v>62</v>
      </c>
      <c r="H259" s="34"/>
      <c r="I259" s="34"/>
      <c r="J259" s="35"/>
    </row>
    <row r="260" spans="1:10" x14ac:dyDescent="0.25">
      <c r="A260" s="33"/>
      <c r="B260" s="41">
        <v>1</v>
      </c>
      <c r="C260" s="63">
        <f>C248</f>
        <v>180000</v>
      </c>
      <c r="D260" s="42">
        <f>-PMT(C257,C249,C248)</f>
        <v>18744.510564134271</v>
      </c>
      <c r="E260" s="63">
        <f>C260*C257</f>
        <v>14939.911225351801</v>
      </c>
      <c r="F260" s="42">
        <f t="shared" ref="F260:F279" si="30">D260-E260</f>
        <v>3804.5993387824692</v>
      </c>
      <c r="G260" s="63">
        <f t="shared" ref="G260:G279" si="31">C260-F260</f>
        <v>176195.40066121754</v>
      </c>
      <c r="H260" s="34"/>
      <c r="I260" s="34"/>
      <c r="J260" s="35"/>
    </row>
    <row r="261" spans="1:10" x14ac:dyDescent="0.25">
      <c r="A261" s="33"/>
      <c r="B261" s="41">
        <v>2</v>
      </c>
      <c r="C261" s="63">
        <f t="shared" ref="C261:C279" si="32">G260</f>
        <v>176195.40066121754</v>
      </c>
      <c r="D261" s="42">
        <f t="shared" ref="D261:D279" si="33">D260</f>
        <v>18744.510564134271</v>
      </c>
      <c r="E261" s="63">
        <f t="shared" ref="E261:E279" si="34">C261*$C$257</f>
        <v>14624.131356632679</v>
      </c>
      <c r="F261" s="42">
        <f t="shared" si="30"/>
        <v>4120.3792075015917</v>
      </c>
      <c r="G261" s="63">
        <f t="shared" si="31"/>
        <v>172075.02145371595</v>
      </c>
      <c r="H261" s="34"/>
      <c r="I261" s="34"/>
      <c r="J261" s="35"/>
    </row>
    <row r="262" spans="1:10" x14ac:dyDescent="0.25">
      <c r="A262" s="33"/>
      <c r="B262" s="41">
        <v>3</v>
      </c>
      <c r="C262" s="63">
        <f t="shared" si="32"/>
        <v>172075.02145371595</v>
      </c>
      <c r="D262" s="42">
        <f t="shared" si="33"/>
        <v>18744.510564134271</v>
      </c>
      <c r="E262" s="63">
        <f t="shared" si="34"/>
        <v>14282.141914550128</v>
      </c>
      <c r="F262" s="42">
        <f t="shared" si="30"/>
        <v>4462.368649584143</v>
      </c>
      <c r="G262" s="63">
        <f t="shared" si="31"/>
        <v>167612.65280413179</v>
      </c>
      <c r="H262" s="34"/>
      <c r="I262" s="69"/>
      <c r="J262" s="35"/>
    </row>
    <row r="263" spans="1:10" x14ac:dyDescent="0.25">
      <c r="A263" s="33"/>
      <c r="B263" s="41">
        <v>4</v>
      </c>
      <c r="C263" s="63">
        <f t="shared" si="32"/>
        <v>167612.65280413179</v>
      </c>
      <c r="D263" s="42">
        <f t="shared" si="33"/>
        <v>18744.510564134271</v>
      </c>
      <c r="E263" s="63">
        <f t="shared" si="34"/>
        <v>13911.767517441347</v>
      </c>
      <c r="F263" s="42">
        <f t="shared" si="30"/>
        <v>4832.7430466929236</v>
      </c>
      <c r="G263" s="63">
        <f t="shared" si="31"/>
        <v>162779.90975743887</v>
      </c>
      <c r="H263" s="34"/>
      <c r="I263" s="34"/>
      <c r="J263" s="35"/>
    </row>
    <row r="264" spans="1:10" x14ac:dyDescent="0.25">
      <c r="A264" s="33"/>
      <c r="B264" s="41">
        <v>5</v>
      </c>
      <c r="C264" s="63">
        <f t="shared" si="32"/>
        <v>162779.90975743887</v>
      </c>
      <c r="D264" s="42">
        <f t="shared" si="33"/>
        <v>18744.510564134271</v>
      </c>
      <c r="E264" s="63">
        <f t="shared" si="34"/>
        <v>13510.652228038412</v>
      </c>
      <c r="F264" s="42">
        <f t="shared" si="30"/>
        <v>5233.8583360958582</v>
      </c>
      <c r="G264" s="63">
        <f t="shared" si="31"/>
        <v>157546.051421343</v>
      </c>
      <c r="H264" s="34"/>
      <c r="I264" s="34"/>
      <c r="J264" s="35"/>
    </row>
    <row r="265" spans="1:10" x14ac:dyDescent="0.25">
      <c r="A265" s="33"/>
      <c r="B265" s="41">
        <v>6</v>
      </c>
      <c r="C265" s="63">
        <f t="shared" si="32"/>
        <v>157546.051421343</v>
      </c>
      <c r="D265" s="42">
        <f t="shared" si="33"/>
        <v>18744.510564134271</v>
      </c>
      <c r="E265" s="63">
        <f t="shared" si="34"/>
        <v>13076.24456744208</v>
      </c>
      <c r="F265" s="42">
        <f t="shared" si="30"/>
        <v>5668.265996692191</v>
      </c>
      <c r="G265" s="63">
        <f t="shared" si="31"/>
        <v>151877.78542465082</v>
      </c>
      <c r="H265" s="34"/>
      <c r="I265" s="34"/>
      <c r="J265" s="35"/>
    </row>
    <row r="266" spans="1:10" x14ac:dyDescent="0.25">
      <c r="A266" s="33"/>
      <c r="B266" s="41">
        <v>7</v>
      </c>
      <c r="C266" s="63">
        <f t="shared" si="32"/>
        <v>151877.78542465082</v>
      </c>
      <c r="D266" s="42">
        <f t="shared" si="33"/>
        <v>18744.510564134271</v>
      </c>
      <c r="E266" s="63">
        <f t="shared" si="34"/>
        <v>12605.78128526285</v>
      </c>
      <c r="F266" s="42">
        <f t="shared" si="30"/>
        <v>6138.7292788714203</v>
      </c>
      <c r="G266" s="63">
        <f t="shared" si="31"/>
        <v>145739.05614577941</v>
      </c>
      <c r="H266" s="34"/>
      <c r="I266" s="34"/>
      <c r="J266" s="35"/>
    </row>
    <row r="267" spans="1:10" x14ac:dyDescent="0.25">
      <c r="A267" s="33"/>
      <c r="B267" s="41">
        <v>8</v>
      </c>
      <c r="C267" s="63">
        <f t="shared" si="32"/>
        <v>145739.05614577941</v>
      </c>
      <c r="D267" s="42">
        <f t="shared" si="33"/>
        <v>18744.510564134271</v>
      </c>
      <c r="E267" s="63">
        <f t="shared" si="34"/>
        <v>12096.269782691701</v>
      </c>
      <c r="F267" s="42">
        <f t="shared" si="30"/>
        <v>6648.2407814425696</v>
      </c>
      <c r="G267" s="63">
        <f t="shared" si="31"/>
        <v>139090.81536433683</v>
      </c>
      <c r="H267" s="34"/>
      <c r="I267" s="34"/>
      <c r="J267" s="35"/>
    </row>
    <row r="268" spans="1:10" x14ac:dyDescent="0.25">
      <c r="A268" s="33"/>
      <c r="B268" s="41">
        <v>9</v>
      </c>
      <c r="C268" s="63">
        <f t="shared" si="32"/>
        <v>139090.81536433683</v>
      </c>
      <c r="D268" s="42">
        <f t="shared" si="33"/>
        <v>18744.510564134271</v>
      </c>
      <c r="E268" s="63">
        <f t="shared" si="34"/>
        <v>11544.469076694391</v>
      </c>
      <c r="F268" s="42">
        <f t="shared" si="30"/>
        <v>7200.0414874398793</v>
      </c>
      <c r="G268" s="63">
        <f t="shared" si="31"/>
        <v>131890.77387689694</v>
      </c>
      <c r="H268" s="34"/>
      <c r="I268" s="34"/>
      <c r="J268" s="35"/>
    </row>
    <row r="269" spans="1:10" x14ac:dyDescent="0.25">
      <c r="A269" s="33"/>
      <c r="B269" s="41">
        <v>10</v>
      </c>
      <c r="C269" s="63">
        <f t="shared" si="32"/>
        <v>131890.77387689694</v>
      </c>
      <c r="D269" s="42">
        <f t="shared" si="33"/>
        <v>18744.510564134271</v>
      </c>
      <c r="E269" s="63">
        <f t="shared" si="34"/>
        <v>10946.869184243271</v>
      </c>
      <c r="F269" s="42">
        <f t="shared" si="30"/>
        <v>7797.6413798909998</v>
      </c>
      <c r="G269" s="63">
        <f t="shared" si="31"/>
        <v>124093.13249700595</v>
      </c>
      <c r="H269" s="34"/>
      <c r="I269" s="34"/>
      <c r="J269" s="35"/>
    </row>
    <row r="270" spans="1:10" x14ac:dyDescent="0.25">
      <c r="A270" s="33"/>
      <c r="B270" s="41">
        <v>11</v>
      </c>
      <c r="C270" s="63">
        <f t="shared" si="32"/>
        <v>124093.13249700595</v>
      </c>
      <c r="D270" s="42">
        <f t="shared" si="33"/>
        <v>18744.510564134271</v>
      </c>
      <c r="E270" s="63">
        <f t="shared" si="34"/>
        <v>10299.668795450487</v>
      </c>
      <c r="F270" s="42">
        <f t="shared" si="30"/>
        <v>8444.8417686837838</v>
      </c>
      <c r="G270" s="63">
        <f t="shared" si="31"/>
        <v>115648.29072832217</v>
      </c>
      <c r="H270" s="34"/>
      <c r="I270" s="34"/>
      <c r="J270" s="35"/>
    </row>
    <row r="271" spans="1:10" x14ac:dyDescent="0.25">
      <c r="A271" s="33"/>
      <c r="B271" s="41">
        <v>12</v>
      </c>
      <c r="C271" s="63">
        <f t="shared" si="32"/>
        <v>115648.29072832217</v>
      </c>
      <c r="D271" s="42">
        <f t="shared" si="33"/>
        <v>18744.510564134271</v>
      </c>
      <c r="E271" s="63">
        <f t="shared" si="34"/>
        <v>9598.751093582272</v>
      </c>
      <c r="F271" s="42">
        <f t="shared" si="30"/>
        <v>9145.7594705519987</v>
      </c>
      <c r="G271" s="63">
        <f t="shared" si="31"/>
        <v>106502.53125777017</v>
      </c>
      <c r="H271" s="34"/>
      <c r="I271" s="34"/>
      <c r="J271" s="35"/>
    </row>
    <row r="272" spans="1:10" x14ac:dyDescent="0.25">
      <c r="A272" s="33"/>
      <c r="B272" s="41">
        <v>13</v>
      </c>
      <c r="C272" s="63">
        <f t="shared" si="32"/>
        <v>106502.53125777017</v>
      </c>
      <c r="D272" s="42">
        <f t="shared" si="33"/>
        <v>18744.510564134271</v>
      </c>
      <c r="E272" s="63">
        <f t="shared" si="34"/>
        <v>8839.6575681463419</v>
      </c>
      <c r="F272" s="42">
        <f t="shared" si="30"/>
        <v>9904.8529959879288</v>
      </c>
      <c r="G272" s="63">
        <f t="shared" si="31"/>
        <v>96597.678261782246</v>
      </c>
      <c r="H272" s="34"/>
      <c r="I272" s="34"/>
      <c r="J272" s="35"/>
    </row>
    <row r="273" spans="1:10" x14ac:dyDescent="0.25">
      <c r="A273" s="33"/>
      <c r="B273" s="41">
        <v>14</v>
      </c>
      <c r="C273" s="63">
        <f t="shared" si="32"/>
        <v>96597.678261782246</v>
      </c>
      <c r="D273" s="42">
        <f t="shared" si="33"/>
        <v>18744.510564134271</v>
      </c>
      <c r="E273" s="63">
        <f t="shared" si="34"/>
        <v>8017.5596544784567</v>
      </c>
      <c r="F273" s="42">
        <f t="shared" si="30"/>
        <v>10726.950909655814</v>
      </c>
      <c r="G273" s="63">
        <f t="shared" si="31"/>
        <v>85870.727352126429</v>
      </c>
      <c r="H273" s="34"/>
      <c r="I273" s="34"/>
      <c r="J273" s="35"/>
    </row>
    <row r="274" spans="1:10" x14ac:dyDescent="0.25">
      <c r="A274" s="33"/>
      <c r="B274" s="41">
        <v>15</v>
      </c>
      <c r="C274" s="63">
        <f t="shared" si="32"/>
        <v>85870.727352126429</v>
      </c>
      <c r="D274" s="42">
        <f t="shared" si="33"/>
        <v>18744.510564134271</v>
      </c>
      <c r="E274" s="63">
        <f t="shared" si="34"/>
        <v>7127.2280194286532</v>
      </c>
      <c r="F274" s="42">
        <f t="shared" si="30"/>
        <v>11617.282544705617</v>
      </c>
      <c r="G274" s="63">
        <f t="shared" si="31"/>
        <v>74253.444807420805</v>
      </c>
      <c r="H274" s="34"/>
      <c r="I274" s="69">
        <f>SUM(E270:E279)</f>
        <v>63351.973144336756</v>
      </c>
      <c r="J274" s="70">
        <f>I274+E269</f>
        <v>74298.842328580024</v>
      </c>
    </row>
    <row r="275" spans="1:10" x14ac:dyDescent="0.25">
      <c r="A275" s="33"/>
      <c r="B275" s="41">
        <v>16</v>
      </c>
      <c r="C275" s="63">
        <f t="shared" si="32"/>
        <v>74253.444807420805</v>
      </c>
      <c r="D275" s="42">
        <f t="shared" si="33"/>
        <v>18744.510564134271</v>
      </c>
      <c r="E275" s="63">
        <f t="shared" si="34"/>
        <v>6162.9992977745915</v>
      </c>
      <c r="F275" s="42">
        <f t="shared" si="30"/>
        <v>12581.511266359679</v>
      </c>
      <c r="G275" s="63">
        <f t="shared" si="31"/>
        <v>61671.933541061124</v>
      </c>
      <c r="H275" s="34"/>
      <c r="I275" s="34"/>
      <c r="J275" s="35"/>
    </row>
    <row r="276" spans="1:10" x14ac:dyDescent="0.25">
      <c r="A276" s="33"/>
      <c r="B276" s="41">
        <v>17</v>
      </c>
      <c r="C276" s="63">
        <f t="shared" si="32"/>
        <v>61671.933541061124</v>
      </c>
      <c r="D276" s="42">
        <f t="shared" si="33"/>
        <v>18744.510564134271</v>
      </c>
      <c r="E276" s="63">
        <f t="shared" si="34"/>
        <v>5118.7400677736077</v>
      </c>
      <c r="F276" s="42">
        <f t="shared" si="30"/>
        <v>13625.770496360663</v>
      </c>
      <c r="G276" s="63">
        <f t="shared" si="31"/>
        <v>48046.163044700457</v>
      </c>
      <c r="H276" s="34"/>
      <c r="I276" s="34"/>
      <c r="J276" s="35"/>
    </row>
    <row r="277" spans="1:10" x14ac:dyDescent="0.25">
      <c r="A277" s="33"/>
      <c r="B277" s="41">
        <v>18</v>
      </c>
      <c r="C277" s="63">
        <f t="shared" si="32"/>
        <v>48046.163044700457</v>
      </c>
      <c r="D277" s="42">
        <f t="shared" si="33"/>
        <v>18744.510564134271</v>
      </c>
      <c r="E277" s="63">
        <f t="shared" si="34"/>
        <v>3987.8078367033513</v>
      </c>
      <c r="F277" s="42">
        <f t="shared" si="30"/>
        <v>14756.702727430918</v>
      </c>
      <c r="G277" s="63">
        <f t="shared" si="31"/>
        <v>33289.460317269535</v>
      </c>
      <c r="H277" s="34"/>
      <c r="I277" s="34"/>
      <c r="J277" s="35"/>
    </row>
    <row r="278" spans="1:10" x14ac:dyDescent="0.25">
      <c r="A278" s="33"/>
      <c r="B278" s="41">
        <v>19</v>
      </c>
      <c r="C278" s="63">
        <f t="shared" si="32"/>
        <v>33289.460317269535</v>
      </c>
      <c r="D278" s="42">
        <f t="shared" si="33"/>
        <v>18744.510564134271</v>
      </c>
      <c r="E278" s="63">
        <f t="shared" si="34"/>
        <v>2763.0087882215471</v>
      </c>
      <c r="F278" s="42">
        <f t="shared" si="30"/>
        <v>15981.501775912724</v>
      </c>
      <c r="G278" s="63">
        <f t="shared" si="31"/>
        <v>17307.958541356813</v>
      </c>
      <c r="H278" s="34"/>
      <c r="I278" s="34"/>
      <c r="J278" s="35"/>
    </row>
    <row r="279" spans="1:10" x14ac:dyDescent="0.25">
      <c r="A279" s="33"/>
      <c r="B279" s="41">
        <v>20</v>
      </c>
      <c r="C279" s="63">
        <f t="shared" si="32"/>
        <v>17307.958541356813</v>
      </c>
      <c r="D279" s="42">
        <f t="shared" si="33"/>
        <v>18744.510564134271</v>
      </c>
      <c r="E279" s="63">
        <f t="shared" si="34"/>
        <v>1436.5520227774457</v>
      </c>
      <c r="F279" s="42">
        <f t="shared" si="30"/>
        <v>17307.958541356824</v>
      </c>
      <c r="G279" s="63">
        <f t="shared" si="31"/>
        <v>0</v>
      </c>
      <c r="H279" s="34"/>
      <c r="I279" s="34"/>
      <c r="J279" s="35"/>
    </row>
    <row r="280" spans="1:10" x14ac:dyDescent="0.25">
      <c r="A280" s="33"/>
      <c r="B280" s="34"/>
      <c r="C280" s="34"/>
      <c r="D280" s="34"/>
      <c r="E280" s="34"/>
      <c r="F280" s="34"/>
      <c r="G280" s="34"/>
      <c r="H280" s="34"/>
      <c r="I280" s="34"/>
      <c r="J280" s="35"/>
    </row>
    <row r="281" spans="1:10" x14ac:dyDescent="0.25">
      <c r="A281" s="33" t="s">
        <v>98</v>
      </c>
      <c r="B281" s="40" t="s">
        <v>57</v>
      </c>
      <c r="C281" s="40" t="s">
        <v>58</v>
      </c>
      <c r="D281" s="40" t="s">
        <v>59</v>
      </c>
      <c r="E281" s="40" t="s">
        <v>60</v>
      </c>
      <c r="F281" s="40" t="s">
        <v>61</v>
      </c>
      <c r="G281" s="40" t="s">
        <v>62</v>
      </c>
      <c r="H281" s="34"/>
      <c r="I281" s="34"/>
      <c r="J281" s="35"/>
    </row>
    <row r="282" spans="1:10" x14ac:dyDescent="0.25">
      <c r="A282" s="33"/>
      <c r="B282" s="41">
        <v>1</v>
      </c>
      <c r="C282" s="63">
        <f>G269</f>
        <v>124093.13249700595</v>
      </c>
      <c r="D282" s="42">
        <f>-F251</f>
        <v>17421.57231047246</v>
      </c>
      <c r="E282" s="63">
        <f>C282*D257</f>
        <v>8310.7469041214517</v>
      </c>
      <c r="F282" s="42">
        <f t="shared" ref="F282:F291" si="35">D282-E282</f>
        <v>9110.8254063510085</v>
      </c>
      <c r="G282" s="63">
        <f t="shared" ref="G282:G291" si="36">C282-F282</f>
        <v>114982.30709065494</v>
      </c>
      <c r="H282" s="34"/>
      <c r="I282" s="34"/>
      <c r="J282" s="35"/>
    </row>
    <row r="283" spans="1:10" x14ac:dyDescent="0.25">
      <c r="A283" s="33"/>
      <c r="B283" s="41">
        <v>2</v>
      </c>
      <c r="C283" s="63">
        <f t="shared" ref="C283:C291" si="37">G282</f>
        <v>114982.30709065494</v>
      </c>
      <c r="D283" s="42">
        <f t="shared" ref="D283:D291" si="38">D282</f>
        <v>17421.57231047246</v>
      </c>
      <c r="E283" s="63">
        <f t="shared" ref="E283:E291" si="39">C283*$D$257</f>
        <v>7700.5780533863017</v>
      </c>
      <c r="F283" s="42">
        <f t="shared" si="35"/>
        <v>9720.9942570861585</v>
      </c>
      <c r="G283" s="63">
        <f t="shared" si="36"/>
        <v>105261.31283356878</v>
      </c>
      <c r="H283" s="34"/>
      <c r="I283" s="69">
        <f>SUM(E282:E291)</f>
        <v>50122.590607718623</v>
      </c>
      <c r="J283" s="35"/>
    </row>
    <row r="284" spans="1:10" x14ac:dyDescent="0.25">
      <c r="A284" s="33"/>
      <c r="B284" s="41">
        <v>3</v>
      </c>
      <c r="C284" s="63">
        <f t="shared" si="37"/>
        <v>105261.31283356878</v>
      </c>
      <c r="D284" s="42">
        <f t="shared" si="38"/>
        <v>17421.57231047246</v>
      </c>
      <c r="E284" s="63">
        <f t="shared" si="39"/>
        <v>7049.5450646831559</v>
      </c>
      <c r="F284" s="42">
        <f t="shared" si="35"/>
        <v>10372.027245789304</v>
      </c>
      <c r="G284" s="63">
        <f t="shared" si="36"/>
        <v>94889.285587779479</v>
      </c>
      <c r="H284" s="34"/>
      <c r="I284" s="69">
        <f>I283+C256</f>
        <v>53122.590607718623</v>
      </c>
      <c r="J284" s="35"/>
    </row>
    <row r="285" spans="1:10" x14ac:dyDescent="0.25">
      <c r="A285" s="33"/>
      <c r="B285" s="41">
        <v>4</v>
      </c>
      <c r="C285" s="63">
        <f t="shared" si="37"/>
        <v>94889.285587779479</v>
      </c>
      <c r="D285" s="42">
        <f t="shared" si="38"/>
        <v>17421.57231047246</v>
      </c>
      <c r="E285" s="63">
        <f t="shared" si="39"/>
        <v>6354.9111910118108</v>
      </c>
      <c r="F285" s="42">
        <f t="shared" si="35"/>
        <v>11066.661119460648</v>
      </c>
      <c r="G285" s="63">
        <f t="shared" si="36"/>
        <v>83822.624468318827</v>
      </c>
      <c r="H285" s="34"/>
      <c r="I285" s="34"/>
      <c r="J285" s="35"/>
    </row>
    <row r="286" spans="1:10" x14ac:dyDescent="0.25">
      <c r="A286" s="33"/>
      <c r="B286" s="41">
        <v>5</v>
      </c>
      <c r="C286" s="63">
        <f t="shared" si="37"/>
        <v>83822.624468318827</v>
      </c>
      <c r="D286" s="42">
        <f t="shared" si="38"/>
        <v>17421.57231047246</v>
      </c>
      <c r="E286" s="63">
        <f t="shared" si="39"/>
        <v>5613.7564003569942</v>
      </c>
      <c r="F286" s="42">
        <f t="shared" si="35"/>
        <v>11807.815910115467</v>
      </c>
      <c r="G286" s="63">
        <f t="shared" si="36"/>
        <v>72014.808558203367</v>
      </c>
      <c r="H286" s="34"/>
      <c r="I286" s="34"/>
      <c r="J286" s="35"/>
    </row>
    <row r="287" spans="1:10" x14ac:dyDescent="0.25">
      <c r="A287" s="33"/>
      <c r="B287" s="41">
        <v>6</v>
      </c>
      <c r="C287" s="63">
        <f t="shared" si="37"/>
        <v>72014.808558203367</v>
      </c>
      <c r="D287" s="42">
        <f t="shared" si="38"/>
        <v>17421.57231047246</v>
      </c>
      <c r="E287" s="63">
        <f t="shared" si="39"/>
        <v>4822.9651007514685</v>
      </c>
      <c r="F287" s="42">
        <f t="shared" si="35"/>
        <v>12598.607209720991</v>
      </c>
      <c r="G287" s="63">
        <f t="shared" si="36"/>
        <v>59416.201348482376</v>
      </c>
      <c r="H287" s="34"/>
      <c r="I287" s="34"/>
      <c r="J287" s="35"/>
    </row>
    <row r="288" spans="1:10" x14ac:dyDescent="0.25">
      <c r="A288" s="33"/>
      <c r="B288" s="41">
        <v>7</v>
      </c>
      <c r="C288" s="63">
        <f t="shared" si="37"/>
        <v>59416.201348482376</v>
      </c>
      <c r="D288" s="42">
        <f t="shared" si="38"/>
        <v>17421.57231047246</v>
      </c>
      <c r="E288" s="63">
        <f t="shared" si="39"/>
        <v>3979.2130432638619</v>
      </c>
      <c r="F288" s="42">
        <f t="shared" si="35"/>
        <v>13442.359267208598</v>
      </c>
      <c r="G288" s="63">
        <f t="shared" si="36"/>
        <v>45973.842081273775</v>
      </c>
      <c r="H288" s="34"/>
      <c r="I288" s="34"/>
      <c r="J288" s="35"/>
    </row>
    <row r="289" spans="1:10" x14ac:dyDescent="0.25">
      <c r="A289" s="33"/>
      <c r="B289" s="41">
        <v>8</v>
      </c>
      <c r="C289" s="63">
        <f t="shared" si="37"/>
        <v>45973.842081273775</v>
      </c>
      <c r="D289" s="42">
        <f t="shared" si="38"/>
        <v>17421.57231047246</v>
      </c>
      <c r="E289" s="63">
        <f t="shared" si="39"/>
        <v>3078.953347855354</v>
      </c>
      <c r="F289" s="42">
        <f t="shared" si="35"/>
        <v>14342.618962617107</v>
      </c>
      <c r="G289" s="63">
        <f t="shared" si="36"/>
        <v>31631.223118656668</v>
      </c>
      <c r="H289" s="34"/>
      <c r="I289" s="34"/>
      <c r="J289" s="35"/>
    </row>
    <row r="290" spans="1:10" x14ac:dyDescent="0.25">
      <c r="A290" s="33"/>
      <c r="B290" s="41">
        <v>9</v>
      </c>
      <c r="C290" s="63">
        <f t="shared" si="37"/>
        <v>31631.223118656668</v>
      </c>
      <c r="D290" s="42">
        <f t="shared" si="38"/>
        <v>17421.57231047246</v>
      </c>
      <c r="E290" s="63">
        <f t="shared" si="39"/>
        <v>2118.4015933620935</v>
      </c>
      <c r="F290" s="42">
        <f t="shared" si="35"/>
        <v>15303.170717110366</v>
      </c>
      <c r="G290" s="63">
        <f t="shared" si="36"/>
        <v>16328.052401546302</v>
      </c>
      <c r="H290" s="34"/>
      <c r="I290" s="34"/>
      <c r="J290" s="35"/>
    </row>
    <row r="291" spans="1:10" x14ac:dyDescent="0.25">
      <c r="A291" s="33"/>
      <c r="B291" s="41">
        <v>10</v>
      </c>
      <c r="C291" s="63">
        <f t="shared" si="37"/>
        <v>16328.052401546302</v>
      </c>
      <c r="D291" s="42">
        <f t="shared" si="38"/>
        <v>17421.57231047246</v>
      </c>
      <c r="E291" s="63">
        <f t="shared" si="39"/>
        <v>1093.5199089261268</v>
      </c>
      <c r="F291" s="42">
        <f t="shared" si="35"/>
        <v>16328.052401546334</v>
      </c>
      <c r="G291" s="63">
        <f t="shared" si="36"/>
        <v>-3.2741809263825417E-11</v>
      </c>
      <c r="H291" s="34"/>
      <c r="I291" s="34"/>
      <c r="J291" s="35"/>
    </row>
    <row r="292" spans="1:10" x14ac:dyDescent="0.25">
      <c r="A292" s="33"/>
      <c r="B292" s="34"/>
      <c r="C292" s="34"/>
      <c r="D292" s="34"/>
      <c r="E292" s="34"/>
      <c r="F292" s="34"/>
      <c r="G292" s="34"/>
      <c r="H292" s="34"/>
      <c r="I292" s="34"/>
      <c r="J292" s="35"/>
    </row>
    <row r="293" spans="1:10" x14ac:dyDescent="0.25">
      <c r="A293" s="33"/>
      <c r="B293" s="34"/>
      <c r="C293" s="34"/>
      <c r="D293" s="34"/>
      <c r="E293" s="34"/>
      <c r="F293" s="34"/>
      <c r="G293" s="34"/>
      <c r="H293" s="34"/>
      <c r="I293" s="34"/>
      <c r="J293" s="35"/>
    </row>
    <row r="294" spans="1:10" x14ac:dyDescent="0.25">
      <c r="A294" s="33"/>
      <c r="B294" s="34"/>
      <c r="C294" s="34"/>
      <c r="D294" s="34"/>
      <c r="E294" s="34"/>
      <c r="F294" s="34"/>
      <c r="G294" s="34"/>
      <c r="H294" s="34"/>
      <c r="I294" s="34"/>
      <c r="J294" s="35"/>
    </row>
    <row r="295" spans="1:10" x14ac:dyDescent="0.25">
      <c r="A295" s="33"/>
      <c r="B295" s="34"/>
      <c r="C295" s="34"/>
      <c r="D295" s="34"/>
      <c r="E295" s="34"/>
      <c r="F295" s="34"/>
      <c r="G295" s="34"/>
      <c r="H295" s="34"/>
      <c r="I295" s="34"/>
      <c r="J295" s="35"/>
    </row>
    <row r="296" spans="1:10" x14ac:dyDescent="0.25">
      <c r="A296" s="33"/>
      <c r="B296" s="34"/>
      <c r="C296" s="34"/>
      <c r="D296" s="34"/>
      <c r="E296" s="34"/>
      <c r="F296" s="34"/>
      <c r="G296" s="34"/>
      <c r="H296" s="34"/>
      <c r="I296" s="34"/>
      <c r="J296" s="35"/>
    </row>
    <row r="297" spans="1:10" x14ac:dyDescent="0.25">
      <c r="A297" s="33"/>
      <c r="B297" s="34"/>
      <c r="C297" s="34"/>
      <c r="D297" s="34"/>
      <c r="E297" s="34"/>
      <c r="F297" s="34"/>
      <c r="G297" s="34"/>
      <c r="H297" s="34"/>
      <c r="I297" s="34"/>
      <c r="J297" s="35"/>
    </row>
    <row r="298" spans="1:10" x14ac:dyDescent="0.25">
      <c r="A298" s="33"/>
      <c r="B298" s="34"/>
      <c r="C298" s="34"/>
      <c r="D298" s="34"/>
      <c r="E298" s="34"/>
      <c r="F298" s="34"/>
      <c r="G298" s="34"/>
      <c r="H298" s="34"/>
      <c r="I298" s="34"/>
      <c r="J298" s="35"/>
    </row>
    <row r="299" spans="1:10" ht="15.75" thickBot="1" x14ac:dyDescent="0.3">
      <c r="A299" s="47"/>
      <c r="B299" s="48"/>
      <c r="C299" s="48"/>
      <c r="D299" s="48"/>
      <c r="E299" s="48"/>
      <c r="F299" s="48"/>
      <c r="G299" s="48"/>
      <c r="H299" s="48"/>
      <c r="I299" s="48"/>
      <c r="J299" s="49"/>
    </row>
    <row r="300" spans="1:10" ht="15.75" thickBot="1" x14ac:dyDescent="0.3"/>
    <row r="301" spans="1:10" x14ac:dyDescent="0.25">
      <c r="A301" s="27" t="s">
        <v>36</v>
      </c>
      <c r="B301" s="50" t="s">
        <v>4</v>
      </c>
      <c r="C301" s="51">
        <v>-150000</v>
      </c>
      <c r="D301" s="30"/>
    </row>
    <row r="302" spans="1:10" x14ac:dyDescent="0.25">
      <c r="A302" s="33"/>
      <c r="B302" s="41" t="s">
        <v>99</v>
      </c>
      <c r="C302" s="52">
        <v>315000</v>
      </c>
      <c r="D302" s="35"/>
    </row>
    <row r="303" spans="1:10" x14ac:dyDescent="0.25">
      <c r="A303" s="33"/>
      <c r="B303" s="41" t="s">
        <v>100</v>
      </c>
      <c r="C303" s="52">
        <v>50000</v>
      </c>
      <c r="D303" s="35"/>
    </row>
    <row r="304" spans="1:10" x14ac:dyDescent="0.25">
      <c r="A304" s="33"/>
      <c r="B304" s="41" t="s">
        <v>101</v>
      </c>
      <c r="C304" s="71">
        <v>0.11</v>
      </c>
      <c r="D304" s="35"/>
    </row>
    <row r="305" spans="1:6" x14ac:dyDescent="0.25">
      <c r="A305" s="33"/>
      <c r="B305" s="41" t="s">
        <v>6</v>
      </c>
      <c r="C305" s="52">
        <v>2</v>
      </c>
      <c r="D305" s="35"/>
    </row>
    <row r="306" spans="1:6" x14ac:dyDescent="0.25">
      <c r="A306" s="33"/>
      <c r="B306" s="61" t="s">
        <v>102</v>
      </c>
      <c r="C306" s="38">
        <f>PV(C304,C305,,-C302)</f>
        <v>255661.06647187725</v>
      </c>
      <c r="D306" s="35"/>
    </row>
    <row r="307" spans="1:6" x14ac:dyDescent="0.25">
      <c r="A307" s="33"/>
      <c r="B307" s="61" t="s">
        <v>103</v>
      </c>
      <c r="C307" s="38">
        <f>C306-C303+C301</f>
        <v>55661.066471877246</v>
      </c>
      <c r="D307" s="35"/>
    </row>
    <row r="308" spans="1:6" x14ac:dyDescent="0.25">
      <c r="A308" s="33"/>
      <c r="B308" s="34"/>
      <c r="C308" s="34"/>
      <c r="D308" s="35"/>
    </row>
    <row r="309" spans="1:6" x14ac:dyDescent="0.25">
      <c r="A309" s="33"/>
      <c r="B309" s="34"/>
      <c r="C309" s="34"/>
      <c r="D309" s="35"/>
    </row>
    <row r="310" spans="1:6" ht="15.75" thickBot="1" x14ac:dyDescent="0.3">
      <c r="A310" s="47"/>
      <c r="B310" s="48"/>
      <c r="C310" s="48"/>
      <c r="D310" s="49"/>
    </row>
    <row r="311" spans="1:6" ht="15.75" thickBot="1" x14ac:dyDescent="0.3"/>
    <row r="312" spans="1:6" x14ac:dyDescent="0.25">
      <c r="A312" s="27" t="s">
        <v>43</v>
      </c>
      <c r="B312" s="50" t="s">
        <v>104</v>
      </c>
      <c r="C312" s="51">
        <v>12000</v>
      </c>
      <c r="D312" s="72">
        <f>C312/C314</f>
        <v>200000</v>
      </c>
    </row>
    <row r="313" spans="1:6" x14ac:dyDescent="0.25">
      <c r="A313" s="33"/>
      <c r="B313" s="41" t="s">
        <v>105</v>
      </c>
      <c r="C313" s="52">
        <v>1000</v>
      </c>
      <c r="D313" s="70">
        <f>C313/C314</f>
        <v>16666.666666666668</v>
      </c>
    </row>
    <row r="314" spans="1:6" x14ac:dyDescent="0.25">
      <c r="A314" s="33"/>
      <c r="B314" s="41" t="s">
        <v>101</v>
      </c>
      <c r="C314" s="71">
        <v>0.06</v>
      </c>
      <c r="D314" s="70">
        <f>D313/C314</f>
        <v>277777.77777777781</v>
      </c>
    </row>
    <row r="315" spans="1:6" x14ac:dyDescent="0.25">
      <c r="A315" s="33"/>
      <c r="B315" s="41" t="s">
        <v>106</v>
      </c>
      <c r="C315" s="52">
        <f>D313</f>
        <v>16666.666666666668</v>
      </c>
      <c r="D315" s="35"/>
    </row>
    <row r="316" spans="1:6" x14ac:dyDescent="0.25">
      <c r="A316" s="33"/>
      <c r="B316" s="61" t="s">
        <v>64</v>
      </c>
      <c r="C316" s="62">
        <f>D314+D312</f>
        <v>477777.77777777781</v>
      </c>
      <c r="D316" s="35"/>
    </row>
    <row r="317" spans="1:6" ht="15.75" thickBot="1" x14ac:dyDescent="0.3">
      <c r="A317" s="47"/>
      <c r="B317" s="48"/>
      <c r="C317" s="48"/>
      <c r="D317" s="49"/>
    </row>
    <row r="318" spans="1:6" ht="15.75" thickBot="1" x14ac:dyDescent="0.3"/>
    <row r="319" spans="1:6" x14ac:dyDescent="0.25">
      <c r="A319" s="27" t="s">
        <v>107</v>
      </c>
      <c r="B319" s="50" t="s">
        <v>108</v>
      </c>
      <c r="C319" s="50" t="s">
        <v>109</v>
      </c>
      <c r="D319" s="29"/>
      <c r="E319" s="29"/>
      <c r="F319" s="30"/>
    </row>
    <row r="320" spans="1:6" x14ac:dyDescent="0.25">
      <c r="A320" s="73" t="s">
        <v>4</v>
      </c>
      <c r="B320" s="52">
        <v>-12000000</v>
      </c>
      <c r="C320" s="52">
        <v>12000000</v>
      </c>
      <c r="D320" s="34"/>
      <c r="E320" s="34"/>
      <c r="F320" s="35"/>
    </row>
    <row r="321" spans="1:17" x14ac:dyDescent="0.25">
      <c r="A321" s="73" t="s">
        <v>24</v>
      </c>
      <c r="B321" s="52">
        <v>5500000</v>
      </c>
      <c r="C321" s="52"/>
      <c r="D321" s="34">
        <v>1</v>
      </c>
      <c r="E321" s="34"/>
      <c r="F321" s="35"/>
      <c r="H321" s="160"/>
    </row>
    <row r="322" spans="1:17" x14ac:dyDescent="0.25">
      <c r="A322" s="73" t="s">
        <v>25</v>
      </c>
      <c r="B322" s="52">
        <v>4000000</v>
      </c>
      <c r="C322" s="52"/>
      <c r="D322" s="34">
        <v>2</v>
      </c>
      <c r="E322" s="34"/>
      <c r="F322" s="35"/>
    </row>
    <row r="323" spans="1:17" x14ac:dyDescent="0.25">
      <c r="A323" s="73" t="s">
        <v>26</v>
      </c>
      <c r="B323" s="52">
        <v>4800000</v>
      </c>
      <c r="C323" s="52">
        <v>15300000</v>
      </c>
      <c r="D323" s="34">
        <v>3</v>
      </c>
      <c r="E323" s="34"/>
      <c r="F323" s="35"/>
    </row>
    <row r="324" spans="1:17" x14ac:dyDescent="0.25">
      <c r="A324" s="73" t="s">
        <v>110</v>
      </c>
      <c r="B324" s="71">
        <v>0.08</v>
      </c>
      <c r="C324" s="71">
        <v>0.08</v>
      </c>
      <c r="D324" s="34"/>
      <c r="E324" s="34"/>
      <c r="F324" s="35"/>
    </row>
    <row r="325" spans="1:17" x14ac:dyDescent="0.25">
      <c r="A325" s="73" t="s">
        <v>110</v>
      </c>
      <c r="B325" s="71">
        <v>0.1</v>
      </c>
      <c r="C325" s="71">
        <v>0.1</v>
      </c>
      <c r="D325" s="34"/>
      <c r="E325" s="34"/>
      <c r="F325" s="35"/>
    </row>
    <row r="326" spans="1:17" x14ac:dyDescent="0.25">
      <c r="A326" s="74" t="s">
        <v>111</v>
      </c>
      <c r="B326" s="38">
        <f>-PV(B324,$D$323,,$B$323)-PV(B324,$D$322,,$B$322)-PV(B324,$D$321,,$B$321)</f>
        <v>12332342.630696539</v>
      </c>
      <c r="C326" s="38">
        <f>-PV(C324,$D$323,,$C$323)</f>
        <v>12145633.287608596</v>
      </c>
      <c r="D326" s="109" t="s">
        <v>112</v>
      </c>
      <c r="E326" s="109"/>
      <c r="F326" s="35"/>
    </row>
    <row r="327" spans="1:17" x14ac:dyDescent="0.25">
      <c r="A327" s="74" t="s">
        <v>113</v>
      </c>
      <c r="B327" s="38">
        <f>-PV(B325,$D$323,,$B$323)-PV(B325,$D$322,,$B$322)-PV(B325,$D$321,,$B$321)</f>
        <v>11912096.168294514</v>
      </c>
      <c r="C327" s="38">
        <f>-PV(C325,$D$323,,$C$323)</f>
        <v>11495116.453794137</v>
      </c>
      <c r="D327" s="109" t="s">
        <v>114</v>
      </c>
      <c r="E327" s="109"/>
      <c r="F327" s="35"/>
    </row>
    <row r="328" spans="1:17" x14ac:dyDescent="0.25">
      <c r="A328" s="33"/>
      <c r="B328" s="34"/>
      <c r="C328" s="34"/>
      <c r="D328" s="34"/>
      <c r="E328" s="34"/>
      <c r="F328" s="35"/>
      <c r="G328" s="31" t="s">
        <v>141</v>
      </c>
    </row>
    <row r="329" spans="1:17" ht="15.75" thickBot="1" x14ac:dyDescent="0.3">
      <c r="A329" s="47"/>
      <c r="B329" s="48"/>
      <c r="C329" s="48"/>
      <c r="D329" s="48"/>
      <c r="E329" s="48"/>
      <c r="F329" s="49"/>
    </row>
    <row r="330" spans="1:17" ht="15.75" thickBot="1" x14ac:dyDescent="0.3">
      <c r="C330" s="75"/>
    </row>
    <row r="331" spans="1:17" x14ac:dyDescent="0.25">
      <c r="A331" s="27" t="s">
        <v>115</v>
      </c>
      <c r="B331" s="50" t="s">
        <v>116</v>
      </c>
      <c r="C331" s="51">
        <v>450000</v>
      </c>
      <c r="D331" s="29"/>
      <c r="E331" s="29" t="s">
        <v>117</v>
      </c>
      <c r="F331" s="50"/>
      <c r="G331" s="50">
        <v>0</v>
      </c>
      <c r="H331" s="50">
        <v>1</v>
      </c>
      <c r="I331" s="50">
        <v>2</v>
      </c>
      <c r="J331" s="50">
        <v>3</v>
      </c>
      <c r="K331" s="50">
        <v>4</v>
      </c>
      <c r="L331" s="50">
        <v>5</v>
      </c>
      <c r="M331" s="50">
        <v>6</v>
      </c>
      <c r="N331" s="50">
        <v>7</v>
      </c>
      <c r="O331" s="50">
        <v>8</v>
      </c>
      <c r="P331" s="50">
        <v>9</v>
      </c>
      <c r="Q331" s="76">
        <v>10</v>
      </c>
    </row>
    <row r="332" spans="1:17" x14ac:dyDescent="0.25">
      <c r="A332" s="33"/>
      <c r="B332" s="41" t="s">
        <v>118</v>
      </c>
      <c r="C332" s="52">
        <v>150000</v>
      </c>
      <c r="D332" s="34"/>
      <c r="E332" s="58">
        <f>(C331+C332)/5</f>
        <v>120000</v>
      </c>
      <c r="F332" s="41" t="s">
        <v>119</v>
      </c>
      <c r="G332" s="52"/>
      <c r="H332" s="52">
        <v>165000</v>
      </c>
      <c r="I332" s="52">
        <v>165000</v>
      </c>
      <c r="J332" s="52">
        <v>165000</v>
      </c>
      <c r="K332" s="52">
        <v>165000</v>
      </c>
      <c r="L332" s="52">
        <v>165000</v>
      </c>
      <c r="M332" s="52">
        <v>165000</v>
      </c>
      <c r="N332" s="52">
        <v>165000</v>
      </c>
      <c r="O332" s="52">
        <v>165000</v>
      </c>
      <c r="P332" s="52">
        <v>165000</v>
      </c>
      <c r="Q332" s="77">
        <v>165000</v>
      </c>
    </row>
    <row r="333" spans="1:17" x14ac:dyDescent="0.25">
      <c r="A333" s="33"/>
      <c r="B333" s="41" t="s">
        <v>120</v>
      </c>
      <c r="C333" s="52">
        <v>165000</v>
      </c>
      <c r="D333" s="34"/>
      <c r="E333" s="34"/>
      <c r="F333" s="41" t="s">
        <v>121</v>
      </c>
      <c r="G333" s="52"/>
      <c r="H333" s="52">
        <v>15000</v>
      </c>
      <c r="I333" s="52">
        <v>15000</v>
      </c>
      <c r="J333" s="52">
        <v>15000</v>
      </c>
      <c r="K333" s="52">
        <v>15000</v>
      </c>
      <c r="L333" s="52">
        <v>15000</v>
      </c>
      <c r="M333" s="52">
        <v>15000</v>
      </c>
      <c r="N333" s="52">
        <v>15000</v>
      </c>
      <c r="O333" s="52">
        <v>15000</v>
      </c>
      <c r="P333" s="52">
        <v>15000</v>
      </c>
      <c r="Q333" s="77">
        <v>15000</v>
      </c>
    </row>
    <row r="334" spans="1:17" x14ac:dyDescent="0.25">
      <c r="A334" s="33"/>
      <c r="B334" s="41" t="s">
        <v>122</v>
      </c>
      <c r="C334" s="52">
        <v>15000</v>
      </c>
      <c r="D334" s="34"/>
      <c r="E334" s="34"/>
      <c r="F334" s="41" t="s">
        <v>117</v>
      </c>
      <c r="G334" s="52"/>
      <c r="H334" s="52">
        <f>-$E$332</f>
        <v>-120000</v>
      </c>
      <c r="I334" s="52">
        <f>-$E$332</f>
        <v>-120000</v>
      </c>
      <c r="J334" s="52">
        <f>-$E$332</f>
        <v>-120000</v>
      </c>
      <c r="K334" s="52">
        <f>-$E$332</f>
        <v>-120000</v>
      </c>
      <c r="L334" s="52">
        <f>-$E$332</f>
        <v>-120000</v>
      </c>
      <c r="M334" s="52"/>
      <c r="N334" s="52"/>
      <c r="O334" s="52"/>
      <c r="P334" s="52"/>
      <c r="Q334" s="77"/>
    </row>
    <row r="335" spans="1:17" x14ac:dyDescent="0.25">
      <c r="A335" s="33"/>
      <c r="B335" s="41" t="s">
        <v>123</v>
      </c>
      <c r="C335" s="52">
        <v>30000</v>
      </c>
      <c r="D335" s="34"/>
      <c r="E335" s="34"/>
      <c r="F335" s="41" t="s">
        <v>124</v>
      </c>
      <c r="G335" s="52"/>
      <c r="H335" s="52">
        <f t="shared" ref="H335:Q335" si="40">SUM(H332:H334)</f>
        <v>60000</v>
      </c>
      <c r="I335" s="52">
        <f t="shared" si="40"/>
        <v>60000</v>
      </c>
      <c r="J335" s="52">
        <f t="shared" si="40"/>
        <v>60000</v>
      </c>
      <c r="K335" s="52">
        <f t="shared" si="40"/>
        <v>60000</v>
      </c>
      <c r="L335" s="52">
        <f t="shared" si="40"/>
        <v>60000</v>
      </c>
      <c r="M335" s="52">
        <f t="shared" si="40"/>
        <v>180000</v>
      </c>
      <c r="N335" s="52">
        <f t="shared" si="40"/>
        <v>180000</v>
      </c>
      <c r="O335" s="52">
        <f t="shared" si="40"/>
        <v>180000</v>
      </c>
      <c r="P335" s="52">
        <f t="shared" si="40"/>
        <v>180000</v>
      </c>
      <c r="Q335" s="77">
        <f t="shared" si="40"/>
        <v>180000</v>
      </c>
    </row>
    <row r="336" spans="1:17" x14ac:dyDescent="0.25">
      <c r="A336" s="33"/>
      <c r="B336" s="41" t="s">
        <v>125</v>
      </c>
      <c r="C336" s="41">
        <v>10</v>
      </c>
      <c r="D336" s="34" t="s">
        <v>6</v>
      </c>
      <c r="E336" s="34"/>
      <c r="F336" s="41" t="s">
        <v>126</v>
      </c>
      <c r="G336" s="52">
        <v>0</v>
      </c>
      <c r="H336" s="52">
        <v>0</v>
      </c>
      <c r="I336" s="52">
        <v>0</v>
      </c>
      <c r="J336" s="52">
        <v>0</v>
      </c>
      <c r="K336" s="52">
        <v>0</v>
      </c>
      <c r="L336" s="52">
        <v>0</v>
      </c>
      <c r="M336" s="52">
        <v>0</v>
      </c>
      <c r="N336" s="52">
        <v>0</v>
      </c>
      <c r="O336" s="52">
        <v>0</v>
      </c>
      <c r="P336" s="52">
        <v>0</v>
      </c>
      <c r="Q336" s="77">
        <v>0</v>
      </c>
    </row>
    <row r="337" spans="1:17" x14ac:dyDescent="0.25">
      <c r="A337" s="33"/>
      <c r="B337" s="41" t="s">
        <v>127</v>
      </c>
      <c r="C337" s="41">
        <v>5</v>
      </c>
      <c r="D337" s="34" t="s">
        <v>128</v>
      </c>
      <c r="E337" s="34"/>
      <c r="F337" s="41" t="s">
        <v>129</v>
      </c>
      <c r="G337" s="52">
        <f t="shared" ref="G337:Q337" si="41">G335+G336</f>
        <v>0</v>
      </c>
      <c r="H337" s="52">
        <f t="shared" si="41"/>
        <v>60000</v>
      </c>
      <c r="I337" s="52">
        <f t="shared" si="41"/>
        <v>60000</v>
      </c>
      <c r="J337" s="52">
        <f t="shared" si="41"/>
        <v>60000</v>
      </c>
      <c r="K337" s="52">
        <f t="shared" si="41"/>
        <v>60000</v>
      </c>
      <c r="L337" s="52">
        <f t="shared" si="41"/>
        <v>60000</v>
      </c>
      <c r="M337" s="52">
        <f t="shared" si="41"/>
        <v>180000</v>
      </c>
      <c r="N337" s="52">
        <f t="shared" si="41"/>
        <v>180000</v>
      </c>
      <c r="O337" s="52">
        <f t="shared" si="41"/>
        <v>180000</v>
      </c>
      <c r="P337" s="52">
        <f t="shared" si="41"/>
        <v>180000</v>
      </c>
      <c r="Q337" s="77">
        <f t="shared" si="41"/>
        <v>180000</v>
      </c>
    </row>
    <row r="338" spans="1:17" x14ac:dyDescent="0.25">
      <c r="A338" s="33"/>
      <c r="B338" s="41" t="s">
        <v>130</v>
      </c>
      <c r="C338" s="71">
        <v>0.25</v>
      </c>
      <c r="D338" s="34"/>
      <c r="E338" s="34"/>
      <c r="F338" s="41" t="s">
        <v>131</v>
      </c>
      <c r="G338" s="52">
        <f t="shared" ref="G338:Q338" si="42">G337*$C$338</f>
        <v>0</v>
      </c>
      <c r="H338" s="52">
        <f t="shared" si="42"/>
        <v>15000</v>
      </c>
      <c r="I338" s="52">
        <f t="shared" si="42"/>
        <v>15000</v>
      </c>
      <c r="J338" s="52">
        <f t="shared" si="42"/>
        <v>15000</v>
      </c>
      <c r="K338" s="52">
        <f t="shared" si="42"/>
        <v>15000</v>
      </c>
      <c r="L338" s="52">
        <f t="shared" si="42"/>
        <v>15000</v>
      </c>
      <c r="M338" s="52">
        <f t="shared" si="42"/>
        <v>45000</v>
      </c>
      <c r="N338" s="52">
        <f t="shared" si="42"/>
        <v>45000</v>
      </c>
      <c r="O338" s="52">
        <f t="shared" si="42"/>
        <v>45000</v>
      </c>
      <c r="P338" s="52">
        <f t="shared" si="42"/>
        <v>45000</v>
      </c>
      <c r="Q338" s="77">
        <f t="shared" si="42"/>
        <v>45000</v>
      </c>
    </row>
    <row r="339" spans="1:17" x14ac:dyDescent="0.25">
      <c r="A339" s="33"/>
      <c r="B339" s="41" t="s">
        <v>132</v>
      </c>
      <c r="C339" s="71">
        <v>0.1</v>
      </c>
      <c r="D339" s="34"/>
      <c r="E339" s="34"/>
      <c r="F339" s="41" t="s">
        <v>133</v>
      </c>
      <c r="G339" s="52">
        <f t="shared" ref="G339:Q339" si="43">G337-G338</f>
        <v>0</v>
      </c>
      <c r="H339" s="52">
        <f t="shared" si="43"/>
        <v>45000</v>
      </c>
      <c r="I339" s="52">
        <f t="shared" si="43"/>
        <v>45000</v>
      </c>
      <c r="J339" s="52">
        <f t="shared" si="43"/>
        <v>45000</v>
      </c>
      <c r="K339" s="52">
        <f t="shared" si="43"/>
        <v>45000</v>
      </c>
      <c r="L339" s="52">
        <f t="shared" si="43"/>
        <v>45000</v>
      </c>
      <c r="M339" s="52">
        <f t="shared" si="43"/>
        <v>135000</v>
      </c>
      <c r="N339" s="52">
        <f t="shared" si="43"/>
        <v>135000</v>
      </c>
      <c r="O339" s="52">
        <f t="shared" si="43"/>
        <v>135000</v>
      </c>
      <c r="P339" s="52">
        <f t="shared" si="43"/>
        <v>135000</v>
      </c>
      <c r="Q339" s="77">
        <f t="shared" si="43"/>
        <v>135000</v>
      </c>
    </row>
    <row r="340" spans="1:17" x14ac:dyDescent="0.25">
      <c r="A340" s="33"/>
      <c r="B340" s="61" t="s">
        <v>134</v>
      </c>
      <c r="C340" s="62">
        <f>-C331-C332+C334</f>
        <v>-585000</v>
      </c>
      <c r="D340" s="34"/>
      <c r="E340" s="34"/>
      <c r="F340" s="41" t="s">
        <v>117</v>
      </c>
      <c r="G340" s="41"/>
      <c r="H340" s="63">
        <f>-H334</f>
        <v>120000</v>
      </c>
      <c r="I340" s="63">
        <f>-I334</f>
        <v>120000</v>
      </c>
      <c r="J340" s="63">
        <f>-J334</f>
        <v>120000</v>
      </c>
      <c r="K340" s="63">
        <f>-K334</f>
        <v>120000</v>
      </c>
      <c r="L340" s="63">
        <f>-L334</f>
        <v>120000</v>
      </c>
      <c r="M340" s="41"/>
      <c r="N340" s="41"/>
      <c r="O340" s="41"/>
      <c r="P340" s="41"/>
      <c r="Q340" s="78"/>
    </row>
    <row r="341" spans="1:17" x14ac:dyDescent="0.25">
      <c r="A341" s="33"/>
      <c r="B341" s="34"/>
      <c r="C341" s="34"/>
      <c r="D341" s="34"/>
      <c r="E341" s="34"/>
      <c r="F341" s="41" t="s">
        <v>135</v>
      </c>
      <c r="G341" s="41">
        <v>0</v>
      </c>
      <c r="H341" s="41">
        <v>0</v>
      </c>
      <c r="I341" s="41">
        <v>0</v>
      </c>
      <c r="J341" s="41">
        <v>0</v>
      </c>
      <c r="K341" s="41">
        <v>0</v>
      </c>
      <c r="L341" s="41">
        <v>0</v>
      </c>
      <c r="M341" s="41">
        <v>0</v>
      </c>
      <c r="N341" s="41">
        <v>0</v>
      </c>
      <c r="O341" s="41">
        <v>0</v>
      </c>
      <c r="P341" s="41">
        <v>0</v>
      </c>
      <c r="Q341" s="78">
        <v>0</v>
      </c>
    </row>
    <row r="342" spans="1:17" x14ac:dyDescent="0.25">
      <c r="A342" s="33"/>
      <c r="B342" s="34"/>
      <c r="C342" s="34"/>
      <c r="D342" s="34"/>
      <c r="E342" s="34"/>
      <c r="F342" s="41" t="s">
        <v>136</v>
      </c>
      <c r="G342" s="41">
        <f>G341+G340</f>
        <v>0</v>
      </c>
      <c r="H342" s="63">
        <f t="shared" ref="H342:Q342" si="44">H340+H339</f>
        <v>165000</v>
      </c>
      <c r="I342" s="63">
        <f t="shared" si="44"/>
        <v>165000</v>
      </c>
      <c r="J342" s="63">
        <f t="shared" si="44"/>
        <v>165000</v>
      </c>
      <c r="K342" s="63">
        <f t="shared" si="44"/>
        <v>165000</v>
      </c>
      <c r="L342" s="63">
        <f t="shared" si="44"/>
        <v>165000</v>
      </c>
      <c r="M342" s="63">
        <f t="shared" si="44"/>
        <v>135000</v>
      </c>
      <c r="N342" s="63">
        <f t="shared" si="44"/>
        <v>135000</v>
      </c>
      <c r="O342" s="63">
        <f t="shared" si="44"/>
        <v>135000</v>
      </c>
      <c r="P342" s="63">
        <f t="shared" si="44"/>
        <v>135000</v>
      </c>
      <c r="Q342" s="79">
        <f t="shared" si="44"/>
        <v>135000</v>
      </c>
    </row>
    <row r="343" spans="1:17" x14ac:dyDescent="0.25">
      <c r="A343" s="33"/>
      <c r="B343" s="34"/>
      <c r="C343" s="34"/>
      <c r="D343" s="34"/>
      <c r="E343" s="34"/>
      <c r="F343" s="41" t="s">
        <v>137</v>
      </c>
      <c r="G343" s="63">
        <f>-C331-C332</f>
        <v>-600000</v>
      </c>
      <c r="H343" s="41">
        <v>0</v>
      </c>
      <c r="I343" s="41">
        <v>0</v>
      </c>
      <c r="J343" s="41">
        <v>0</v>
      </c>
      <c r="K343" s="41">
        <v>0</v>
      </c>
      <c r="L343" s="41">
        <v>0</v>
      </c>
      <c r="M343" s="41">
        <v>0</v>
      </c>
      <c r="N343" s="41">
        <v>0</v>
      </c>
      <c r="O343" s="41">
        <v>0</v>
      </c>
      <c r="P343" s="41">
        <v>0</v>
      </c>
      <c r="Q343" s="78">
        <v>0</v>
      </c>
    </row>
    <row r="344" spans="1:17" x14ac:dyDescent="0.25">
      <c r="A344" s="33"/>
      <c r="B344" s="34"/>
      <c r="C344" s="34"/>
      <c r="D344" s="34"/>
      <c r="E344" s="34"/>
      <c r="F344" s="61" t="s">
        <v>138</v>
      </c>
      <c r="G344" s="62">
        <f t="shared" ref="G344:Q344" si="45">G343+G342</f>
        <v>-600000</v>
      </c>
      <c r="H344" s="62">
        <f t="shared" si="45"/>
        <v>165000</v>
      </c>
      <c r="I344" s="62">
        <f t="shared" si="45"/>
        <v>165000</v>
      </c>
      <c r="J344" s="62">
        <f t="shared" si="45"/>
        <v>165000</v>
      </c>
      <c r="K344" s="62">
        <f t="shared" si="45"/>
        <v>165000</v>
      </c>
      <c r="L344" s="62">
        <f t="shared" si="45"/>
        <v>165000</v>
      </c>
      <c r="M344" s="62">
        <f t="shared" si="45"/>
        <v>135000</v>
      </c>
      <c r="N344" s="62">
        <f t="shared" si="45"/>
        <v>135000</v>
      </c>
      <c r="O344" s="62">
        <f t="shared" si="45"/>
        <v>135000</v>
      </c>
      <c r="P344" s="62">
        <f t="shared" si="45"/>
        <v>135000</v>
      </c>
      <c r="Q344" s="80">
        <f t="shared" si="45"/>
        <v>135000</v>
      </c>
    </row>
    <row r="345" spans="1:17" x14ac:dyDescent="0.25">
      <c r="A345" s="33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5"/>
    </row>
    <row r="346" spans="1:17" x14ac:dyDescent="0.25">
      <c r="A346" s="33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5"/>
    </row>
    <row r="347" spans="1:17" x14ac:dyDescent="0.25">
      <c r="A347" s="33"/>
      <c r="B347" s="34"/>
      <c r="C347" s="34"/>
      <c r="D347" s="34"/>
      <c r="E347" s="34"/>
      <c r="F347" s="68">
        <f>-PV(C339,5,H344)</f>
        <v>625479.81695239432</v>
      </c>
      <c r="G347" s="34"/>
      <c r="H347" s="61" t="s">
        <v>139</v>
      </c>
      <c r="I347" s="34"/>
      <c r="J347" s="61" t="s">
        <v>140</v>
      </c>
      <c r="K347" s="34"/>
      <c r="L347" s="34"/>
      <c r="M347" s="34"/>
      <c r="N347" s="34"/>
      <c r="O347" s="34"/>
      <c r="P347" s="34"/>
      <c r="Q347" s="35"/>
    </row>
    <row r="348" spans="1:17" x14ac:dyDescent="0.25">
      <c r="A348" s="33"/>
      <c r="B348" s="34"/>
      <c r="C348" s="34"/>
      <c r="D348" s="34"/>
      <c r="E348" s="34"/>
      <c r="F348" s="68">
        <f>-PV(C339,5,M344)</f>
        <v>511756.21387014078</v>
      </c>
      <c r="G348" s="68">
        <f>-PV(C339,5,,F348)</f>
        <v>317760.34539999167</v>
      </c>
      <c r="H348" s="38">
        <f>G348+F347</f>
        <v>943240.16235238593</v>
      </c>
      <c r="I348" s="34"/>
      <c r="J348" s="38">
        <f>H349+G343</f>
        <v>343240.16235238523</v>
      </c>
      <c r="K348" s="34"/>
      <c r="L348" s="34"/>
      <c r="M348" s="34"/>
      <c r="N348" s="34"/>
      <c r="O348" s="34"/>
      <c r="P348" s="34"/>
      <c r="Q348" s="35"/>
    </row>
    <row r="349" spans="1:17" ht="15.75" thickBot="1" x14ac:dyDescent="0.3">
      <c r="A349" s="47"/>
      <c r="B349" s="48"/>
      <c r="C349" s="48"/>
      <c r="D349" s="48"/>
      <c r="E349" s="48"/>
      <c r="F349" s="48"/>
      <c r="G349" s="48"/>
      <c r="H349" s="81">
        <f>NPV(C339,H344:L344,M344:Q344)</f>
        <v>943240.16235238523</v>
      </c>
      <c r="I349" s="48"/>
      <c r="J349" s="48"/>
      <c r="K349" s="48"/>
      <c r="L349" s="48"/>
      <c r="M349" s="48"/>
      <c r="N349" s="48"/>
      <c r="O349" s="48"/>
      <c r="P349" s="48"/>
      <c r="Q349" s="49"/>
    </row>
  </sheetData>
  <mergeCells count="4">
    <mergeCell ref="D327:E327"/>
    <mergeCell ref="B35:F35"/>
    <mergeCell ref="B236:C236"/>
    <mergeCell ref="D326:E3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 9</vt:lpstr>
      <vt:lpstr>Ejercicio 10</vt:lpstr>
      <vt:lpstr>Ejercicio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2017-10-09T16:38:02Z</dcterms:modified>
</cp:coreProperties>
</file>