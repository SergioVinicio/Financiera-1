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6" rupBuild="18326"/>
  <workbookPr/>
  <mc:AlternateContent xmlns:mc="http://schemas.openxmlformats.org/markup-compatibility/2006">
    <mc:Choice Requires="x15">
      <x15ac:absPath xmlns:x15ac="http://schemas.microsoft.com/office/spreadsheetml/2010/11/ac" url="C:\Users\Vinix\Documents\Tareas universidad\4 Semestre\Financiera I\Ejercicios\"/>
    </mc:Choice>
  </mc:AlternateContent>
  <bookViews>
    <workbookView xWindow="0" yWindow="0" windowWidth="20490" windowHeight="7530" activeTab="5" xr2:uid="{00000000-000D-0000-FFFF-FFFF00000000}"/>
  </bookViews>
  <sheets>
    <sheet name="Caso 1" sheetId="1" r:id="rId1"/>
    <sheet name="C1 (sol)" sheetId="8" r:id="rId2"/>
    <sheet name="Caso 2" sheetId="2" r:id="rId3"/>
    <sheet name="C2 (Sol)" sheetId="6" r:id="rId4"/>
    <sheet name="Caso 4" sheetId="4" r:id="rId5"/>
    <sheet name="C4 (Sol)" sheetId="7" r:id="rId6"/>
  </sheets>
  <externalReferences>
    <externalReference r:id="rId7"/>
  </externalReferenc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0" i="7" l="1"/>
  <c r="D51" i="7"/>
  <c r="D52" i="7"/>
  <c r="D40" i="7"/>
  <c r="D42" i="7"/>
  <c r="D25" i="6"/>
  <c r="I23" i="6"/>
  <c r="I18" i="6"/>
  <c r="G11" i="6" l="1"/>
  <c r="G12" i="6"/>
  <c r="E26" i="6"/>
  <c r="F26" i="6"/>
  <c r="G26" i="6" s="1"/>
  <c r="E25" i="6"/>
  <c r="F25" i="6"/>
  <c r="G25" i="6" s="1"/>
  <c r="C57" i="8"/>
  <c r="C61" i="8" s="1"/>
  <c r="C43" i="8"/>
  <c r="C65" i="1" l="1"/>
  <c r="C64" i="1"/>
  <c r="C59" i="1"/>
  <c r="C58" i="1"/>
  <c r="C57" i="1"/>
  <c r="C52" i="1"/>
  <c r="C51" i="1"/>
  <c r="C50" i="1"/>
  <c r="C49" i="1"/>
  <c r="C48" i="1"/>
  <c r="C47" i="1"/>
  <c r="C43" i="1"/>
  <c r="C42" i="1"/>
  <c r="I30" i="1"/>
  <c r="I29" i="1"/>
  <c r="I28" i="1"/>
  <c r="I27" i="1"/>
  <c r="I23" i="1"/>
  <c r="I22" i="1"/>
  <c r="I17" i="1"/>
  <c r="I18" i="1"/>
  <c r="I16" i="1"/>
  <c r="E29" i="8" s="1"/>
  <c r="C17" i="1"/>
  <c r="E23" i="8" s="1"/>
  <c r="C18" i="1"/>
  <c r="C19" i="1"/>
  <c r="C23" i="1"/>
  <c r="C24" i="1"/>
  <c r="C25" i="1"/>
  <c r="C16" i="1"/>
  <c r="E16" i="8" s="1"/>
  <c r="D28" i="8" l="1"/>
  <c r="C71" i="8" l="1"/>
  <c r="C28" i="8"/>
  <c r="C29" i="8" s="1"/>
  <c r="D22" i="8"/>
  <c r="C22" i="8"/>
  <c r="C15" i="8"/>
  <c r="G32" i="8" s="1"/>
  <c r="D9" i="8"/>
  <c r="C9" i="8"/>
  <c r="G33" i="8" s="1"/>
  <c r="F13" i="6"/>
  <c r="F15" i="6" s="1"/>
  <c r="E13" i="6"/>
  <c r="E15" i="6" s="1"/>
  <c r="D13" i="6"/>
  <c r="D15" i="6" s="1"/>
  <c r="I15" i="6" s="1"/>
  <c r="C12" i="6"/>
  <c r="C11" i="6"/>
  <c r="G10" i="6"/>
  <c r="D10" i="6"/>
  <c r="G49" i="7"/>
  <c r="G50" i="7" s="1"/>
  <c r="F49" i="7"/>
  <c r="F50" i="7" s="1"/>
  <c r="E49" i="7"/>
  <c r="E50" i="7" s="1"/>
  <c r="D49" i="7"/>
  <c r="G40" i="7"/>
  <c r="G42" i="7" s="1"/>
  <c r="G51" i="7" s="1"/>
  <c r="G52" i="7" s="1"/>
  <c r="F40" i="7"/>
  <c r="F42" i="7" s="1"/>
  <c r="E40" i="7"/>
  <c r="E42" i="7" s="1"/>
  <c r="C10" i="6" l="1"/>
  <c r="D26" i="6"/>
  <c r="C26" i="6" s="1"/>
  <c r="C25" i="6"/>
  <c r="C23" i="8"/>
  <c r="C16" i="8"/>
  <c r="C17" i="8" s="1"/>
  <c r="C20" i="8" s="1"/>
  <c r="C37" i="8" s="1"/>
  <c r="G30" i="8"/>
  <c r="H31" i="8" s="1"/>
  <c r="C30" i="8" s="1"/>
  <c r="C31" i="8" s="1"/>
  <c r="C32" i="8" s="1"/>
  <c r="C36" i="8" s="1"/>
  <c r="C65" i="8"/>
  <c r="N30" i="8"/>
  <c r="N31" i="8" s="1"/>
  <c r="N32" i="8" s="1"/>
  <c r="I13" i="6"/>
  <c r="K15" i="6"/>
  <c r="F23" i="6"/>
  <c r="K23" i="6" s="1"/>
  <c r="F17" i="6"/>
  <c r="K18" i="6" s="1"/>
  <c r="E23" i="6"/>
  <c r="J23" i="6" s="1"/>
  <c r="E17" i="6"/>
  <c r="J18" i="6" s="1"/>
  <c r="J15" i="6"/>
  <c r="J13" i="6"/>
  <c r="K13" i="6"/>
  <c r="D17" i="6"/>
  <c r="D23" i="6"/>
  <c r="D43" i="7"/>
  <c r="E43" i="7"/>
  <c r="E51" i="7"/>
  <c r="E52" i="7" s="1"/>
  <c r="F43" i="7"/>
  <c r="F51" i="7"/>
  <c r="F52" i="7" s="1"/>
  <c r="L13" i="6" l="1"/>
  <c r="F19" i="6"/>
  <c r="K19" i="6" s="1"/>
  <c r="D19" i="6"/>
  <c r="I19" i="6" s="1"/>
  <c r="E19" i="6"/>
  <c r="J19" i="6" s="1"/>
  <c r="G12" i="2" l="1"/>
  <c r="G14" i="2" s="1"/>
  <c r="G16" i="2" s="1"/>
  <c r="G18" i="2" s="1"/>
  <c r="F12" i="2"/>
  <c r="F14" i="2" s="1"/>
  <c r="F16" i="2" s="1"/>
  <c r="F18" i="2" s="1"/>
  <c r="E12" i="2"/>
  <c r="E14" i="2" s="1"/>
  <c r="E16" i="2" s="1"/>
  <c r="E18" i="2" s="1"/>
  <c r="E9" i="2"/>
  <c r="F90" i="1" l="1"/>
  <c r="F94" i="1" s="1"/>
  <c r="E90" i="1"/>
  <c r="E94" i="1" s="1"/>
  <c r="F60" i="1"/>
  <c r="E60" i="1"/>
  <c r="F53" i="1"/>
  <c r="E53" i="1"/>
  <c r="F44" i="1"/>
  <c r="E44" i="1"/>
  <c r="L31" i="1"/>
  <c r="K31" i="1"/>
  <c r="F26" i="1"/>
  <c r="E26" i="1"/>
  <c r="L24" i="1"/>
  <c r="K24" i="1"/>
  <c r="F20" i="1"/>
  <c r="D5" i="8" s="1"/>
  <c r="E20" i="1"/>
  <c r="L19" i="1"/>
  <c r="K19" i="1"/>
  <c r="C5" i="8" l="1"/>
  <c r="C20" i="1"/>
  <c r="D20" i="1"/>
  <c r="C24" i="8"/>
  <c r="C25" i="8" s="1"/>
  <c r="C26" i="8" s="1"/>
  <c r="C34" i="8" s="1"/>
  <c r="C44" i="1"/>
  <c r="D65" i="1"/>
  <c r="D59" i="1"/>
  <c r="D49" i="1"/>
  <c r="D43" i="1"/>
  <c r="D50" i="1"/>
  <c r="D64" i="1"/>
  <c r="D58" i="1"/>
  <c r="D52" i="1"/>
  <c r="D48" i="1"/>
  <c r="D42" i="1"/>
  <c r="D57" i="1"/>
  <c r="D51" i="1"/>
  <c r="D47" i="1"/>
  <c r="D44" i="1"/>
  <c r="I19" i="1"/>
  <c r="J19" i="1"/>
  <c r="I24" i="1"/>
  <c r="C62" i="8"/>
  <c r="C63" i="8" s="1"/>
  <c r="I31" i="1"/>
  <c r="J31" i="1"/>
  <c r="D53" i="1"/>
  <c r="C53" i="1"/>
  <c r="C26" i="1"/>
  <c r="D26" i="1"/>
  <c r="C60" i="1"/>
  <c r="D60" i="1"/>
  <c r="L33" i="1"/>
  <c r="D6" i="8"/>
  <c r="D11" i="8" s="1"/>
  <c r="K33" i="1"/>
  <c r="C6" i="8"/>
  <c r="C7" i="8" s="1"/>
  <c r="E28" i="1"/>
  <c r="E55" i="1"/>
  <c r="F28" i="1"/>
  <c r="F55" i="1"/>
  <c r="F62" i="1" s="1"/>
  <c r="F67" i="1" s="1"/>
  <c r="K25" i="1"/>
  <c r="L25" i="1"/>
  <c r="C55" i="1" l="1"/>
  <c r="D55" i="1"/>
  <c r="D37" i="8"/>
  <c r="D7" i="8"/>
  <c r="I33" i="1"/>
  <c r="J33" i="1"/>
  <c r="C53" i="8"/>
  <c r="I25" i="1"/>
  <c r="J25" i="1"/>
  <c r="C54" i="8"/>
  <c r="C28" i="1"/>
  <c r="J17" i="1"/>
  <c r="J23" i="1"/>
  <c r="J28" i="1"/>
  <c r="D25" i="1"/>
  <c r="D18" i="1"/>
  <c r="J16" i="1"/>
  <c r="D24" i="1"/>
  <c r="D19" i="1"/>
  <c r="D23" i="1"/>
  <c r="J22" i="1"/>
  <c r="J27" i="1"/>
  <c r="D17" i="1"/>
  <c r="J18" i="1"/>
  <c r="J29" i="1"/>
  <c r="J30" i="1"/>
  <c r="D16" i="1"/>
  <c r="D28" i="1"/>
  <c r="J24" i="1"/>
  <c r="C58" i="8"/>
  <c r="C59" i="8" s="1"/>
  <c r="C11" i="8"/>
  <c r="E62" i="1"/>
  <c r="C66" i="8"/>
  <c r="C67" i="8" s="1"/>
  <c r="C70" i="8"/>
  <c r="C75" i="8" s="1"/>
  <c r="C55" i="8"/>
  <c r="G64" i="1" l="1"/>
  <c r="C76" i="8" s="1"/>
  <c r="C62" i="1"/>
  <c r="D62" i="1"/>
  <c r="C77" i="8"/>
  <c r="C72" i="8"/>
  <c r="E67" i="1"/>
  <c r="C67" i="1" l="1"/>
  <c r="D6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Gabriela Sequeira</author>
  </authors>
  <commentList>
    <comment ref="H23" authorId="0" shapeId="0" xr:uid="{00000000-0006-0000-0000-000001000000}">
      <text>
        <r>
          <rPr>
            <b/>
            <sz val="9"/>
            <color indexed="81"/>
            <rFont val="Tahoma"/>
            <family val="2"/>
          </rPr>
          <t>Gabriela Sequeira:</t>
        </r>
        <r>
          <rPr>
            <sz val="9"/>
            <color indexed="81"/>
            <rFont val="Tahoma"/>
            <family val="2"/>
          </rPr>
          <t xml:space="preserve">
Include long term capital lease obligations $4,212
and long term financial lease obligations for $1,736</t>
        </r>
      </text>
    </comment>
  </commentList>
</comments>
</file>

<file path=xl/sharedStrings.xml><?xml version="1.0" encoding="utf-8"?>
<sst xmlns="http://schemas.openxmlformats.org/spreadsheetml/2006/main" count="256" uniqueCount="206">
  <si>
    <t xml:space="preserve">Consolidated Balance Sheet </t>
  </si>
  <si>
    <t>At December 31, 2015</t>
  </si>
  <si>
    <t>In Millions</t>
  </si>
  <si>
    <t>Current assets</t>
  </si>
  <si>
    <t>Current liabilities</t>
  </si>
  <si>
    <t>Inventories</t>
  </si>
  <si>
    <t>Accounts payable</t>
  </si>
  <si>
    <t>Account receivables, net</t>
  </si>
  <si>
    <t>Accrued expenses and other liabilites</t>
  </si>
  <si>
    <t>Marketable securities</t>
  </si>
  <si>
    <t>Unearned revenue</t>
  </si>
  <si>
    <t>Cash and cash equivalents</t>
  </si>
  <si>
    <t>Total current liabilites</t>
  </si>
  <si>
    <t>Total current assets</t>
  </si>
  <si>
    <t>Non-current liabilites</t>
  </si>
  <si>
    <t>Non current assets</t>
  </si>
  <si>
    <t>Long term debt</t>
  </si>
  <si>
    <t>Property, plant &amp; equipment, net</t>
  </si>
  <si>
    <t>Other long term liabilities</t>
  </si>
  <si>
    <t>Goodwill</t>
  </si>
  <si>
    <t>Total non-current liabilities</t>
  </si>
  <si>
    <t>Other assets</t>
  </si>
  <si>
    <t>Total liabilities</t>
  </si>
  <si>
    <t>Total non current assets</t>
  </si>
  <si>
    <t>Shareholders' equity</t>
  </si>
  <si>
    <t>Common stock and paid in capital</t>
  </si>
  <si>
    <t>Total assets</t>
  </si>
  <si>
    <t>Treasury stock</t>
  </si>
  <si>
    <t>Accumulated other comprehensive loss</t>
  </si>
  <si>
    <t>Retained earnings</t>
  </si>
  <si>
    <t>Total liabilites + equity</t>
  </si>
  <si>
    <t>Income Statement</t>
  </si>
  <si>
    <t>Year Ended December 31, 2015</t>
  </si>
  <si>
    <t>Net product sales</t>
  </si>
  <si>
    <t>Net service sales</t>
  </si>
  <si>
    <t>Total net sales</t>
  </si>
  <si>
    <t>Operating expenses</t>
  </si>
  <si>
    <t>Cost of sales</t>
  </si>
  <si>
    <t>Fulfillment</t>
  </si>
  <si>
    <t>Marketing</t>
  </si>
  <si>
    <t>Technology and content</t>
  </si>
  <si>
    <t>General and administrative</t>
  </si>
  <si>
    <t>Other operating expense (income), net</t>
  </si>
  <si>
    <t>Total operating expenses</t>
  </si>
  <si>
    <t>Income from operations</t>
  </si>
  <si>
    <t>Interest income</t>
  </si>
  <si>
    <t>Interest expense</t>
  </si>
  <si>
    <t>Other non operating income (expense), net</t>
  </si>
  <si>
    <t>Total non-operating income (expense)</t>
  </si>
  <si>
    <t>Income (loss) before income taxes</t>
  </si>
  <si>
    <t>Provision for income taxes</t>
  </si>
  <si>
    <t>Equity method investment activity</t>
  </si>
  <si>
    <t xml:space="preserve">Net income (loss) </t>
  </si>
  <si>
    <t>Basic earnings per share</t>
  </si>
  <si>
    <t>Diluted earnings per share</t>
  </si>
  <si>
    <t>Weighted-average shares used in computation of earnings per share:</t>
  </si>
  <si>
    <t>Basic</t>
  </si>
  <si>
    <t>Diluted</t>
  </si>
  <si>
    <t>A continuación se presentan los Estados Financieros para Amazon en 2014 y 2015</t>
  </si>
  <si>
    <t>Net cash provided by (used in) investing activities</t>
  </si>
  <si>
    <t>Net cash provided by (used in) financing activities</t>
  </si>
  <si>
    <t>Net increase (decrease) in cash and equivalents</t>
  </si>
  <si>
    <t>Foreign currency effect on cash and equivalents</t>
  </si>
  <si>
    <t>Consolidated Cash Flow</t>
  </si>
  <si>
    <t>Net cash provided by (used in) operating activities</t>
  </si>
  <si>
    <t>Cash and equivalents, beginning of period</t>
  </si>
  <si>
    <t>Cash and equivalents, end of period</t>
  </si>
  <si>
    <t>Otherdata</t>
  </si>
  <si>
    <t>Depreciation of P&amp;E, including internal-use software and website develompent,</t>
  </si>
  <si>
    <t>,and other amortization, including capitalized content costs</t>
  </si>
  <si>
    <t>Repayments of long-term debt and other</t>
  </si>
  <si>
    <t>¿Qué razones y qué criterio utilizaría para fundamentar su respuesta?</t>
  </si>
  <si>
    <t>¿Qué razón/es y qué crierio utilizaría para fundamentar su respuesta?</t>
  </si>
  <si>
    <t>Realice un análisis de márgenes y responda las siguientes preguntas.</t>
  </si>
  <si>
    <t xml:space="preserve">a.  ¿A qué se debe la caída en el márgen neto durante el 2013?  </t>
  </si>
  <si>
    <t>b. ¿Cómo evaluaría el desempeño del área comercial para el manejo de precios?  Asuma que la empresa vende un solo producto.</t>
  </si>
  <si>
    <t>c. ¿En qué año se tiene una tasa efectiva de impuesto menor?</t>
  </si>
  <si>
    <t>d. ¿Por qué será que incrementan los gastos por intereses durante el 2013?</t>
  </si>
  <si>
    <t>Ventas</t>
  </si>
  <si>
    <t>Costo de Ventas</t>
  </si>
  <si>
    <t>Utilidad Bruta</t>
  </si>
  <si>
    <t>Gastos de Venta y Administrativos</t>
  </si>
  <si>
    <t>Utilidad Operativa</t>
  </si>
  <si>
    <t>Intereses</t>
  </si>
  <si>
    <t>Utilidad antes impuestos</t>
  </si>
  <si>
    <t>Impuestos</t>
  </si>
  <si>
    <t>Utilidad Neta</t>
  </si>
  <si>
    <t>Depreciaciones &amp; Amortizaciones Costo</t>
  </si>
  <si>
    <t>Depreciaciones &amp; Amortizaciones Gasto</t>
  </si>
  <si>
    <t>Toneladas Métricas</t>
  </si>
  <si>
    <t>Asumiendo que no hay un cambio en otras variables, cuál de las siguientes reduciría el retorno sobre activos:</t>
  </si>
  <si>
    <t>a. Una reducción en la tasa efectiva de impuestos</t>
  </si>
  <si>
    <t>b. Una reducción de los gastos por intereses</t>
  </si>
  <si>
    <t>c. Un incremento en activos promedio</t>
  </si>
  <si>
    <t>Capital</t>
  </si>
  <si>
    <t>a.</t>
  </si>
  <si>
    <t>b.</t>
  </si>
  <si>
    <t>EBITDA</t>
  </si>
  <si>
    <t>EBIT</t>
  </si>
  <si>
    <t>Cobertura de intereses</t>
  </si>
  <si>
    <t>Cobertura de cargos fijos</t>
  </si>
  <si>
    <t>EBIT + leasings</t>
  </si>
  <si>
    <t>Intereses + leasings + abono a capital/(1-t)</t>
  </si>
  <si>
    <t>Con la información de la tabla, indique:</t>
  </si>
  <si>
    <t>a.       ¿Cómo es la eficiencia en la administración de activos?</t>
  </si>
  <si>
    <t>b.      Si el mercado en el que la empresa participa creció 10% en 2014, ¿Cómo calificaría el desempeño en ventas?</t>
  </si>
  <si>
    <t>c.       Calcule el margen bruto e indique ¿a qué podría atribuirse su variación vs. el AA?</t>
  </si>
  <si>
    <t>Días de inventario</t>
  </si>
  <si>
    <t>Días promedio de cobro</t>
  </si>
  <si>
    <t>Rotación de activos totales</t>
  </si>
  <si>
    <t>Inventario promedio</t>
  </si>
  <si>
    <t>Cuentas x Cobrar promedio</t>
  </si>
  <si>
    <t>La eficiencia en la administración de activos ha mejorado en los últimos años (Análisis histórico)</t>
  </si>
  <si>
    <t>Los dos indicadores disponibles de manejo de activos de corto plazo se reducen, lo que indica mayor eficiencia.</t>
  </si>
  <si>
    <t xml:space="preserve">El indicador de administración de activos de LP, indica que ésta es más eficiente. </t>
  </si>
  <si>
    <t>Para completar el análisis, sería necesario contar con datos de promedio de industria.</t>
  </si>
  <si>
    <t>PPC=CxC/Ventas x día</t>
  </si>
  <si>
    <t>Días al año</t>
  </si>
  <si>
    <t>Ventas anuales</t>
  </si>
  <si>
    <t>Crecimiento en ventas</t>
  </si>
  <si>
    <t>La empresa tuvo un buen desempeño en ventas durante el 2014, pues creció por arriba del crecimiento del mercado.</t>
  </si>
  <si>
    <t>Probablemente logró un incremento fuerte en su participación de mercado.</t>
  </si>
  <si>
    <t>c.</t>
  </si>
  <si>
    <t>Rotación de inv. = Costo de ventas/Inventario</t>
  </si>
  <si>
    <t>Rotación de inventario</t>
  </si>
  <si>
    <t>Días inv. =  360/Rotación de inv.</t>
  </si>
  <si>
    <t>Días de inv. = 360/(Costo de Ventas/Inventario)</t>
  </si>
  <si>
    <t>ó</t>
  </si>
  <si>
    <t>Margen Bruto</t>
  </si>
  <si>
    <t>Días de inv. = Inventario / Costo de Ventas x día</t>
  </si>
  <si>
    <t>El márgen bruto se reduce, podría deberse a mayores costos, menores precios por unidad o venta de productos de menor márgen.</t>
  </si>
  <si>
    <t>ROA = Utilidad Neta/ Activos Totales</t>
  </si>
  <si>
    <t>El incremento en los activos totales indicaría que produzco la misma utilidad, pero requiero más recursos para lograrla, lo cual reduciría el retorno.</t>
  </si>
  <si>
    <t>TM</t>
  </si>
  <si>
    <t>MARGEN Bruto</t>
  </si>
  <si>
    <t>MARGEN Operativo</t>
  </si>
  <si>
    <t>Tasa efectiva de impuesto</t>
  </si>
  <si>
    <t>MARGEN Neto</t>
  </si>
  <si>
    <t>MARGEN EBITDA</t>
  </si>
  <si>
    <t>La caída en el márgen neto se origina desde el márgen bruto.  El costo de ventas incrementó.</t>
  </si>
  <si>
    <t>En el 2013.</t>
  </si>
  <si>
    <t>d.</t>
  </si>
  <si>
    <t xml:space="preserve">El incremento en costos tan alto, origina también un incremento en las cuentas de inventario y CxC. </t>
  </si>
  <si>
    <t>El alza en intereses posiblemente se deriva de que ese incremento en capital de trabajo se financia a través de una deuda mayor.</t>
  </si>
  <si>
    <t>LIQUIDEZ</t>
  </si>
  <si>
    <t>Activo Circulante</t>
  </si>
  <si>
    <t>Pasivo Circulante</t>
  </si>
  <si>
    <t>Razón Liquidez</t>
  </si>
  <si>
    <t>Inventarios</t>
  </si>
  <si>
    <t>Prueba Ácida</t>
  </si>
  <si>
    <t>SOLVENCIA</t>
  </si>
  <si>
    <t>Pasivos Totales</t>
  </si>
  <si>
    <t>Activos Totales</t>
  </si>
  <si>
    <t>Razón Endeudamiento</t>
  </si>
  <si>
    <t>Deuda</t>
  </si>
  <si>
    <t>Razón Deuda a Capital</t>
  </si>
  <si>
    <t>Inventario Promedio</t>
  </si>
  <si>
    <t>Días Inventario</t>
  </si>
  <si>
    <t xml:space="preserve">Cuentas x Cobrar </t>
  </si>
  <si>
    <t>Ventas diarias</t>
  </si>
  <si>
    <t>Días CXC</t>
  </si>
  <si>
    <t>Cuentas x Pagar</t>
  </si>
  <si>
    <t>Cuentas x Pagar promedio</t>
  </si>
  <si>
    <t>Compras</t>
  </si>
  <si>
    <t>Compras diarias</t>
  </si>
  <si>
    <t>Días CXP</t>
  </si>
  <si>
    <t>Ciclo de conversión de efectivo</t>
  </si>
  <si>
    <t>Razón deuda/EBITDA</t>
  </si>
  <si>
    <t>Evalue la liquidez y solvencia de la compañía durante el 2015, respondiendo a las siguientes preguntas.</t>
  </si>
  <si>
    <t>¿Cree que la compañía incumplirá con sus compromisos de corto plazo?</t>
  </si>
  <si>
    <t>¿Cree que la compañía incumplirá con sus compromisos de largo plazo?</t>
  </si>
  <si>
    <t>%</t>
  </si>
  <si>
    <t>Crec.</t>
  </si>
  <si>
    <t>COMPLEMENTAMOS ANÁLISIS DE LIQUIDEZ CON ADM. DE ACTIVOS DE CP</t>
  </si>
  <si>
    <t>Esta razón es suficiente, inventarios son líquidos  (rotación es de 8x)</t>
  </si>
  <si>
    <t>Inv. Inicial</t>
  </si>
  <si>
    <t>(+) Compras</t>
  </si>
  <si>
    <t>(-) COGS</t>
  </si>
  <si>
    <t>Inv. Final</t>
  </si>
  <si>
    <t>?</t>
  </si>
  <si>
    <t>Utilizamos el promedio de año inicial y final para tener un mejor dato de referencia de saldo promedio del año.</t>
  </si>
  <si>
    <t>Utilizamos promedio de año inicial y final para tener un mejor dato de referencia de saldo promedio del año.</t>
  </si>
  <si>
    <t>Inventarios tienen alto crecimiento de un año a otro, utilizamos promedio de año inicial y final para tener un mejor dato de referencia de saldo promedio del año.</t>
  </si>
  <si>
    <t>Días Inv + Días CXC (DPC)</t>
  </si>
  <si>
    <t>Días CXP (DPP)</t>
  </si>
  <si>
    <t>Respuesta</t>
  </si>
  <si>
    <t>No</t>
  </si>
  <si>
    <t>A pesar de tener una razón circulante cerca de 1,  no creo que la compañía incumpla con sus obligaciones de corto plazo porque su ciclo de efectivo es negativo (ellos obtienen su efectivo de las ventas incluso antes de tener que pagar).</t>
  </si>
  <si>
    <t>Razones utilizadas (  circulante, DPC, DI, DPP, ciclo de efectivo)</t>
  </si>
  <si>
    <t>Flujo Operativo</t>
  </si>
  <si>
    <t>*</t>
  </si>
  <si>
    <t>Financial Leases</t>
  </si>
  <si>
    <t>Razón Deuda</t>
  </si>
  <si>
    <t>Capital Leases</t>
  </si>
  <si>
    <t>Por falta de mayor información para diferenciar a que se refieren con capital lease, para ser conservador, se toma todos los leases como parte de la deuda para el calculo de la razón</t>
  </si>
  <si>
    <t>No hay información suficiente para definir monto de gastos registrados en el año por leasings</t>
  </si>
  <si>
    <t>Tasa de impuesto de 2015 parece no ser representativa</t>
  </si>
  <si>
    <t>Su total de activos financiados por terceros es alto, pero su % de deuda/capital es balanceado.  Su razón de cobertura de intereses indica que a pesar de que se de algún imprevisto que afecte sus resultados, tienen holgura para realizar el pago.</t>
  </si>
  <si>
    <t>Razones utilizadas (endeudamiento, razón deuda, cobertura de intereses)</t>
  </si>
  <si>
    <t>Precio x unidad</t>
  </si>
  <si>
    <t>Costo de ventas x unidad</t>
  </si>
  <si>
    <t xml:space="preserve">En 2013, el desempeño del área comercial no es óptimo.  Las ventas en US$ crecen, pero en realidad  no se logra trasladar todo el incremento en costos.  </t>
  </si>
  <si>
    <t>Los costos x unidad crecen 50%, pero el precio x unidad solo se incrementa 15%, lo que origina una caída en el margen bruto de 12%.</t>
  </si>
  <si>
    <t xml:space="preserve">En el 2014, parece que el desempeño es mejor que en 2013, pues los costos bajan y los precios bajan en menor proporción, manteniendo un crecimiento en volumen de 5%. </t>
  </si>
  <si>
    <t>El margen bruto se eleva en 6% como resultado de esto.</t>
  </si>
  <si>
    <t>a y b incrementarían el ROA, pues representarían un incremento a la utilidad neta.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</si>
</sst>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1"/>
      <color theme="1"/>
      <name val="Calibri"/>
      <family val="2"/>
      <scheme val="minor"/>
    </font>
    <font>
      <b/>
      <sz val="10"/>
      <color theme="1"/>
      <name val="Century Gothic"/>
      <family val="2"/>
    </font>
    <font>
      <sz val="10"/>
      <color theme="1"/>
      <name val="Century Gothic"/>
      <family val="2"/>
    </font>
    <font>
      <sz val="9"/>
      <color indexed="81"/>
      <name val="Tahoma"/>
      <family val="2"/>
    </font>
    <font>
      <b/>
      <sz val="9"/>
      <color indexed="81"/>
      <name val="Tahoma"/>
      <family val="2"/>
    </font>
    <font>
      <sz val="11"/>
      <color theme="1"/>
      <name val="Century Gothic"/>
      <family val="2"/>
    </font>
    <font>
      <b/>
      <sz val="11"/>
      <color theme="1"/>
      <name val="Century Gothic"/>
      <family val="2"/>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0" fontId="2" fillId="0" borderId="0" xfId="0" applyFont="1" applyAlignment="1">
      <alignment horizontal="center"/>
    </xf>
    <xf numFmtId="0" fontId="1" fillId="0" borderId="0" xfId="0" applyFont="1" applyAlignment="1">
      <alignment horizontal="center"/>
    </xf>
    <xf numFmtId="3" fontId="2" fillId="0" borderId="0" xfId="0" applyNumberFormat="1" applyFont="1"/>
    <xf numFmtId="3" fontId="2" fillId="0" borderId="0" xfId="0" applyNumberFormat="1" applyFont="1" applyAlignment="1">
      <alignment horizontal="center"/>
    </xf>
    <xf numFmtId="3" fontId="1" fillId="0" borderId="0" xfId="0" applyNumberFormat="1" applyFont="1"/>
    <xf numFmtId="4" fontId="2" fillId="0" borderId="0" xfId="0" applyNumberFormat="1" applyFont="1"/>
    <xf numFmtId="9" fontId="2" fillId="0" borderId="0" xfId="0" applyNumberFormat="1" applyFont="1"/>
    <xf numFmtId="9" fontId="1" fillId="0" borderId="0" xfId="0" applyNumberFormat="1" applyFont="1"/>
    <xf numFmtId="0" fontId="2" fillId="0" borderId="0" xfId="0" applyFont="1" applyAlignment="1">
      <alignment horizontal="right"/>
    </xf>
    <xf numFmtId="0" fontId="0" fillId="0" borderId="0" xfId="0" applyAlignment="1">
      <alignment horizontal="left" vertical="center" indent="10"/>
    </xf>
    <xf numFmtId="0" fontId="1" fillId="0" borderId="0" xfId="0" applyFont="1" applyBorder="1" applyAlignment="1">
      <alignment horizontal="center"/>
    </xf>
    <xf numFmtId="0" fontId="2" fillId="0" borderId="1" xfId="0" applyFont="1" applyBorder="1"/>
    <xf numFmtId="0" fontId="2" fillId="0" borderId="2" xfId="0" applyFont="1" applyBorder="1"/>
    <xf numFmtId="2" fontId="2" fillId="0" borderId="2" xfId="0" applyNumberFormat="1" applyFont="1" applyBorder="1" applyAlignment="1">
      <alignment horizontal="center"/>
    </xf>
    <xf numFmtId="2" fontId="2" fillId="0" borderId="3" xfId="0" applyNumberFormat="1" applyFont="1" applyBorder="1" applyAlignment="1">
      <alignment horizontal="center"/>
    </xf>
    <xf numFmtId="0" fontId="2" fillId="0" borderId="4" xfId="0" applyFont="1" applyBorder="1"/>
    <xf numFmtId="0" fontId="2" fillId="0" borderId="0" xfId="0" applyFont="1" applyBorder="1"/>
    <xf numFmtId="2" fontId="2" fillId="0" borderId="0" xfId="0" applyNumberFormat="1" applyFont="1" applyBorder="1" applyAlignment="1">
      <alignment horizontal="center"/>
    </xf>
    <xf numFmtId="2" fontId="2" fillId="0" borderId="5" xfId="0" applyNumberFormat="1" applyFont="1" applyBorder="1" applyAlignment="1">
      <alignment horizontal="center"/>
    </xf>
    <xf numFmtId="0" fontId="2" fillId="0" borderId="6" xfId="0" applyFont="1" applyBorder="1"/>
    <xf numFmtId="0" fontId="2" fillId="0" borderId="7" xfId="0" applyFont="1" applyBorder="1"/>
    <xf numFmtId="0" fontId="2" fillId="0" borderId="7" xfId="0" applyFont="1" applyBorder="1" applyAlignment="1">
      <alignment horizontal="center"/>
    </xf>
    <xf numFmtId="0" fontId="2" fillId="0" borderId="8" xfId="0" applyFont="1" applyBorder="1" applyAlignment="1">
      <alignment horizontal="center"/>
    </xf>
    <xf numFmtId="3" fontId="2" fillId="0" borderId="0" xfId="0" applyNumberFormat="1" applyFont="1" applyBorder="1" applyAlignment="1">
      <alignment horizontal="center"/>
    </xf>
    <xf numFmtId="3" fontId="2" fillId="0" borderId="5" xfId="0" applyNumberFormat="1" applyFont="1" applyBorder="1" applyAlignment="1">
      <alignment horizontal="center"/>
    </xf>
    <xf numFmtId="3" fontId="2" fillId="0" borderId="7" xfId="0" applyNumberFormat="1" applyFont="1" applyBorder="1" applyAlignment="1">
      <alignment horizontal="center"/>
    </xf>
    <xf numFmtId="3" fontId="2" fillId="0" borderId="8" xfId="0" applyNumberFormat="1" applyFont="1" applyBorder="1" applyAlignment="1">
      <alignment horizontal="center"/>
    </xf>
    <xf numFmtId="0" fontId="2" fillId="0" borderId="0" xfId="0" applyFont="1" applyAlignment="1">
      <alignment horizontal="left" vertical="center"/>
    </xf>
    <xf numFmtId="0" fontId="2" fillId="0" borderId="0" xfId="0" applyFont="1" applyAlignment="1">
      <alignment horizontal="left" vertical="center" indent="3"/>
    </xf>
    <xf numFmtId="0" fontId="1" fillId="0" borderId="0" xfId="0" applyFont="1" applyAlignment="1">
      <alignment horizontal="left" vertical="center"/>
    </xf>
    <xf numFmtId="0" fontId="1" fillId="0" borderId="0" xfId="0" applyFont="1" applyAlignment="1">
      <alignment horizontal="left" vertical="center" indent="3"/>
    </xf>
    <xf numFmtId="0" fontId="2" fillId="0" borderId="0" xfId="0" quotePrefix="1" applyFont="1"/>
    <xf numFmtId="0" fontId="2" fillId="0" borderId="0" xfId="0" applyFont="1" applyBorder="1" applyAlignment="1">
      <alignment horizontal="center"/>
    </xf>
    <xf numFmtId="0" fontId="2" fillId="0" borderId="5" xfId="0" applyFont="1" applyBorder="1" applyAlignment="1">
      <alignment horizontal="center"/>
    </xf>
    <xf numFmtId="9" fontId="2" fillId="0" borderId="7" xfId="0" applyNumberFormat="1" applyFont="1" applyBorder="1" applyAlignment="1">
      <alignment horizontal="center"/>
    </xf>
    <xf numFmtId="164" fontId="2" fillId="0" borderId="2" xfId="0" applyNumberFormat="1" applyFont="1" applyBorder="1" applyAlignment="1">
      <alignment horizontal="center"/>
    </xf>
    <xf numFmtId="164" fontId="2" fillId="0" borderId="3" xfId="0" applyNumberFormat="1" applyFont="1" applyBorder="1" applyAlignment="1">
      <alignment horizontal="center"/>
    </xf>
    <xf numFmtId="9" fontId="2" fillId="0" borderId="8" xfId="0" applyNumberFormat="1" applyFont="1" applyBorder="1" applyAlignment="1">
      <alignment horizontal="center"/>
    </xf>
    <xf numFmtId="9" fontId="2" fillId="0" borderId="0" xfId="0" applyNumberFormat="1" applyFont="1" applyAlignment="1">
      <alignment horizontal="center"/>
    </xf>
    <xf numFmtId="0" fontId="5" fillId="0" borderId="0" xfId="0" applyFont="1"/>
    <xf numFmtId="2" fontId="1" fillId="0" borderId="0" xfId="0" applyNumberFormat="1" applyFont="1" applyAlignment="1">
      <alignment horizontal="center"/>
    </xf>
    <xf numFmtId="0" fontId="5" fillId="0" borderId="0" xfId="0" applyFont="1" applyAlignment="1">
      <alignment horizontal="center"/>
    </xf>
    <xf numFmtId="0" fontId="6" fillId="0" borderId="0" xfId="0" applyFont="1"/>
    <xf numFmtId="2" fontId="5" fillId="0" borderId="0" xfId="0" applyNumberFormat="1" applyFont="1"/>
    <xf numFmtId="4" fontId="2" fillId="0" borderId="0" xfId="0" applyNumberFormat="1" applyFont="1" applyAlignment="1">
      <alignment horizontal="center"/>
    </xf>
    <xf numFmtId="3" fontId="5" fillId="0" borderId="0" xfId="0" applyNumberFormat="1" applyFont="1"/>
    <xf numFmtId="9" fontId="5" fillId="0" borderId="0" xfId="0" applyNumberFormat="1" applyFont="1"/>
    <xf numFmtId="0" fontId="2" fillId="0" borderId="0" xfId="0" applyFont="1" applyFill="1"/>
    <xf numFmtId="9" fontId="2" fillId="0" borderId="0" xfId="0" applyNumberFormat="1" applyFont="1" applyFill="1"/>
    <xf numFmtId="4" fontId="1" fillId="0" borderId="0" xfId="0" applyNumberFormat="1" applyFont="1" applyAlignment="1">
      <alignment horizontal="center"/>
    </xf>
    <xf numFmtId="165" fontId="1" fillId="0" borderId="0" xfId="0" applyNumberFormat="1" applyFont="1" applyAlignment="1">
      <alignment horizontal="center"/>
    </xf>
    <xf numFmtId="165" fontId="2" fillId="0" borderId="0" xfId="0" applyNumberFormat="1" applyFont="1" applyAlignment="1">
      <alignment horizontal="center"/>
    </xf>
    <xf numFmtId="3" fontId="6" fillId="0" borderId="0" xfId="0" applyNumberFormat="1" applyFont="1" applyAlignment="1">
      <alignment horizontal="center"/>
    </xf>
    <xf numFmtId="9" fontId="1"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Ciclo de efectivo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GT"/>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spPr>
            <a:solidFill>
              <a:schemeClr val="accent1"/>
            </a:solidFill>
            <a:ln>
              <a:noFill/>
            </a:ln>
            <a:effectLst/>
            <a:sp3d/>
          </c:spPr>
          <c:invertIfNegative val="0"/>
          <c:cat>
            <c:strRef>
              <c:f>'C1 (sol)'!$B$36:$B$37</c:f>
              <c:strCache>
                <c:ptCount val="2"/>
                <c:pt idx="0">
                  <c:v>Días CXP (DPP)</c:v>
                </c:pt>
                <c:pt idx="1">
                  <c:v>Días Inv + Días CXC (DPC)</c:v>
                </c:pt>
              </c:strCache>
            </c:strRef>
          </c:cat>
          <c:val>
            <c:numRef>
              <c:f>'C1 (sol)'!$C$36:$C$37</c:f>
              <c:numCache>
                <c:formatCode>General</c:formatCode>
                <c:ptCount val="2"/>
                <c:pt idx="0">
                  <c:v>90.143080372307907</c:v>
                </c:pt>
                <c:pt idx="1">
                  <c:v>46.58078742794936</c:v>
                </c:pt>
              </c:numCache>
            </c:numRef>
          </c:val>
          <c:extLst>
            <c:ext xmlns:c16="http://schemas.microsoft.com/office/drawing/2014/chart" uri="{C3380CC4-5D6E-409C-BE32-E72D297353CC}">
              <c16:uniqueId val="{00000000-229F-4044-B0CE-70ED0A33F60C}"/>
            </c:ext>
          </c:extLst>
        </c:ser>
        <c:ser>
          <c:idx val="1"/>
          <c:order val="1"/>
          <c:spPr>
            <a:solidFill>
              <a:schemeClr val="accent2"/>
            </a:solidFill>
            <a:ln>
              <a:noFill/>
            </a:ln>
            <a:effectLst/>
            <a:sp3d/>
          </c:spPr>
          <c:invertIfNegative val="0"/>
          <c:cat>
            <c:strRef>
              <c:f>'C1 (sol)'!$B$36:$B$37</c:f>
              <c:strCache>
                <c:ptCount val="2"/>
                <c:pt idx="0">
                  <c:v>Días CXP (DPP)</c:v>
                </c:pt>
                <c:pt idx="1">
                  <c:v>Días Inv + Días CXC (DPC)</c:v>
                </c:pt>
              </c:strCache>
            </c:strRef>
          </c:cat>
          <c:val>
            <c:numRef>
              <c:f>'C1 (sol)'!$D$36:$D$37</c:f>
              <c:numCache>
                <c:formatCode>General</c:formatCode>
                <c:ptCount val="2"/>
                <c:pt idx="1">
                  <c:v>20.24465917799002</c:v>
                </c:pt>
              </c:numCache>
            </c:numRef>
          </c:val>
          <c:extLst>
            <c:ext xmlns:c16="http://schemas.microsoft.com/office/drawing/2014/chart" uri="{C3380CC4-5D6E-409C-BE32-E72D297353CC}">
              <c16:uniqueId val="{00000001-229F-4044-B0CE-70ED0A33F60C}"/>
            </c:ext>
          </c:extLst>
        </c:ser>
        <c:dLbls>
          <c:showLegendKey val="0"/>
          <c:showVal val="0"/>
          <c:showCatName val="0"/>
          <c:showSerName val="0"/>
          <c:showPercent val="0"/>
          <c:showBubbleSize val="0"/>
        </c:dLbls>
        <c:gapWidth val="150"/>
        <c:shape val="box"/>
        <c:axId val="220829544"/>
        <c:axId val="220830720"/>
        <c:axId val="0"/>
      </c:bar3DChart>
      <c:catAx>
        <c:axId val="220829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GT"/>
          </a:p>
        </c:txPr>
        <c:crossAx val="220830720"/>
        <c:crosses val="autoZero"/>
        <c:auto val="1"/>
        <c:lblAlgn val="ctr"/>
        <c:lblOffset val="100"/>
        <c:noMultiLvlLbl val="0"/>
      </c:catAx>
      <c:valAx>
        <c:axId val="220830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GT"/>
          </a:p>
        </c:txPr>
        <c:crossAx val="220829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G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 Activos CP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GT"/>
        </a:p>
      </c:txPr>
    </c:title>
    <c:autoTitleDeleted val="0"/>
    <c:plotArea>
      <c:layout/>
      <c:barChart>
        <c:barDir val="col"/>
        <c:grouping val="clustered"/>
        <c:varyColors val="0"/>
        <c:ser>
          <c:idx val="0"/>
          <c:order val="0"/>
          <c:tx>
            <c:strRef>
              <c:f>[1]Ejercicio!$B$32:$C$32</c:f>
              <c:strCache>
                <c:ptCount val="1"/>
                <c:pt idx="0">
                  <c:v>Días de inventario 0</c:v>
                </c:pt>
              </c:strCache>
            </c:strRef>
          </c:tx>
          <c:spPr>
            <a:solidFill>
              <a:schemeClr val="accent1"/>
            </a:solidFill>
            <a:ln>
              <a:noFill/>
            </a:ln>
            <a:effectLst/>
          </c:spPr>
          <c:invertIfNegative val="0"/>
          <c:cat>
            <c:numRef>
              <c:f>[1]Ejercicio!$D$31:$G$31</c:f>
              <c:numCache>
                <c:formatCode>General</c:formatCode>
                <c:ptCount val="4"/>
                <c:pt idx="0">
                  <c:v>2014</c:v>
                </c:pt>
                <c:pt idx="1">
                  <c:v>2013</c:v>
                </c:pt>
                <c:pt idx="2">
                  <c:v>2012</c:v>
                </c:pt>
                <c:pt idx="3">
                  <c:v>2011</c:v>
                </c:pt>
              </c:numCache>
            </c:numRef>
          </c:cat>
          <c:val>
            <c:numRef>
              <c:f>[1]Ejercicio!$D$32:$G$32</c:f>
              <c:numCache>
                <c:formatCode>General</c:formatCode>
                <c:ptCount val="4"/>
                <c:pt idx="0">
                  <c:v>35.555555555555557</c:v>
                </c:pt>
                <c:pt idx="1">
                  <c:v>40.666666666666664</c:v>
                </c:pt>
                <c:pt idx="2">
                  <c:v>40.5</c:v>
                </c:pt>
                <c:pt idx="3">
                  <c:v>48.54545454545454</c:v>
                </c:pt>
              </c:numCache>
            </c:numRef>
          </c:val>
          <c:extLst>
            <c:ext xmlns:c16="http://schemas.microsoft.com/office/drawing/2014/chart" uri="{C3380CC4-5D6E-409C-BE32-E72D297353CC}">
              <c16:uniqueId val="{00000000-E8CD-411A-8D6C-79C4B94EE3CE}"/>
            </c:ext>
          </c:extLst>
        </c:ser>
        <c:ser>
          <c:idx val="1"/>
          <c:order val="1"/>
          <c:tx>
            <c:strRef>
              <c:f>[1]Ejercicio!$B$33:$C$33</c:f>
              <c:strCache>
                <c:ptCount val="1"/>
                <c:pt idx="0">
                  <c:v>Días promedio de cobro 0</c:v>
                </c:pt>
              </c:strCache>
            </c:strRef>
          </c:tx>
          <c:spPr>
            <a:solidFill>
              <a:schemeClr val="accent2"/>
            </a:solidFill>
            <a:ln>
              <a:noFill/>
            </a:ln>
            <a:effectLst/>
          </c:spPr>
          <c:invertIfNegative val="0"/>
          <c:cat>
            <c:numRef>
              <c:f>[1]Ejercicio!$D$31:$G$31</c:f>
              <c:numCache>
                <c:formatCode>General</c:formatCode>
                <c:ptCount val="4"/>
                <c:pt idx="0">
                  <c:v>2014</c:v>
                </c:pt>
                <c:pt idx="1">
                  <c:v>2013</c:v>
                </c:pt>
                <c:pt idx="2">
                  <c:v>2012</c:v>
                </c:pt>
                <c:pt idx="3">
                  <c:v>2011</c:v>
                </c:pt>
              </c:numCache>
            </c:numRef>
          </c:cat>
          <c:val>
            <c:numRef>
              <c:f>[1]Ejercicio!$D$33:$G$33</c:f>
              <c:numCache>
                <c:formatCode>General</c:formatCode>
                <c:ptCount val="4"/>
                <c:pt idx="0">
                  <c:v>45.037037037037038</c:v>
                </c:pt>
                <c:pt idx="1">
                  <c:v>58.4</c:v>
                </c:pt>
                <c:pt idx="2">
                  <c:v>51.300000000000004</c:v>
                </c:pt>
                <c:pt idx="3">
                  <c:v>76.8</c:v>
                </c:pt>
              </c:numCache>
            </c:numRef>
          </c:val>
          <c:extLst>
            <c:ext xmlns:c16="http://schemas.microsoft.com/office/drawing/2014/chart" uri="{C3380CC4-5D6E-409C-BE32-E72D297353CC}">
              <c16:uniqueId val="{00000001-E8CD-411A-8D6C-79C4B94EE3CE}"/>
            </c:ext>
          </c:extLst>
        </c:ser>
        <c:dLbls>
          <c:showLegendKey val="0"/>
          <c:showVal val="0"/>
          <c:showCatName val="0"/>
          <c:showSerName val="0"/>
          <c:showPercent val="0"/>
          <c:showBubbleSize val="0"/>
        </c:dLbls>
        <c:gapWidth val="219"/>
        <c:overlap val="-27"/>
        <c:axId val="290005416"/>
        <c:axId val="290003848"/>
      </c:barChart>
      <c:catAx>
        <c:axId val="29000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GT"/>
          </a:p>
        </c:txPr>
        <c:crossAx val="290003848"/>
        <c:crosses val="autoZero"/>
        <c:auto val="1"/>
        <c:lblAlgn val="ctr"/>
        <c:lblOffset val="100"/>
        <c:noMultiLvlLbl val="0"/>
      </c:catAx>
      <c:valAx>
        <c:axId val="290003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GT"/>
          </a:p>
        </c:txPr>
        <c:crossAx val="290005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G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G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 Activos LP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GT"/>
        </a:p>
      </c:txPr>
    </c:title>
    <c:autoTitleDeleted val="0"/>
    <c:plotArea>
      <c:layout/>
      <c:barChart>
        <c:barDir val="col"/>
        <c:grouping val="clustered"/>
        <c:varyColors val="0"/>
        <c:ser>
          <c:idx val="0"/>
          <c:order val="0"/>
          <c:tx>
            <c:strRef>
              <c:f>[1]Ejercicio!$B$34:$C$34</c:f>
              <c:strCache>
                <c:ptCount val="1"/>
                <c:pt idx="0">
                  <c:v>Rotación de activos totales 0</c:v>
                </c:pt>
              </c:strCache>
            </c:strRef>
          </c:tx>
          <c:spPr>
            <a:solidFill>
              <a:schemeClr val="accent1"/>
            </a:solidFill>
            <a:ln>
              <a:noFill/>
            </a:ln>
            <a:effectLst/>
          </c:spPr>
          <c:invertIfNegative val="0"/>
          <c:cat>
            <c:numRef>
              <c:f>[1]Ejercicio!$D$31:$G$31</c:f>
              <c:numCache>
                <c:formatCode>General</c:formatCode>
                <c:ptCount val="4"/>
                <c:pt idx="0">
                  <c:v>2014</c:v>
                </c:pt>
                <c:pt idx="1">
                  <c:v>2013</c:v>
                </c:pt>
                <c:pt idx="2">
                  <c:v>2012</c:v>
                </c:pt>
                <c:pt idx="3">
                  <c:v>2011</c:v>
                </c:pt>
              </c:numCache>
            </c:numRef>
          </c:cat>
          <c:val>
            <c:numRef>
              <c:f>[1]Ejercicio!$D$34:$G$34</c:f>
              <c:numCache>
                <c:formatCode>General</c:formatCode>
                <c:ptCount val="4"/>
                <c:pt idx="0">
                  <c:v>0.36</c:v>
                </c:pt>
                <c:pt idx="1">
                  <c:v>0.28000000000000003</c:v>
                </c:pt>
                <c:pt idx="2">
                  <c:v>0.23</c:v>
                </c:pt>
                <c:pt idx="3">
                  <c:v>0.22</c:v>
                </c:pt>
              </c:numCache>
            </c:numRef>
          </c:val>
          <c:extLst>
            <c:ext xmlns:c16="http://schemas.microsoft.com/office/drawing/2014/chart" uri="{C3380CC4-5D6E-409C-BE32-E72D297353CC}">
              <c16:uniqueId val="{00000000-E833-4E8D-B62A-E38B68263378}"/>
            </c:ext>
          </c:extLst>
        </c:ser>
        <c:dLbls>
          <c:showLegendKey val="0"/>
          <c:showVal val="0"/>
          <c:showCatName val="0"/>
          <c:showSerName val="0"/>
          <c:showPercent val="0"/>
          <c:showBubbleSize val="0"/>
        </c:dLbls>
        <c:gapWidth val="219"/>
        <c:overlap val="-27"/>
        <c:axId val="530888264"/>
        <c:axId val="530890224"/>
      </c:barChart>
      <c:catAx>
        <c:axId val="530888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GT"/>
          </a:p>
        </c:txPr>
        <c:crossAx val="530890224"/>
        <c:crosses val="autoZero"/>
        <c:auto val="1"/>
        <c:lblAlgn val="ctr"/>
        <c:lblOffset val="100"/>
        <c:noMultiLvlLbl val="0"/>
      </c:catAx>
      <c:valAx>
        <c:axId val="53089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GT"/>
          </a:p>
        </c:txPr>
        <c:crossAx val="530888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G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G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539750</xdr:colOff>
      <xdr:row>34</xdr:row>
      <xdr:rowOff>115357</xdr:rowOff>
    </xdr:from>
    <xdr:to>
      <xdr:col>11</xdr:col>
      <xdr:colOff>211667</xdr:colOff>
      <xdr:row>41</xdr:row>
      <xdr:rowOff>116416</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131882</xdr:colOff>
      <xdr:row>22</xdr:row>
      <xdr:rowOff>139212</xdr:rowOff>
    </xdr:from>
    <xdr:to>
      <xdr:col>5</xdr:col>
      <xdr:colOff>571499</xdr:colOff>
      <xdr:row>31</xdr:row>
      <xdr:rowOff>139212</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434486</xdr:colOff>
      <xdr:row>22</xdr:row>
      <xdr:rowOff>134816</xdr:rowOff>
    </xdr:from>
    <xdr:to>
      <xdr:col>12</xdr:col>
      <xdr:colOff>213214</xdr:colOff>
      <xdr:row>31</xdr:row>
      <xdr:rowOff>134816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Documents/Gaby/UFM/Financiera%20I/Financiera%20I%202015/Presentaciones%20y%20Ejercicios/An&#225;lisis%20Financiero/Sesi&#243;n%2011%20-%20An&#225;lisis%20Financiero%20ER%20(Soluci&#243;n%20a%20Ejercicio%20No.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rcicio"/>
    </sheetNames>
    <sheetDataSet>
      <sheetData sheetId="0">
        <row r="31">
          <cell r="D31">
            <v>2014</v>
          </cell>
          <cell r="E31">
            <v>2013</v>
          </cell>
          <cell r="F31">
            <v>2012</v>
          </cell>
          <cell r="G31">
            <v>2011</v>
          </cell>
        </row>
        <row r="32">
          <cell r="B32" t="str">
            <v>Días de inventario</v>
          </cell>
          <cell r="C32">
            <v>0</v>
          </cell>
          <cell r="D32">
            <v>35.555555555555557</v>
          </cell>
          <cell r="E32">
            <v>40.666666666666664</v>
          </cell>
          <cell r="F32">
            <v>40.5</v>
          </cell>
          <cell r="G32">
            <v>48.54545454545454</v>
          </cell>
        </row>
        <row r="33">
          <cell r="B33" t="str">
            <v>Días promedio de cobro</v>
          </cell>
          <cell r="C33">
            <v>0</v>
          </cell>
          <cell r="D33">
            <v>45.037037037037038</v>
          </cell>
          <cell r="E33">
            <v>58.4</v>
          </cell>
          <cell r="F33">
            <v>51.300000000000004</v>
          </cell>
          <cell r="G33">
            <v>76.8</v>
          </cell>
        </row>
        <row r="34">
          <cell r="B34" t="str">
            <v>Rotación de activos totales</v>
          </cell>
          <cell r="C34">
            <v>0</v>
          </cell>
          <cell r="D34">
            <v>0.36</v>
          </cell>
          <cell r="E34">
            <v>0.28000000000000003</v>
          </cell>
          <cell r="F34">
            <v>0.23</v>
          </cell>
          <cell r="G34">
            <v>0.22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7"/>
  <sheetViews>
    <sheetView workbookViewId="0">
      <selection activeCell="B100" sqref="B100"/>
    </sheetView>
  </sheetViews>
  <sheetFormatPr baseColWidth="10" defaultColWidth="9.140625" defaultRowHeight="13.5" x14ac:dyDescent="0.25"/>
  <cols>
    <col min="1" max="1" width="9.140625" style="2"/>
    <col min="2" max="2" width="66.5703125" style="2" bestFit="1" customWidth="1"/>
    <col min="3" max="4" width="8.7109375" style="2" customWidth="1"/>
    <col min="5" max="7" width="9.140625" style="2"/>
    <col min="8" max="8" width="35.85546875" style="2" bestFit="1" customWidth="1"/>
    <col min="9" max="10" width="9.85546875" style="2" customWidth="1"/>
    <col min="11" max="16384" width="9.140625" style="2"/>
  </cols>
  <sheetData>
    <row r="1" spans="1:15" x14ac:dyDescent="0.25">
      <c r="A1" s="2" t="s">
        <v>58</v>
      </c>
    </row>
    <row r="2" spans="1:15" x14ac:dyDescent="0.25">
      <c r="A2" s="2" t="s">
        <v>168</v>
      </c>
    </row>
    <row r="3" spans="1:15" x14ac:dyDescent="0.25">
      <c r="A3" s="2">
        <v>1</v>
      </c>
      <c r="B3" s="2" t="s">
        <v>169</v>
      </c>
    </row>
    <row r="4" spans="1:15" x14ac:dyDescent="0.25">
      <c r="A4" s="2">
        <v>2</v>
      </c>
      <c r="B4" s="2" t="s">
        <v>71</v>
      </c>
    </row>
    <row r="5" spans="1:15" x14ac:dyDescent="0.25">
      <c r="A5" s="2">
        <v>3</v>
      </c>
      <c r="B5" s="2" t="s">
        <v>170</v>
      </c>
    </row>
    <row r="6" spans="1:15" x14ac:dyDescent="0.25">
      <c r="A6" s="2">
        <v>4</v>
      </c>
      <c r="B6" s="2" t="s">
        <v>72</v>
      </c>
    </row>
    <row r="11" spans="1:15" x14ac:dyDescent="0.25">
      <c r="A11" s="1" t="s">
        <v>0</v>
      </c>
    </row>
    <row r="12" spans="1:15" x14ac:dyDescent="0.25">
      <c r="A12" s="1" t="s">
        <v>1</v>
      </c>
    </row>
    <row r="13" spans="1:15" x14ac:dyDescent="0.25">
      <c r="A13" s="1" t="s">
        <v>2</v>
      </c>
    </row>
    <row r="14" spans="1:15" x14ac:dyDescent="0.25">
      <c r="C14" s="3" t="s">
        <v>172</v>
      </c>
      <c r="D14" s="3" t="s">
        <v>171</v>
      </c>
      <c r="E14" s="4">
        <v>2015</v>
      </c>
      <c r="F14" s="4">
        <v>2014</v>
      </c>
      <c r="I14" s="3" t="s">
        <v>172</v>
      </c>
      <c r="J14" s="3" t="s">
        <v>171</v>
      </c>
      <c r="K14" s="4">
        <v>2015</v>
      </c>
      <c r="L14" s="4">
        <v>2014</v>
      </c>
      <c r="M14" s="4"/>
    </row>
    <row r="15" spans="1:15" x14ac:dyDescent="0.25">
      <c r="B15" s="1" t="s">
        <v>3</v>
      </c>
      <c r="C15" s="1"/>
      <c r="D15" s="1"/>
      <c r="E15" s="5"/>
      <c r="F15" s="5"/>
      <c r="H15" s="1" t="s">
        <v>4</v>
      </c>
      <c r="I15" s="1"/>
      <c r="J15" s="1"/>
      <c r="O15" s="5"/>
    </row>
    <row r="16" spans="1:15" x14ac:dyDescent="0.25">
      <c r="B16" s="2" t="s">
        <v>5</v>
      </c>
      <c r="C16" s="9">
        <f>E16/F16-1</f>
        <v>0.23424508976985181</v>
      </c>
      <c r="D16" s="9">
        <f>E16/$E$28</f>
        <v>0.15651549416294847</v>
      </c>
      <c r="E16" s="5">
        <v>10243</v>
      </c>
      <c r="F16" s="5">
        <v>8299</v>
      </c>
      <c r="G16" s="5"/>
      <c r="H16" s="50" t="s">
        <v>6</v>
      </c>
      <c r="I16" s="9">
        <f>K16/L16-1</f>
        <v>0.23926119448326144</v>
      </c>
      <c r="J16" s="51">
        <f>K16/$E$28</f>
        <v>0.31167104700201698</v>
      </c>
      <c r="K16" s="5">
        <v>20397</v>
      </c>
      <c r="L16" s="5">
        <v>16459</v>
      </c>
    </row>
    <row r="17" spans="2:12" x14ac:dyDescent="0.25">
      <c r="B17" s="2" t="s">
        <v>7</v>
      </c>
      <c r="C17" s="9">
        <f t="shared" ref="C17:C28" si="0">E17/F17-1</f>
        <v>0.14451176051318604</v>
      </c>
      <c r="D17" s="9">
        <f t="shared" ref="D17:D19" si="1">E17/$E$28</f>
        <v>9.8144978913269357E-2</v>
      </c>
      <c r="E17" s="5">
        <v>6423</v>
      </c>
      <c r="F17" s="5">
        <v>5612</v>
      </c>
      <c r="H17" s="50" t="s">
        <v>8</v>
      </c>
      <c r="I17" s="9">
        <f t="shared" ref="I17:I19" si="2">K17/L17-1</f>
        <v>5.8835525644947539E-2</v>
      </c>
      <c r="J17" s="51">
        <f t="shared" ref="J17:J33" si="3">K17/$E$28</f>
        <v>0.15867000794572458</v>
      </c>
      <c r="K17" s="5">
        <v>10384</v>
      </c>
      <c r="L17" s="5">
        <v>9807</v>
      </c>
    </row>
    <row r="18" spans="2:12" x14ac:dyDescent="0.25">
      <c r="B18" s="2" t="s">
        <v>9</v>
      </c>
      <c r="C18" s="9">
        <f t="shared" si="0"/>
        <v>0.37040923399790127</v>
      </c>
      <c r="D18" s="9">
        <f t="shared" si="1"/>
        <v>5.9867978729906485E-2</v>
      </c>
      <c r="E18" s="5">
        <v>3918</v>
      </c>
      <c r="F18" s="5">
        <v>2859</v>
      </c>
      <c r="H18" s="50" t="s">
        <v>10</v>
      </c>
      <c r="I18" s="9">
        <f t="shared" si="2"/>
        <v>0.71036752605595166</v>
      </c>
      <c r="J18" s="51">
        <f t="shared" si="3"/>
        <v>4.7643787054581013E-2</v>
      </c>
      <c r="K18" s="5">
        <v>3118</v>
      </c>
      <c r="L18" s="5">
        <v>1823</v>
      </c>
    </row>
    <row r="19" spans="2:12" x14ac:dyDescent="0.25">
      <c r="B19" s="2" t="s">
        <v>11</v>
      </c>
      <c r="C19" s="9">
        <f t="shared" si="0"/>
        <v>9.1571065466785839E-2</v>
      </c>
      <c r="D19" s="9">
        <f t="shared" si="1"/>
        <v>0.24280300715115213</v>
      </c>
      <c r="E19" s="5">
        <v>15890</v>
      </c>
      <c r="F19" s="5">
        <v>14557</v>
      </c>
      <c r="H19" s="1" t="s">
        <v>12</v>
      </c>
      <c r="I19" s="10">
        <f t="shared" si="2"/>
        <v>0.20684253622414461</v>
      </c>
      <c r="J19" s="10">
        <f t="shared" si="3"/>
        <v>0.51798484200232264</v>
      </c>
      <c r="K19" s="7">
        <f>SUM(K16:K18)</f>
        <v>33899</v>
      </c>
      <c r="L19" s="7">
        <f>SUM(L16:L18)</f>
        <v>28089</v>
      </c>
    </row>
    <row r="20" spans="2:12" x14ac:dyDescent="0.25">
      <c r="B20" s="1" t="s">
        <v>13</v>
      </c>
      <c r="C20" s="10">
        <f t="shared" si="0"/>
        <v>0.1642991668528746</v>
      </c>
      <c r="D20" s="10">
        <f>E20/$E$28</f>
        <v>0.55733145895727643</v>
      </c>
      <c r="E20" s="7">
        <f>SUM(E16:E19)</f>
        <v>36474</v>
      </c>
      <c r="F20" s="7">
        <f>SUM(F16:F19)</f>
        <v>31327</v>
      </c>
      <c r="J20" s="9"/>
      <c r="K20" s="5"/>
      <c r="L20" s="5"/>
    </row>
    <row r="21" spans="2:12" x14ac:dyDescent="0.25">
      <c r="C21" s="9"/>
      <c r="H21" s="1" t="s">
        <v>14</v>
      </c>
      <c r="I21" s="1"/>
      <c r="J21" s="9"/>
      <c r="K21" s="5"/>
      <c r="L21" s="5"/>
    </row>
    <row r="22" spans="2:12" x14ac:dyDescent="0.25">
      <c r="B22" s="1" t="s">
        <v>15</v>
      </c>
      <c r="C22" s="9"/>
      <c r="D22" s="1"/>
      <c r="H22" s="2" t="s">
        <v>16</v>
      </c>
      <c r="I22" s="9">
        <f t="shared" ref="I22:I25" si="4">K22/L22-1</f>
        <v>-3.6297640653357721E-3</v>
      </c>
      <c r="J22" s="9">
        <f t="shared" si="3"/>
        <v>0.12583277305788154</v>
      </c>
      <c r="K22" s="5">
        <v>8235</v>
      </c>
      <c r="L22" s="5">
        <v>8265</v>
      </c>
    </row>
    <row r="23" spans="2:12" x14ac:dyDescent="0.25">
      <c r="B23" s="2" t="s">
        <v>17</v>
      </c>
      <c r="C23" s="9">
        <f t="shared" si="0"/>
        <v>0.2870866977073141</v>
      </c>
      <c r="D23" s="9">
        <f t="shared" ref="D23:D25" si="5">E23/$E$28</f>
        <v>0.33368987225719698</v>
      </c>
      <c r="E23" s="5">
        <v>21838</v>
      </c>
      <c r="F23" s="5">
        <v>16967</v>
      </c>
      <c r="H23" s="2" t="s">
        <v>18</v>
      </c>
      <c r="I23" s="9">
        <f t="shared" si="4"/>
        <v>0.33954116059379214</v>
      </c>
      <c r="J23" s="9">
        <f t="shared" si="3"/>
        <v>0.15167165821160075</v>
      </c>
      <c r="K23" s="5">
        <v>9926</v>
      </c>
      <c r="L23" s="5">
        <v>7410</v>
      </c>
    </row>
    <row r="24" spans="2:12" x14ac:dyDescent="0.25">
      <c r="B24" s="2" t="s">
        <v>19</v>
      </c>
      <c r="C24" s="9">
        <f t="shared" si="0"/>
        <v>0.13257005122024701</v>
      </c>
      <c r="D24" s="9">
        <f t="shared" si="5"/>
        <v>5.743842063443555E-2</v>
      </c>
      <c r="E24" s="5">
        <v>3759</v>
      </c>
      <c r="F24" s="5">
        <v>3319</v>
      </c>
      <c r="H24" s="1" t="s">
        <v>20</v>
      </c>
      <c r="I24" s="9">
        <f t="shared" si="4"/>
        <v>0.15859649122807018</v>
      </c>
      <c r="J24" s="9">
        <f t="shared" si="3"/>
        <v>0.27750443126948232</v>
      </c>
      <c r="K24" s="7">
        <f>SUM(K22:K23)</f>
        <v>18161</v>
      </c>
      <c r="L24" s="7">
        <f>SUM(L22:L23)</f>
        <v>15675</v>
      </c>
    </row>
    <row r="25" spans="2:12" x14ac:dyDescent="0.25">
      <c r="B25" s="2" t="s">
        <v>21</v>
      </c>
      <c r="C25" s="9">
        <f t="shared" si="0"/>
        <v>0.16632088520055333</v>
      </c>
      <c r="D25" s="9">
        <f t="shared" si="5"/>
        <v>5.1540248151091012E-2</v>
      </c>
      <c r="E25" s="5">
        <v>3373</v>
      </c>
      <c r="F25" s="5">
        <v>2892</v>
      </c>
      <c r="H25" s="1" t="s">
        <v>22</v>
      </c>
      <c r="I25" s="10">
        <f t="shared" si="4"/>
        <v>0.18956219723974033</v>
      </c>
      <c r="J25" s="10">
        <f t="shared" si="3"/>
        <v>0.79548927327180485</v>
      </c>
      <c r="K25" s="7">
        <f>K19+K24</f>
        <v>52060</v>
      </c>
      <c r="L25" s="7">
        <f>L19+L24</f>
        <v>43764</v>
      </c>
    </row>
    <row r="26" spans="2:12" x14ac:dyDescent="0.25">
      <c r="B26" s="1" t="s">
        <v>23</v>
      </c>
      <c r="C26" s="10">
        <f t="shared" si="0"/>
        <v>0.24989213909742003</v>
      </c>
      <c r="D26" s="10">
        <f>E26/$E$28</f>
        <v>0.44266854104272357</v>
      </c>
      <c r="E26" s="7">
        <f>SUM(E23:E25)</f>
        <v>28970</v>
      </c>
      <c r="F26" s="7">
        <f>SUM(F23:F25)</f>
        <v>23178</v>
      </c>
      <c r="H26" s="1" t="s">
        <v>24</v>
      </c>
      <c r="I26" s="1"/>
      <c r="J26" s="9"/>
      <c r="K26" s="5"/>
      <c r="L26" s="5"/>
    </row>
    <row r="27" spans="2:12" x14ac:dyDescent="0.25">
      <c r="C27" s="9"/>
      <c r="E27" s="5"/>
      <c r="F27" s="5"/>
      <c r="H27" s="2" t="s">
        <v>25</v>
      </c>
      <c r="I27" s="9">
        <f t="shared" ref="I27:I33" si="6">K27/L27-1</f>
        <v>0.20278276481149016</v>
      </c>
      <c r="J27" s="9">
        <f t="shared" si="3"/>
        <v>0.20473993032210744</v>
      </c>
      <c r="K27" s="5">
        <v>13399</v>
      </c>
      <c r="L27" s="5">
        <v>11140</v>
      </c>
    </row>
    <row r="28" spans="2:12" x14ac:dyDescent="0.25">
      <c r="B28" s="1" t="s">
        <v>26</v>
      </c>
      <c r="C28" s="10">
        <f t="shared" si="0"/>
        <v>0.20069718374461054</v>
      </c>
      <c r="D28" s="10">
        <f>E28/$E$28</f>
        <v>1</v>
      </c>
      <c r="E28" s="7">
        <f>SUM(E26,E20)</f>
        <v>65444</v>
      </c>
      <c r="F28" s="7">
        <f>SUM(F26,F20)</f>
        <v>54505</v>
      </c>
      <c r="H28" s="2" t="s">
        <v>27</v>
      </c>
      <c r="I28" s="9">
        <f t="shared" si="6"/>
        <v>0</v>
      </c>
      <c r="J28" s="9">
        <f t="shared" si="3"/>
        <v>-2.8069800134466107E-2</v>
      </c>
      <c r="K28" s="5">
        <v>-1837</v>
      </c>
      <c r="L28" s="5">
        <v>-1837</v>
      </c>
    </row>
    <row r="29" spans="2:12" x14ac:dyDescent="0.25">
      <c r="H29" s="2" t="s">
        <v>28</v>
      </c>
      <c r="I29" s="9">
        <f t="shared" si="6"/>
        <v>0.41487279843444225</v>
      </c>
      <c r="J29" s="9">
        <f t="shared" si="3"/>
        <v>-1.1047613226575393E-2</v>
      </c>
      <c r="K29" s="5">
        <v>-723</v>
      </c>
      <c r="L29" s="5">
        <v>-511</v>
      </c>
    </row>
    <row r="30" spans="2:12" x14ac:dyDescent="0.25">
      <c r="H30" s="2" t="s">
        <v>29</v>
      </c>
      <c r="I30" s="9">
        <f t="shared" si="6"/>
        <v>0.30579784504874286</v>
      </c>
      <c r="J30" s="9">
        <f t="shared" si="3"/>
        <v>3.8888209767129152E-2</v>
      </c>
      <c r="K30" s="5">
        <v>2545</v>
      </c>
      <c r="L30" s="5">
        <v>1949</v>
      </c>
    </row>
    <row r="31" spans="2:12" x14ac:dyDescent="0.25">
      <c r="H31" s="1" t="s">
        <v>24</v>
      </c>
      <c r="I31" s="10">
        <f t="shared" si="6"/>
        <v>0.24606647425751782</v>
      </c>
      <c r="J31" s="10">
        <f t="shared" si="3"/>
        <v>0.20451072672819509</v>
      </c>
      <c r="K31" s="7">
        <f>SUM(K27:K30)</f>
        <v>13384</v>
      </c>
      <c r="L31" s="7">
        <f>SUM(L27:L30)</f>
        <v>10741</v>
      </c>
    </row>
    <row r="32" spans="2:12" x14ac:dyDescent="0.25">
      <c r="J32" s="9"/>
      <c r="K32" s="5"/>
      <c r="L32" s="5"/>
    </row>
    <row r="33" spans="1:12" x14ac:dyDescent="0.25">
      <c r="H33" s="1" t="s">
        <v>30</v>
      </c>
      <c r="I33" s="10">
        <f t="shared" si="6"/>
        <v>0.20069718374461054</v>
      </c>
      <c r="J33" s="10">
        <f t="shared" si="3"/>
        <v>1</v>
      </c>
      <c r="K33" s="7">
        <f>SUM(K19,K24,K31)</f>
        <v>65444</v>
      </c>
      <c r="L33" s="7">
        <f>SUM(L19,L24,L31)</f>
        <v>54505</v>
      </c>
    </row>
    <row r="34" spans="1:12" x14ac:dyDescent="0.25">
      <c r="H34" s="1"/>
      <c r="I34" s="1"/>
      <c r="J34" s="1"/>
      <c r="K34" s="7"/>
      <c r="L34" s="7"/>
    </row>
    <row r="36" spans="1:12" x14ac:dyDescent="0.25">
      <c r="G36" s="2" t="s">
        <v>190</v>
      </c>
      <c r="H36" s="2" t="s">
        <v>191</v>
      </c>
      <c r="I36" s="2">
        <v>1736</v>
      </c>
    </row>
    <row r="37" spans="1:12" x14ac:dyDescent="0.25">
      <c r="H37" s="2" t="s">
        <v>193</v>
      </c>
      <c r="I37" s="2">
        <v>4212</v>
      </c>
    </row>
    <row r="38" spans="1:12" x14ac:dyDescent="0.25">
      <c r="A38" s="1" t="s">
        <v>31</v>
      </c>
    </row>
    <row r="39" spans="1:12" x14ac:dyDescent="0.25">
      <c r="A39" s="1" t="s">
        <v>32</v>
      </c>
      <c r="E39" s="4">
        <v>2015</v>
      </c>
      <c r="F39" s="4">
        <v>2014</v>
      </c>
    </row>
    <row r="42" spans="1:12" x14ac:dyDescent="0.25">
      <c r="B42" s="2" t="s">
        <v>33</v>
      </c>
      <c r="C42" s="9">
        <f>E42/F42-1</f>
        <v>0.131107305936073</v>
      </c>
      <c r="D42" s="9">
        <f>E42/$E$44</f>
        <v>0.7407808907911706</v>
      </c>
      <c r="E42" s="5">
        <v>79268</v>
      </c>
      <c r="F42" s="5">
        <v>70080</v>
      </c>
    </row>
    <row r="43" spans="1:12" x14ac:dyDescent="0.25">
      <c r="B43" s="2" t="s">
        <v>34</v>
      </c>
      <c r="C43" s="9">
        <f>E43/F43-1</f>
        <v>0.46699809604400255</v>
      </c>
      <c r="D43" s="9">
        <f>E43/$E$44</f>
        <v>0.2592191092088294</v>
      </c>
      <c r="E43" s="5">
        <v>27738</v>
      </c>
      <c r="F43" s="5">
        <v>18908</v>
      </c>
    </row>
    <row r="44" spans="1:12" x14ac:dyDescent="0.25">
      <c r="B44" s="1" t="s">
        <v>35</v>
      </c>
      <c r="C44" s="10">
        <f>E44/F44-1</f>
        <v>0.20247673843664304</v>
      </c>
      <c r="D44" s="10">
        <f>E44/$E$44</f>
        <v>1</v>
      </c>
      <c r="E44" s="7">
        <f>SUM(E42:E43)</f>
        <v>107006</v>
      </c>
      <c r="F44" s="7">
        <f>SUM(F42:F43)</f>
        <v>88988</v>
      </c>
    </row>
    <row r="45" spans="1:12" x14ac:dyDescent="0.25">
      <c r="E45" s="5"/>
      <c r="F45" s="5"/>
    </row>
    <row r="46" spans="1:12" x14ac:dyDescent="0.25">
      <c r="B46" s="1" t="s">
        <v>36</v>
      </c>
      <c r="C46" s="1"/>
      <c r="D46" s="1"/>
      <c r="E46" s="5"/>
      <c r="F46" s="5"/>
    </row>
    <row r="47" spans="1:12" x14ac:dyDescent="0.25">
      <c r="B47" s="2" t="s">
        <v>37</v>
      </c>
      <c r="C47" s="9">
        <f t="shared" ref="C47:C65" si="7">E47/F47-1</f>
        <v>0.14181221315655268</v>
      </c>
      <c r="D47" s="9">
        <f t="shared" ref="D47:D52" si="8">E47/$E$44</f>
        <v>0.66959796646916991</v>
      </c>
      <c r="E47" s="5">
        <v>71651</v>
      </c>
      <c r="F47" s="5">
        <v>62752</v>
      </c>
    </row>
    <row r="48" spans="1:12" x14ac:dyDescent="0.25">
      <c r="B48" s="2" t="s">
        <v>38</v>
      </c>
      <c r="C48" s="9">
        <f t="shared" si="7"/>
        <v>0.24558796210291667</v>
      </c>
      <c r="D48" s="9">
        <f t="shared" si="8"/>
        <v>0.1253200755097845</v>
      </c>
      <c r="E48" s="5">
        <v>13410</v>
      </c>
      <c r="F48" s="5">
        <v>10766</v>
      </c>
    </row>
    <row r="49" spans="2:7" x14ac:dyDescent="0.25">
      <c r="B49" s="2" t="s">
        <v>39</v>
      </c>
      <c r="C49" s="9">
        <f t="shared" si="7"/>
        <v>0.21283471837488466</v>
      </c>
      <c r="D49" s="9">
        <f t="shared" si="8"/>
        <v>4.9100050464459935E-2</v>
      </c>
      <c r="E49" s="5">
        <v>5254</v>
      </c>
      <c r="F49" s="5">
        <v>4332</v>
      </c>
    </row>
    <row r="50" spans="2:7" x14ac:dyDescent="0.25">
      <c r="B50" s="2" t="s">
        <v>40</v>
      </c>
      <c r="C50" s="9">
        <f t="shared" si="7"/>
        <v>0.35202156334231804</v>
      </c>
      <c r="D50" s="9">
        <f t="shared" si="8"/>
        <v>0.11718969029774032</v>
      </c>
      <c r="E50" s="5">
        <v>12540</v>
      </c>
      <c r="F50" s="5">
        <v>9275</v>
      </c>
    </row>
    <row r="51" spans="2:7" x14ac:dyDescent="0.25">
      <c r="B51" s="2" t="s">
        <v>41</v>
      </c>
      <c r="C51" s="9">
        <f t="shared" si="7"/>
        <v>0.12564432989690721</v>
      </c>
      <c r="D51" s="9">
        <f t="shared" si="8"/>
        <v>1.6326187316599069E-2</v>
      </c>
      <c r="E51" s="5">
        <v>1747</v>
      </c>
      <c r="F51" s="5">
        <v>1552</v>
      </c>
    </row>
    <row r="52" spans="2:7" x14ac:dyDescent="0.25">
      <c r="B52" s="2" t="s">
        <v>42</v>
      </c>
      <c r="C52" s="9">
        <f t="shared" si="7"/>
        <v>0.28571428571428581</v>
      </c>
      <c r="D52" s="9">
        <f t="shared" si="8"/>
        <v>1.5980412313328224E-3</v>
      </c>
      <c r="E52" s="5">
        <v>171</v>
      </c>
      <c r="F52" s="5">
        <v>133</v>
      </c>
    </row>
    <row r="53" spans="2:7" x14ac:dyDescent="0.25">
      <c r="B53" s="1" t="s">
        <v>43</v>
      </c>
      <c r="C53" s="10">
        <f t="shared" si="7"/>
        <v>0.17974327215403663</v>
      </c>
      <c r="D53" s="10">
        <f>E53/$E$44</f>
        <v>0.97913201128908656</v>
      </c>
      <c r="E53" s="7">
        <f>SUM(E47:E52)</f>
        <v>104773</v>
      </c>
      <c r="F53" s="7">
        <f>SUM(F47:F52)</f>
        <v>88810</v>
      </c>
    </row>
    <row r="54" spans="2:7" x14ac:dyDescent="0.25">
      <c r="E54" s="5"/>
      <c r="F54" s="5"/>
    </row>
    <row r="55" spans="2:7" x14ac:dyDescent="0.25">
      <c r="B55" s="1" t="s">
        <v>44</v>
      </c>
      <c r="C55" s="9">
        <f t="shared" si="7"/>
        <v>11.544943820224718</v>
      </c>
      <c r="D55" s="9">
        <f>E55/$E$44</f>
        <v>2.0867988710913405E-2</v>
      </c>
      <c r="E55" s="7">
        <f>E44-E53</f>
        <v>2233</v>
      </c>
      <c r="F55" s="7">
        <f>F44-F53</f>
        <v>178</v>
      </c>
    </row>
    <row r="56" spans="2:7" x14ac:dyDescent="0.25">
      <c r="E56" s="5"/>
      <c r="F56" s="5"/>
    </row>
    <row r="57" spans="2:7" x14ac:dyDescent="0.25">
      <c r="B57" s="2" t="s">
        <v>45</v>
      </c>
      <c r="C57" s="9">
        <f t="shared" si="7"/>
        <v>0.28205128205128216</v>
      </c>
      <c r="D57" s="9">
        <f t="shared" ref="D57:D60" si="9">E57/$E$44</f>
        <v>4.6726351793357384E-4</v>
      </c>
      <c r="E57" s="5">
        <v>50</v>
      </c>
      <c r="F57" s="5">
        <v>39</v>
      </c>
    </row>
    <row r="58" spans="2:7" x14ac:dyDescent="0.25">
      <c r="B58" s="2" t="s">
        <v>46</v>
      </c>
      <c r="C58" s="9">
        <f t="shared" si="7"/>
        <v>1.1857142857142855</v>
      </c>
      <c r="D58" s="9">
        <f t="shared" si="9"/>
        <v>-4.2894790946302079E-3</v>
      </c>
      <c r="E58" s="5">
        <v>-459</v>
      </c>
      <c r="F58" s="5">
        <v>-210</v>
      </c>
    </row>
    <row r="59" spans="2:7" x14ac:dyDescent="0.25">
      <c r="B59" s="2" t="s">
        <v>47</v>
      </c>
      <c r="C59" s="9">
        <f t="shared" si="7"/>
        <v>1.1694915254237288</v>
      </c>
      <c r="D59" s="9">
        <f t="shared" si="9"/>
        <v>-2.392389211819898E-3</v>
      </c>
      <c r="E59" s="5">
        <v>-256</v>
      </c>
      <c r="F59" s="5">
        <v>-118</v>
      </c>
    </row>
    <row r="60" spans="2:7" x14ac:dyDescent="0.25">
      <c r="B60" s="1" t="s">
        <v>48</v>
      </c>
      <c r="C60" s="10">
        <f t="shared" si="7"/>
        <v>1.301038062283737</v>
      </c>
      <c r="D60" s="10">
        <f t="shared" si="9"/>
        <v>-6.2146047885165319E-3</v>
      </c>
      <c r="E60" s="7">
        <f>SUM(E57:E59)</f>
        <v>-665</v>
      </c>
      <c r="F60" s="7">
        <f>SUM(F57:F59)</f>
        <v>-289</v>
      </c>
    </row>
    <row r="61" spans="2:7" x14ac:dyDescent="0.25">
      <c r="E61" s="5"/>
      <c r="F61" s="5"/>
    </row>
    <row r="62" spans="2:7" x14ac:dyDescent="0.25">
      <c r="B62" s="1" t="s">
        <v>49</v>
      </c>
      <c r="C62" s="10">
        <f>ABS(E62/F62-1)</f>
        <v>15.126126126126126</v>
      </c>
      <c r="D62" s="10">
        <f>E62/$E$44</f>
        <v>1.4653383922396875E-2</v>
      </c>
      <c r="E62" s="7">
        <f>E55+E60</f>
        <v>1568</v>
      </c>
      <c r="F62" s="7">
        <f>F55+F60</f>
        <v>-111</v>
      </c>
    </row>
    <row r="63" spans="2:7" x14ac:dyDescent="0.25">
      <c r="E63" s="5"/>
      <c r="F63" s="5"/>
    </row>
    <row r="64" spans="2:7" x14ac:dyDescent="0.25">
      <c r="B64" s="2" t="s">
        <v>50</v>
      </c>
      <c r="C64" s="9">
        <f t="shared" si="7"/>
        <v>4.6886227544910177</v>
      </c>
      <c r="D64" s="9">
        <f>E64/$E$44</f>
        <v>-8.878006840737902E-3</v>
      </c>
      <c r="E64" s="5">
        <v>-950</v>
      </c>
      <c r="F64" s="5">
        <v>-167</v>
      </c>
      <c r="G64" s="9">
        <f>-E64/E62</f>
        <v>0.60586734693877553</v>
      </c>
    </row>
    <row r="65" spans="1:6" x14ac:dyDescent="0.25">
      <c r="B65" s="2" t="s">
        <v>51</v>
      </c>
      <c r="C65" s="9">
        <f t="shared" si="7"/>
        <v>-1.5945945945945947</v>
      </c>
      <c r="D65" s="9">
        <f>E65/$E$44</f>
        <v>-2.0559594789077248E-4</v>
      </c>
      <c r="E65" s="5">
        <v>-22</v>
      </c>
      <c r="F65" s="5">
        <v>37</v>
      </c>
    </row>
    <row r="66" spans="1:6" x14ac:dyDescent="0.25">
      <c r="E66" s="5"/>
      <c r="F66" s="5"/>
    </row>
    <row r="67" spans="1:6" x14ac:dyDescent="0.25">
      <c r="B67" s="1" t="s">
        <v>52</v>
      </c>
      <c r="C67" s="10">
        <f>ABS(E67/F67-1)</f>
        <v>3.4730290456431536</v>
      </c>
      <c r="D67" s="10">
        <f>E67/$E$44</f>
        <v>5.5697811337681999E-3</v>
      </c>
      <c r="E67" s="7">
        <f>SUM(E62:E65)</f>
        <v>596</v>
      </c>
      <c r="F67" s="7">
        <f>SUM(F62:F65)</f>
        <v>-241</v>
      </c>
    </row>
    <row r="68" spans="1:6" x14ac:dyDescent="0.25">
      <c r="E68" s="5"/>
      <c r="F68" s="5"/>
    </row>
    <row r="69" spans="1:6" x14ac:dyDescent="0.25">
      <c r="B69" s="2" t="s">
        <v>53</v>
      </c>
      <c r="E69" s="8">
        <v>1.28</v>
      </c>
      <c r="F69" s="8">
        <v>-0.52</v>
      </c>
    </row>
    <row r="70" spans="1:6" x14ac:dyDescent="0.25">
      <c r="B70" s="2" t="s">
        <v>54</v>
      </c>
      <c r="E70" s="8">
        <v>1.25</v>
      </c>
      <c r="F70" s="8">
        <v>-0.52</v>
      </c>
    </row>
    <row r="71" spans="1:6" x14ac:dyDescent="0.25">
      <c r="E71" s="5"/>
      <c r="F71" s="5"/>
    </row>
    <row r="72" spans="1:6" x14ac:dyDescent="0.25">
      <c r="B72" s="2" t="s">
        <v>55</v>
      </c>
      <c r="E72" s="5"/>
      <c r="F72" s="5"/>
    </row>
    <row r="73" spans="1:6" x14ac:dyDescent="0.25">
      <c r="B73" s="2" t="s">
        <v>56</v>
      </c>
      <c r="E73" s="5">
        <v>467</v>
      </c>
      <c r="F73" s="5">
        <v>462</v>
      </c>
    </row>
    <row r="74" spans="1:6" x14ac:dyDescent="0.25">
      <c r="B74" s="2" t="s">
        <v>57</v>
      </c>
      <c r="E74" s="5">
        <v>477</v>
      </c>
      <c r="F74" s="5">
        <v>462</v>
      </c>
    </row>
    <row r="75" spans="1:6" x14ac:dyDescent="0.25">
      <c r="E75" s="5"/>
      <c r="F75" s="5"/>
    </row>
    <row r="76" spans="1:6" x14ac:dyDescent="0.25">
      <c r="B76" s="2" t="s">
        <v>67</v>
      </c>
      <c r="E76" s="5"/>
      <c r="F76" s="5"/>
    </row>
    <row r="77" spans="1:6" x14ac:dyDescent="0.25">
      <c r="B77" s="2" t="s">
        <v>68</v>
      </c>
      <c r="E77" s="5">
        <v>6281</v>
      </c>
      <c r="F77" s="5">
        <v>4746</v>
      </c>
    </row>
    <row r="78" spans="1:6" x14ac:dyDescent="0.25">
      <c r="B78" s="2" t="s">
        <v>69</v>
      </c>
      <c r="E78" s="5"/>
      <c r="F78" s="5"/>
    </row>
    <row r="79" spans="1:6" x14ac:dyDescent="0.25">
      <c r="E79" s="5"/>
      <c r="F79" s="5"/>
    </row>
    <row r="80" spans="1:6" x14ac:dyDescent="0.25">
      <c r="A80" s="1" t="s">
        <v>63</v>
      </c>
      <c r="E80" s="4">
        <v>2015</v>
      </c>
      <c r="F80" s="4">
        <v>2014</v>
      </c>
    </row>
    <row r="81" spans="1:6" x14ac:dyDescent="0.25">
      <c r="A81" s="1"/>
      <c r="E81" s="4"/>
      <c r="F81" s="4"/>
    </row>
    <row r="82" spans="1:6" x14ac:dyDescent="0.25">
      <c r="B82" s="2" t="s">
        <v>64</v>
      </c>
      <c r="E82" s="5">
        <v>11920</v>
      </c>
      <c r="F82" s="5">
        <v>6842</v>
      </c>
    </row>
    <row r="83" spans="1:6" x14ac:dyDescent="0.25">
      <c r="E83" s="5"/>
      <c r="F83" s="5"/>
    </row>
    <row r="84" spans="1:6" x14ac:dyDescent="0.25">
      <c r="B84" s="2" t="s">
        <v>59</v>
      </c>
      <c r="E84" s="5">
        <v>-6450</v>
      </c>
      <c r="F84" s="5">
        <v>-5065</v>
      </c>
    </row>
    <row r="85" spans="1:6" x14ac:dyDescent="0.25">
      <c r="E85" s="5"/>
      <c r="F85" s="5"/>
    </row>
    <row r="86" spans="1:6" x14ac:dyDescent="0.25">
      <c r="B86" s="2" t="s">
        <v>60</v>
      </c>
      <c r="E86" s="5">
        <v>-3763</v>
      </c>
      <c r="F86" s="5">
        <v>4432</v>
      </c>
    </row>
    <row r="87" spans="1:6" x14ac:dyDescent="0.25">
      <c r="E87" s="5"/>
      <c r="F87" s="5"/>
    </row>
    <row r="88" spans="1:6" x14ac:dyDescent="0.25">
      <c r="B88" s="2" t="s">
        <v>62</v>
      </c>
      <c r="E88" s="5">
        <v>-374</v>
      </c>
      <c r="F88" s="5">
        <v>-310</v>
      </c>
    </row>
    <row r="89" spans="1:6" x14ac:dyDescent="0.25">
      <c r="E89" s="5"/>
      <c r="F89" s="5"/>
    </row>
    <row r="90" spans="1:6" x14ac:dyDescent="0.25">
      <c r="B90" s="1" t="s">
        <v>61</v>
      </c>
      <c r="C90" s="1"/>
      <c r="D90" s="1"/>
      <c r="E90" s="7">
        <f>SUM(E82,E84,E86,E88)</f>
        <v>1333</v>
      </c>
      <c r="F90" s="7">
        <f>SUM(F82,F84,F86,F88)</f>
        <v>5899</v>
      </c>
    </row>
    <row r="91" spans="1:6" x14ac:dyDescent="0.25">
      <c r="E91" s="5"/>
      <c r="F91" s="5"/>
    </row>
    <row r="92" spans="1:6" x14ac:dyDescent="0.25">
      <c r="B92" s="2" t="s">
        <v>65</v>
      </c>
      <c r="E92" s="5">
        <v>14557</v>
      </c>
      <c r="F92" s="5">
        <v>8658</v>
      </c>
    </row>
    <row r="93" spans="1:6" x14ac:dyDescent="0.25">
      <c r="E93" s="5"/>
      <c r="F93" s="5"/>
    </row>
    <row r="94" spans="1:6" x14ac:dyDescent="0.25">
      <c r="B94" s="1" t="s">
        <v>66</v>
      </c>
      <c r="C94" s="1"/>
      <c r="D94" s="1"/>
      <c r="E94" s="7">
        <f>E90+E92</f>
        <v>15890</v>
      </c>
      <c r="F94" s="7">
        <f>F90+F92</f>
        <v>14557</v>
      </c>
    </row>
    <row r="95" spans="1:6" x14ac:dyDescent="0.25">
      <c r="E95" s="5"/>
      <c r="F95" s="5"/>
    </row>
    <row r="96" spans="1:6" x14ac:dyDescent="0.25">
      <c r="E96" s="5"/>
      <c r="F96" s="5"/>
    </row>
    <row r="97" spans="2:6" x14ac:dyDescent="0.25">
      <c r="E97" s="5"/>
      <c r="F97" s="5"/>
    </row>
    <row r="98" spans="2:6" x14ac:dyDescent="0.25">
      <c r="E98" s="5"/>
      <c r="F98" s="5"/>
    </row>
    <row r="99" spans="2:6" x14ac:dyDescent="0.25">
      <c r="E99" s="5"/>
      <c r="F99" s="5"/>
    </row>
    <row r="100" spans="2:6" x14ac:dyDescent="0.25">
      <c r="B100" s="2" t="s">
        <v>70</v>
      </c>
      <c r="E100" s="5">
        <v>-1652</v>
      </c>
      <c r="F100" s="5">
        <v>-513</v>
      </c>
    </row>
    <row r="101" spans="2:6" x14ac:dyDescent="0.25">
      <c r="E101" s="5"/>
      <c r="F101" s="5"/>
    </row>
    <row r="102" spans="2:6" x14ac:dyDescent="0.25">
      <c r="E102" s="5"/>
      <c r="F102" s="5"/>
    </row>
    <row r="103" spans="2:6" x14ac:dyDescent="0.25">
      <c r="E103" s="5"/>
      <c r="F103" s="5"/>
    </row>
    <row r="104" spans="2:6" x14ac:dyDescent="0.25">
      <c r="E104" s="5"/>
      <c r="F104" s="5"/>
    </row>
    <row r="105" spans="2:6" x14ac:dyDescent="0.25">
      <c r="E105" s="5"/>
      <c r="F105" s="5"/>
    </row>
    <row r="106" spans="2:6" x14ac:dyDescent="0.25">
      <c r="E106" s="5"/>
      <c r="F106" s="5"/>
    </row>
    <row r="107" spans="2:6" x14ac:dyDescent="0.25">
      <c r="E107" s="5"/>
      <c r="F107" s="5"/>
    </row>
    <row r="108" spans="2:6" x14ac:dyDescent="0.25">
      <c r="E108" s="5"/>
      <c r="F108" s="5"/>
    </row>
    <row r="109" spans="2:6" x14ac:dyDescent="0.25">
      <c r="E109" s="5"/>
      <c r="F109" s="5"/>
    </row>
    <row r="110" spans="2:6" x14ac:dyDescent="0.25">
      <c r="E110" s="5"/>
      <c r="F110" s="5"/>
    </row>
    <row r="111" spans="2:6" x14ac:dyDescent="0.25">
      <c r="E111" s="5"/>
      <c r="F111" s="5"/>
    </row>
    <row r="112" spans="2:6" x14ac:dyDescent="0.25">
      <c r="E112" s="5"/>
      <c r="F112" s="5"/>
    </row>
    <row r="113" spans="5:6" x14ac:dyDescent="0.25">
      <c r="E113" s="5"/>
      <c r="F113" s="5"/>
    </row>
    <row r="114" spans="5:6" x14ac:dyDescent="0.25">
      <c r="E114" s="5"/>
      <c r="F114" s="5"/>
    </row>
    <row r="115" spans="5:6" x14ac:dyDescent="0.25">
      <c r="E115" s="5"/>
      <c r="F115" s="5"/>
    </row>
    <row r="116" spans="5:6" x14ac:dyDescent="0.25">
      <c r="E116" s="5"/>
      <c r="F116" s="5"/>
    </row>
    <row r="117" spans="5:6" x14ac:dyDescent="0.25">
      <c r="E117" s="5"/>
      <c r="F117" s="5"/>
    </row>
    <row r="118" spans="5:6" x14ac:dyDescent="0.25">
      <c r="E118" s="5"/>
      <c r="F118" s="5"/>
    </row>
    <row r="119" spans="5:6" x14ac:dyDescent="0.25">
      <c r="E119" s="5"/>
      <c r="F119" s="5"/>
    </row>
    <row r="120" spans="5:6" x14ac:dyDescent="0.25">
      <c r="E120" s="5"/>
      <c r="F120" s="5"/>
    </row>
    <row r="121" spans="5:6" x14ac:dyDescent="0.25">
      <c r="E121" s="5"/>
      <c r="F121" s="5"/>
    </row>
    <row r="122" spans="5:6" x14ac:dyDescent="0.25">
      <c r="E122" s="5"/>
      <c r="F122" s="5"/>
    </row>
    <row r="123" spans="5:6" x14ac:dyDescent="0.25">
      <c r="E123" s="5"/>
      <c r="F123" s="5"/>
    </row>
    <row r="124" spans="5:6" x14ac:dyDescent="0.25">
      <c r="E124" s="5"/>
      <c r="F124" s="5"/>
    </row>
    <row r="125" spans="5:6" x14ac:dyDescent="0.25">
      <c r="E125" s="5"/>
      <c r="F125" s="5"/>
    </row>
    <row r="126" spans="5:6" x14ac:dyDescent="0.25">
      <c r="E126" s="5"/>
      <c r="F126" s="5"/>
    </row>
    <row r="127" spans="5:6" x14ac:dyDescent="0.25">
      <c r="E127" s="5"/>
      <c r="F127" s="5"/>
    </row>
    <row r="128" spans="5:6" x14ac:dyDescent="0.25">
      <c r="E128" s="5"/>
      <c r="F128" s="5"/>
    </row>
    <row r="129" spans="5:6" x14ac:dyDescent="0.25">
      <c r="E129" s="5"/>
      <c r="F129" s="5"/>
    </row>
    <row r="130" spans="5:6" x14ac:dyDescent="0.25">
      <c r="E130" s="5"/>
      <c r="F130" s="5"/>
    </row>
    <row r="131" spans="5:6" x14ac:dyDescent="0.25">
      <c r="E131" s="5"/>
      <c r="F131" s="5"/>
    </row>
    <row r="132" spans="5:6" x14ac:dyDescent="0.25">
      <c r="E132" s="5"/>
      <c r="F132" s="5"/>
    </row>
    <row r="133" spans="5:6" x14ac:dyDescent="0.25">
      <c r="E133" s="5"/>
      <c r="F133" s="5"/>
    </row>
    <row r="134" spans="5:6" x14ac:dyDescent="0.25">
      <c r="E134" s="5"/>
      <c r="F134" s="5"/>
    </row>
    <row r="135" spans="5:6" x14ac:dyDescent="0.25">
      <c r="E135" s="5"/>
      <c r="F135" s="5"/>
    </row>
    <row r="136" spans="5:6" x14ac:dyDescent="0.25">
      <c r="E136" s="5"/>
      <c r="F136" s="5"/>
    </row>
    <row r="137" spans="5:6" x14ac:dyDescent="0.25">
      <c r="E137" s="5"/>
      <c r="F137" s="5"/>
    </row>
    <row r="138" spans="5:6" x14ac:dyDescent="0.25">
      <c r="E138" s="5"/>
      <c r="F138" s="5"/>
    </row>
    <row r="139" spans="5:6" x14ac:dyDescent="0.25">
      <c r="E139" s="5"/>
      <c r="F139" s="5"/>
    </row>
    <row r="140" spans="5:6" x14ac:dyDescent="0.25">
      <c r="E140" s="5"/>
      <c r="F140" s="5"/>
    </row>
    <row r="141" spans="5:6" x14ac:dyDescent="0.25">
      <c r="E141" s="5"/>
      <c r="F141" s="5"/>
    </row>
    <row r="142" spans="5:6" x14ac:dyDescent="0.25">
      <c r="E142" s="5"/>
      <c r="F142" s="5"/>
    </row>
    <row r="143" spans="5:6" x14ac:dyDescent="0.25">
      <c r="E143" s="5"/>
      <c r="F143" s="5"/>
    </row>
    <row r="144" spans="5:6" x14ac:dyDescent="0.25">
      <c r="E144" s="5"/>
      <c r="F144" s="5"/>
    </row>
    <row r="145" spans="5:6" x14ac:dyDescent="0.25">
      <c r="E145" s="5"/>
      <c r="F145" s="5"/>
    </row>
    <row r="146" spans="5:6" x14ac:dyDescent="0.25">
      <c r="E146" s="5"/>
      <c r="F146" s="5"/>
    </row>
    <row r="147" spans="5:6" x14ac:dyDescent="0.25">
      <c r="E147" s="5"/>
      <c r="F147" s="5"/>
    </row>
    <row r="148" spans="5:6" x14ac:dyDescent="0.25">
      <c r="E148" s="5"/>
      <c r="F148" s="5"/>
    </row>
    <row r="149" spans="5:6" x14ac:dyDescent="0.25">
      <c r="E149" s="5"/>
      <c r="F149" s="5"/>
    </row>
    <row r="150" spans="5:6" x14ac:dyDescent="0.25">
      <c r="E150" s="5"/>
      <c r="F150" s="5"/>
    </row>
    <row r="151" spans="5:6" x14ac:dyDescent="0.25">
      <c r="E151" s="5"/>
      <c r="F151" s="5"/>
    </row>
    <row r="152" spans="5:6" x14ac:dyDescent="0.25">
      <c r="E152" s="5"/>
      <c r="F152" s="5"/>
    </row>
    <row r="153" spans="5:6" x14ac:dyDescent="0.25">
      <c r="E153" s="5"/>
      <c r="F153" s="5"/>
    </row>
    <row r="154" spans="5:6" x14ac:dyDescent="0.25">
      <c r="E154" s="5"/>
      <c r="F154" s="5"/>
    </row>
    <row r="155" spans="5:6" x14ac:dyDescent="0.25">
      <c r="E155" s="5"/>
      <c r="F155" s="5"/>
    </row>
    <row r="156" spans="5:6" x14ac:dyDescent="0.25">
      <c r="E156" s="5"/>
      <c r="F156" s="5"/>
    </row>
    <row r="157" spans="5:6" x14ac:dyDescent="0.25">
      <c r="E157" s="5"/>
      <c r="F157" s="5"/>
    </row>
    <row r="158" spans="5:6" x14ac:dyDescent="0.25">
      <c r="E158" s="5"/>
      <c r="F158" s="5"/>
    </row>
    <row r="159" spans="5:6" x14ac:dyDescent="0.25">
      <c r="E159" s="5"/>
      <c r="F159" s="5"/>
    </row>
    <row r="160" spans="5:6" x14ac:dyDescent="0.25">
      <c r="E160" s="5"/>
      <c r="F160" s="5"/>
    </row>
    <row r="161" spans="5:6" x14ac:dyDescent="0.25">
      <c r="E161" s="5"/>
      <c r="F161" s="5"/>
    </row>
    <row r="162" spans="5:6" x14ac:dyDescent="0.25">
      <c r="E162" s="5"/>
      <c r="F162" s="5"/>
    </row>
    <row r="163" spans="5:6" x14ac:dyDescent="0.25">
      <c r="E163" s="5"/>
      <c r="F163" s="5"/>
    </row>
    <row r="164" spans="5:6" x14ac:dyDescent="0.25">
      <c r="E164" s="5"/>
      <c r="F164" s="5"/>
    </row>
    <row r="165" spans="5:6" x14ac:dyDescent="0.25">
      <c r="E165" s="5"/>
      <c r="F165" s="5"/>
    </row>
    <row r="166" spans="5:6" x14ac:dyDescent="0.25">
      <c r="E166" s="5"/>
      <c r="F166" s="5"/>
    </row>
    <row r="167" spans="5:6" x14ac:dyDescent="0.25">
      <c r="E167" s="5"/>
      <c r="F167" s="5"/>
    </row>
    <row r="168" spans="5:6" x14ac:dyDescent="0.25">
      <c r="E168" s="5"/>
      <c r="F168" s="5"/>
    </row>
    <row r="169" spans="5:6" x14ac:dyDescent="0.25">
      <c r="E169" s="5"/>
      <c r="F169" s="5"/>
    </row>
    <row r="170" spans="5:6" x14ac:dyDescent="0.25">
      <c r="E170" s="5"/>
      <c r="F170" s="5"/>
    </row>
    <row r="171" spans="5:6" x14ac:dyDescent="0.25">
      <c r="E171" s="5"/>
      <c r="F171" s="5"/>
    </row>
    <row r="172" spans="5:6" x14ac:dyDescent="0.25">
      <c r="E172" s="5"/>
      <c r="F172" s="5"/>
    </row>
    <row r="173" spans="5:6" x14ac:dyDescent="0.25">
      <c r="E173" s="5"/>
      <c r="F173" s="5"/>
    </row>
    <row r="174" spans="5:6" x14ac:dyDescent="0.25">
      <c r="E174" s="5"/>
      <c r="F174" s="5"/>
    </row>
    <row r="175" spans="5:6" x14ac:dyDescent="0.25">
      <c r="E175" s="5"/>
      <c r="F175" s="5"/>
    </row>
    <row r="176" spans="5:6" x14ac:dyDescent="0.25">
      <c r="E176" s="5"/>
      <c r="F176" s="5"/>
    </row>
    <row r="177" spans="5:6" x14ac:dyDescent="0.25">
      <c r="E177" s="5"/>
      <c r="F177" s="5"/>
    </row>
    <row r="178" spans="5:6" x14ac:dyDescent="0.25">
      <c r="E178" s="5"/>
      <c r="F178" s="5"/>
    </row>
    <row r="179" spans="5:6" x14ac:dyDescent="0.25">
      <c r="E179" s="5"/>
      <c r="F179" s="5"/>
    </row>
    <row r="180" spans="5:6" x14ac:dyDescent="0.25">
      <c r="E180" s="5"/>
      <c r="F180" s="5"/>
    </row>
    <row r="181" spans="5:6" x14ac:dyDescent="0.25">
      <c r="E181" s="5"/>
      <c r="F181" s="5"/>
    </row>
    <row r="182" spans="5:6" x14ac:dyDescent="0.25">
      <c r="E182" s="5"/>
      <c r="F182" s="5"/>
    </row>
    <row r="183" spans="5:6" x14ac:dyDescent="0.25">
      <c r="E183" s="5"/>
      <c r="F183" s="5"/>
    </row>
    <row r="184" spans="5:6" x14ac:dyDescent="0.25">
      <c r="E184" s="5"/>
      <c r="F184" s="5"/>
    </row>
    <row r="185" spans="5:6" x14ac:dyDescent="0.25">
      <c r="E185" s="5"/>
      <c r="F185" s="5"/>
    </row>
    <row r="186" spans="5:6" x14ac:dyDescent="0.25">
      <c r="E186" s="5"/>
      <c r="F186" s="5"/>
    </row>
    <row r="187" spans="5:6" x14ac:dyDescent="0.25">
      <c r="E187" s="5"/>
      <c r="F187" s="5"/>
    </row>
  </sheetData>
  <pageMargins left="0.7" right="0.7" top="0.75" bottom="0.75" header="0.3" footer="0.3"/>
  <pageSetup orientation="portrait" horizontalDpi="4294967293" verticalDpi="4294967293"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101"/>
  <sheetViews>
    <sheetView topLeftCell="A61" zoomScale="90" zoomScaleNormal="90" workbookViewId="0">
      <selection activeCell="F57" sqref="F57"/>
    </sheetView>
  </sheetViews>
  <sheetFormatPr baseColWidth="10" defaultColWidth="9.140625" defaultRowHeight="16.5" x14ac:dyDescent="0.3"/>
  <cols>
    <col min="1" max="1" width="9.140625" style="42"/>
    <col min="2" max="2" width="44" style="42" customWidth="1"/>
    <col min="3" max="3" width="9.5703125" style="3" bestFit="1" customWidth="1"/>
    <col min="4" max="5" width="9.140625" style="42"/>
    <col min="6" max="6" width="15.28515625" style="42" customWidth="1"/>
    <col min="7" max="16384" width="9.140625" style="42"/>
  </cols>
  <sheetData>
    <row r="3" spans="2:6" x14ac:dyDescent="0.3">
      <c r="B3" s="1" t="s">
        <v>144</v>
      </c>
      <c r="C3" s="4">
        <v>2015</v>
      </c>
    </row>
    <row r="4" spans="2:6" x14ac:dyDescent="0.3">
      <c r="B4" s="2"/>
    </row>
    <row r="5" spans="2:6" x14ac:dyDescent="0.3">
      <c r="B5" s="2" t="s">
        <v>145</v>
      </c>
      <c r="C5" s="6">
        <f>'Caso 1'!E20</f>
        <v>36474</v>
      </c>
      <c r="D5" s="6">
        <f>'Caso 1'!F20</f>
        <v>31327</v>
      </c>
    </row>
    <row r="6" spans="2:6" x14ac:dyDescent="0.3">
      <c r="B6" s="2" t="s">
        <v>146</v>
      </c>
      <c r="C6" s="6">
        <f>'Caso 1'!K19</f>
        <v>33899</v>
      </c>
      <c r="D6" s="6">
        <f>'Caso 1'!L19</f>
        <v>28089</v>
      </c>
    </row>
    <row r="7" spans="2:6" x14ac:dyDescent="0.3">
      <c r="B7" s="1" t="s">
        <v>147</v>
      </c>
      <c r="C7" s="43">
        <f t="shared" ref="C7:D7" si="0">C5/C6</f>
        <v>1.0759609428006727</v>
      </c>
      <c r="D7" s="43">
        <f t="shared" si="0"/>
        <v>1.1152764427355903</v>
      </c>
      <c r="F7" s="42" t="s">
        <v>174</v>
      </c>
    </row>
    <row r="8" spans="2:6" x14ac:dyDescent="0.3">
      <c r="B8" s="2"/>
    </row>
    <row r="9" spans="2:6" x14ac:dyDescent="0.3">
      <c r="B9" s="2" t="s">
        <v>148</v>
      </c>
      <c r="C9" s="6">
        <f>'Caso 1'!E16</f>
        <v>10243</v>
      </c>
      <c r="D9" s="6">
        <f>'Caso 1'!F16</f>
        <v>8299</v>
      </c>
    </row>
    <row r="10" spans="2:6" x14ac:dyDescent="0.3">
      <c r="B10" s="2"/>
    </row>
    <row r="11" spans="2:6" x14ac:dyDescent="0.3">
      <c r="B11" s="1" t="s">
        <v>149</v>
      </c>
      <c r="C11" s="43">
        <f t="shared" ref="C11:D11" si="1">(C5-C9)/C6</f>
        <v>0.77379863712793884</v>
      </c>
      <c r="D11" s="43">
        <f t="shared" si="1"/>
        <v>0.81982270639752219</v>
      </c>
    </row>
    <row r="12" spans="2:6" x14ac:dyDescent="0.3">
      <c r="B12" s="2"/>
      <c r="C12" s="44"/>
    </row>
    <row r="13" spans="2:6" x14ac:dyDescent="0.3">
      <c r="B13" s="1" t="s">
        <v>173</v>
      </c>
    </row>
    <row r="14" spans="2:6" x14ac:dyDescent="0.3">
      <c r="B14" s="2"/>
    </row>
    <row r="15" spans="2:6" x14ac:dyDescent="0.3">
      <c r="B15" s="2" t="s">
        <v>79</v>
      </c>
      <c r="C15" s="6">
        <f>'Caso 1'!E47</f>
        <v>71651</v>
      </c>
    </row>
    <row r="16" spans="2:6" x14ac:dyDescent="0.3">
      <c r="B16" s="2" t="s">
        <v>156</v>
      </c>
      <c r="C16" s="6">
        <f>AVERAGE(C9:D9)</f>
        <v>9271</v>
      </c>
      <c r="E16" s="49">
        <f>'Caso 1'!C16</f>
        <v>0.23424508976985181</v>
      </c>
      <c r="F16" s="42" t="s">
        <v>182</v>
      </c>
    </row>
    <row r="17" spans="2:14" x14ac:dyDescent="0.3">
      <c r="B17" s="1" t="s">
        <v>124</v>
      </c>
      <c r="C17" s="4">
        <f>C15/C16</f>
        <v>7.7285082515370513</v>
      </c>
    </row>
    <row r="18" spans="2:14" x14ac:dyDescent="0.3">
      <c r="B18" s="1"/>
      <c r="C18" s="4"/>
    </row>
    <row r="19" spans="2:14" x14ac:dyDescent="0.3">
      <c r="B19" s="2" t="s">
        <v>117</v>
      </c>
      <c r="C19" s="3">
        <v>360</v>
      </c>
    </row>
    <row r="20" spans="2:14" x14ac:dyDescent="0.3">
      <c r="B20" s="1" t="s">
        <v>157</v>
      </c>
      <c r="C20" s="53">
        <f>C19/C17</f>
        <v>46.58078742794936</v>
      </c>
    </row>
    <row r="21" spans="2:14" x14ac:dyDescent="0.3">
      <c r="B21" s="2"/>
    </row>
    <row r="22" spans="2:14" x14ac:dyDescent="0.3">
      <c r="B22" s="2" t="s">
        <v>158</v>
      </c>
      <c r="C22" s="6">
        <f>'Caso 1'!E17</f>
        <v>6423</v>
      </c>
      <c r="D22" s="6">
        <f>'Caso 1'!F17</f>
        <v>5612</v>
      </c>
    </row>
    <row r="23" spans="2:14" x14ac:dyDescent="0.3">
      <c r="B23" s="2" t="s">
        <v>111</v>
      </c>
      <c r="C23" s="6">
        <f>AVERAGE(C22:D22)</f>
        <v>6017.5</v>
      </c>
      <c r="D23" s="6"/>
      <c r="E23" s="49">
        <f>'Caso 1'!C17</f>
        <v>0.14451176051318604</v>
      </c>
      <c r="F23" s="42" t="s">
        <v>181</v>
      </c>
    </row>
    <row r="24" spans="2:14" x14ac:dyDescent="0.3">
      <c r="B24" s="2" t="s">
        <v>78</v>
      </c>
      <c r="C24" s="6">
        <f>'Caso 1'!E44</f>
        <v>107006</v>
      </c>
    </row>
    <row r="25" spans="2:14" x14ac:dyDescent="0.3">
      <c r="B25" s="2" t="s">
        <v>159</v>
      </c>
      <c r="C25" s="6">
        <f>C24/C19</f>
        <v>297.23888888888888</v>
      </c>
    </row>
    <row r="26" spans="2:14" x14ac:dyDescent="0.3">
      <c r="B26" s="1" t="s">
        <v>160</v>
      </c>
      <c r="C26" s="53">
        <f>C23/C25</f>
        <v>20.24465917799002</v>
      </c>
    </row>
    <row r="27" spans="2:14" x14ac:dyDescent="0.3">
      <c r="B27" s="2"/>
    </row>
    <row r="28" spans="2:14" x14ac:dyDescent="0.3">
      <c r="B28" s="2" t="s">
        <v>161</v>
      </c>
      <c r="C28" s="6">
        <f>'Caso 1'!K16</f>
        <v>20397</v>
      </c>
      <c r="D28" s="6">
        <f>'Caso 1'!L16</f>
        <v>16459</v>
      </c>
    </row>
    <row r="29" spans="2:14" x14ac:dyDescent="0.3">
      <c r="B29" s="2" t="s">
        <v>162</v>
      </c>
      <c r="C29" s="6">
        <f>AVERAGE(C28:D28)</f>
        <v>18428</v>
      </c>
      <c r="D29" s="6"/>
      <c r="E29" s="49">
        <f>'Caso 1'!I16</f>
        <v>0.23926119448326144</v>
      </c>
      <c r="F29" s="42" t="s">
        <v>180</v>
      </c>
    </row>
    <row r="30" spans="2:14" x14ac:dyDescent="0.3">
      <c r="B30" s="2" t="s">
        <v>163</v>
      </c>
      <c r="C30" s="6">
        <f>H31</f>
        <v>73595</v>
      </c>
      <c r="F30" s="42" t="s">
        <v>175</v>
      </c>
      <c r="G30" s="48">
        <f>D9</f>
        <v>8299</v>
      </c>
      <c r="N30" s="48">
        <f>C15</f>
        <v>71651</v>
      </c>
    </row>
    <row r="31" spans="2:14" x14ac:dyDescent="0.3">
      <c r="B31" s="2" t="s">
        <v>164</v>
      </c>
      <c r="C31" s="6">
        <f>C30/C19</f>
        <v>204.43055555555554</v>
      </c>
      <c r="F31" s="42" t="s">
        <v>176</v>
      </c>
      <c r="G31" s="42" t="s">
        <v>179</v>
      </c>
      <c r="H31" s="48">
        <f>G33-G30+G32</f>
        <v>73595</v>
      </c>
      <c r="N31" s="42">
        <f>N30/C19</f>
        <v>199.03055555555557</v>
      </c>
    </row>
    <row r="32" spans="2:14" x14ac:dyDescent="0.3">
      <c r="B32" s="1" t="s">
        <v>165</v>
      </c>
      <c r="C32" s="53">
        <f>C29/C31</f>
        <v>90.143080372307907</v>
      </c>
      <c r="F32" s="42" t="s">
        <v>177</v>
      </c>
      <c r="G32" s="48">
        <f>C15</f>
        <v>71651</v>
      </c>
      <c r="N32" s="4">
        <f>C29/N31</f>
        <v>92.588798481528514</v>
      </c>
    </row>
    <row r="33" spans="1:7" x14ac:dyDescent="0.3">
      <c r="B33" s="2"/>
      <c r="C33" s="54"/>
      <c r="F33" s="42" t="s">
        <v>178</v>
      </c>
      <c r="G33" s="48">
        <f>C9</f>
        <v>10243</v>
      </c>
    </row>
    <row r="34" spans="1:7" x14ac:dyDescent="0.3">
      <c r="B34" s="1" t="s">
        <v>166</v>
      </c>
      <c r="C34" s="53">
        <f>C20+C26-C32</f>
        <v>-23.31763376636853</v>
      </c>
    </row>
    <row r="35" spans="1:7" x14ac:dyDescent="0.3">
      <c r="B35" s="1"/>
      <c r="C35" s="4"/>
    </row>
    <row r="36" spans="1:7" x14ac:dyDescent="0.3">
      <c r="B36" s="1" t="s">
        <v>184</v>
      </c>
      <c r="C36" s="4">
        <f>C32</f>
        <v>90.143080372307907</v>
      </c>
    </row>
    <row r="37" spans="1:7" x14ac:dyDescent="0.3">
      <c r="B37" s="1" t="s">
        <v>183</v>
      </c>
      <c r="C37" s="4">
        <f>C20</f>
        <v>46.58078742794936</v>
      </c>
      <c r="D37" s="45">
        <f>C26</f>
        <v>20.24465917799002</v>
      </c>
    </row>
    <row r="38" spans="1:7" x14ac:dyDescent="0.3">
      <c r="B38" s="1"/>
      <c r="C38" s="42"/>
    </row>
    <row r="39" spans="1:7" x14ac:dyDescent="0.3">
      <c r="B39" s="2"/>
      <c r="C39" s="44"/>
    </row>
    <row r="40" spans="1:7" x14ac:dyDescent="0.3">
      <c r="B40" s="2"/>
      <c r="C40" s="44"/>
    </row>
    <row r="41" spans="1:7" x14ac:dyDescent="0.3">
      <c r="B41" s="2"/>
      <c r="C41" s="44"/>
    </row>
    <row r="42" spans="1:7" x14ac:dyDescent="0.3">
      <c r="B42" s="2"/>
      <c r="C42" s="44"/>
    </row>
    <row r="43" spans="1:7" x14ac:dyDescent="0.3">
      <c r="B43" s="1" t="s">
        <v>189</v>
      </c>
      <c r="C43" s="55">
        <f>'Caso 1'!E82</f>
        <v>11920</v>
      </c>
    </row>
    <row r="44" spans="1:7" x14ac:dyDescent="0.3">
      <c r="B44" s="2"/>
      <c r="C44" s="44"/>
    </row>
    <row r="45" spans="1:7" x14ac:dyDescent="0.3">
      <c r="B45" s="1" t="s">
        <v>185</v>
      </c>
      <c r="C45" s="44"/>
    </row>
    <row r="46" spans="1:7" x14ac:dyDescent="0.3">
      <c r="A46" s="42">
        <v>1</v>
      </c>
      <c r="B46" s="2" t="s">
        <v>186</v>
      </c>
      <c r="C46" s="44"/>
    </row>
    <row r="47" spans="1:7" x14ac:dyDescent="0.3">
      <c r="A47" s="42">
        <v>2</v>
      </c>
      <c r="B47" s="2" t="s">
        <v>187</v>
      </c>
      <c r="C47" s="44"/>
    </row>
    <row r="48" spans="1:7" x14ac:dyDescent="0.3">
      <c r="B48" s="2" t="s">
        <v>188</v>
      </c>
      <c r="C48" s="44"/>
    </row>
    <row r="49" spans="2:6" x14ac:dyDescent="0.3">
      <c r="B49" s="2"/>
      <c r="C49" s="44"/>
    </row>
    <row r="50" spans="2:6" x14ac:dyDescent="0.3">
      <c r="B50" s="2"/>
      <c r="C50" s="44"/>
    </row>
    <row r="51" spans="2:6" x14ac:dyDescent="0.3">
      <c r="B51" s="1" t="s">
        <v>150</v>
      </c>
    </row>
    <row r="52" spans="2:6" x14ac:dyDescent="0.3">
      <c r="B52" s="2"/>
    </row>
    <row r="53" spans="2:6" x14ac:dyDescent="0.3">
      <c r="B53" s="2" t="s">
        <v>151</v>
      </c>
      <c r="C53" s="6">
        <f>'Caso 1'!K25</f>
        <v>52060</v>
      </c>
    </row>
    <row r="54" spans="2:6" x14ac:dyDescent="0.3">
      <c r="B54" s="2" t="s">
        <v>152</v>
      </c>
      <c r="C54" s="6">
        <f>'Caso 1'!E28</f>
        <v>65444</v>
      </c>
    </row>
    <row r="55" spans="2:6" x14ac:dyDescent="0.3">
      <c r="B55" s="1" t="s">
        <v>153</v>
      </c>
      <c r="C55" s="56">
        <f t="shared" ref="C55" si="2">C53/C54</f>
        <v>0.79548927327180485</v>
      </c>
      <c r="E55" s="49"/>
    </row>
    <row r="56" spans="2:6" x14ac:dyDescent="0.3">
      <c r="B56" s="2"/>
    </row>
    <row r="57" spans="2:6" x14ac:dyDescent="0.3">
      <c r="B57" s="2" t="s">
        <v>154</v>
      </c>
      <c r="C57" s="6">
        <f>'Caso 1'!K22+'Caso 1'!I36+'Caso 1'!I37</f>
        <v>14183</v>
      </c>
      <c r="F57" s="42" t="s">
        <v>194</v>
      </c>
    </row>
    <row r="58" spans="2:6" x14ac:dyDescent="0.3">
      <c r="B58" s="2" t="s">
        <v>152</v>
      </c>
      <c r="C58" s="6">
        <f>C54</f>
        <v>65444</v>
      </c>
    </row>
    <row r="59" spans="2:6" x14ac:dyDescent="0.3">
      <c r="B59" s="1" t="s">
        <v>192</v>
      </c>
      <c r="C59" s="56">
        <f>C57/C58</f>
        <v>0.21671963816392642</v>
      </c>
    </row>
    <row r="60" spans="2:6" x14ac:dyDescent="0.3">
      <c r="B60" s="2"/>
    </row>
    <row r="61" spans="2:6" x14ac:dyDescent="0.3">
      <c r="B61" s="2" t="s">
        <v>154</v>
      </c>
      <c r="C61" s="6">
        <f>C57</f>
        <v>14183</v>
      </c>
    </row>
    <row r="62" spans="2:6" x14ac:dyDescent="0.3">
      <c r="B62" s="2" t="s">
        <v>94</v>
      </c>
      <c r="C62" s="6">
        <f>'Caso 1'!K31</f>
        <v>13384</v>
      </c>
    </row>
    <row r="63" spans="2:6" x14ac:dyDescent="0.3">
      <c r="B63" s="1" t="s">
        <v>155</v>
      </c>
      <c r="C63" s="43">
        <f>C61/C62</f>
        <v>1.0596981470412432</v>
      </c>
    </row>
    <row r="64" spans="2:6" x14ac:dyDescent="0.3">
      <c r="B64" s="2"/>
      <c r="C64" s="44"/>
    </row>
    <row r="65" spans="1:6" x14ac:dyDescent="0.3">
      <c r="B65" s="2" t="s">
        <v>154</v>
      </c>
      <c r="C65" s="6">
        <f>C61</f>
        <v>14183</v>
      </c>
      <c r="D65" s="46"/>
    </row>
    <row r="66" spans="1:6" x14ac:dyDescent="0.3">
      <c r="B66" s="2" t="s">
        <v>97</v>
      </c>
      <c r="C66" s="6">
        <f>'Caso 1'!E55+'Caso 1'!E77</f>
        <v>8514</v>
      </c>
    </row>
    <row r="67" spans="1:6" x14ac:dyDescent="0.3">
      <c r="B67" s="1" t="s">
        <v>167</v>
      </c>
      <c r="C67" s="52">
        <f>C65/C66</f>
        <v>1.6658444914258868</v>
      </c>
    </row>
    <row r="68" spans="1:6" x14ac:dyDescent="0.3">
      <c r="B68" s="2"/>
      <c r="C68" s="6"/>
    </row>
    <row r="69" spans="1:6" x14ac:dyDescent="0.3">
      <c r="B69" s="2"/>
    </row>
    <row r="70" spans="1:6" x14ac:dyDescent="0.3">
      <c r="B70" s="2" t="s">
        <v>98</v>
      </c>
      <c r="C70" s="6">
        <f>'Caso 1'!E55</f>
        <v>2233</v>
      </c>
    </row>
    <row r="71" spans="1:6" x14ac:dyDescent="0.3">
      <c r="B71" s="2" t="s">
        <v>83</v>
      </c>
      <c r="C71" s="6">
        <f>-'Caso 1'!E58</f>
        <v>459</v>
      </c>
    </row>
    <row r="72" spans="1:6" x14ac:dyDescent="0.3">
      <c r="B72" s="1" t="s">
        <v>99</v>
      </c>
      <c r="C72" s="4">
        <f>C70/C71</f>
        <v>4.8649237472766886</v>
      </c>
    </row>
    <row r="73" spans="1:6" x14ac:dyDescent="0.3">
      <c r="B73" s="2"/>
    </row>
    <row r="74" spans="1:6" x14ac:dyDescent="0.3">
      <c r="B74" s="2"/>
      <c r="C74" s="6"/>
    </row>
    <row r="75" spans="1:6" x14ac:dyDescent="0.3">
      <c r="B75" s="2" t="s">
        <v>101</v>
      </c>
      <c r="C75" s="6">
        <f>C70</f>
        <v>2233</v>
      </c>
    </row>
    <row r="76" spans="1:6" x14ac:dyDescent="0.3">
      <c r="B76" s="2" t="s">
        <v>102</v>
      </c>
      <c r="C76" s="6">
        <f>C71+ABS('Caso 1'!E100)/(1-'Caso 1'!G64)</f>
        <v>4650.4822006472496</v>
      </c>
    </row>
    <row r="77" spans="1:6" x14ac:dyDescent="0.3">
      <c r="B77" s="1" t="s">
        <v>100</v>
      </c>
      <c r="C77" s="6">
        <f>C75/C76</f>
        <v>0.48016526107533825</v>
      </c>
      <c r="F77" s="42" t="s">
        <v>195</v>
      </c>
    </row>
    <row r="78" spans="1:6" x14ac:dyDescent="0.3">
      <c r="B78" s="2"/>
      <c r="C78" s="42"/>
      <c r="F78" s="42" t="s">
        <v>196</v>
      </c>
    </row>
    <row r="79" spans="1:6" x14ac:dyDescent="0.3">
      <c r="A79" s="42">
        <v>3</v>
      </c>
      <c r="B79" s="2" t="s">
        <v>186</v>
      </c>
      <c r="C79" s="6"/>
    </row>
    <row r="80" spans="1:6" x14ac:dyDescent="0.3">
      <c r="A80" s="42">
        <v>4</v>
      </c>
      <c r="B80" s="2" t="s">
        <v>197</v>
      </c>
    </row>
    <row r="81" spans="2:2" x14ac:dyDescent="0.3">
      <c r="B81" s="2" t="s">
        <v>198</v>
      </c>
    </row>
    <row r="82" spans="2:2" x14ac:dyDescent="0.3">
      <c r="B82" s="2"/>
    </row>
    <row r="83" spans="2:2" x14ac:dyDescent="0.3">
      <c r="B83" s="2"/>
    </row>
    <row r="84" spans="2:2" x14ac:dyDescent="0.3">
      <c r="B84" s="2"/>
    </row>
    <row r="85" spans="2:2" x14ac:dyDescent="0.3">
      <c r="B85" s="2"/>
    </row>
    <row r="86" spans="2:2" x14ac:dyDescent="0.3">
      <c r="B86" s="2"/>
    </row>
    <row r="87" spans="2:2" x14ac:dyDescent="0.3">
      <c r="B87" s="2"/>
    </row>
    <row r="88" spans="2:2" x14ac:dyDescent="0.3">
      <c r="B88" s="2"/>
    </row>
    <row r="89" spans="2:2" x14ac:dyDescent="0.3">
      <c r="B89" s="2"/>
    </row>
    <row r="90" spans="2:2" x14ac:dyDescent="0.3">
      <c r="B90" s="2"/>
    </row>
    <row r="91" spans="2:2" x14ac:dyDescent="0.3">
      <c r="B91" s="2"/>
    </row>
    <row r="92" spans="2:2" x14ac:dyDescent="0.3">
      <c r="B92" s="2"/>
    </row>
    <row r="93" spans="2:2" x14ac:dyDescent="0.3">
      <c r="B93" s="2"/>
    </row>
    <row r="94" spans="2:2" x14ac:dyDescent="0.3">
      <c r="B94" s="2"/>
    </row>
    <row r="95" spans="2:2" x14ac:dyDescent="0.3">
      <c r="B95" s="2"/>
    </row>
    <row r="96" spans="2:2" x14ac:dyDescent="0.3">
      <c r="B96" s="2"/>
    </row>
    <row r="97" spans="2:2" x14ac:dyDescent="0.3">
      <c r="B97" s="2"/>
    </row>
    <row r="98" spans="2:2" x14ac:dyDescent="0.3">
      <c r="B98" s="2"/>
    </row>
    <row r="99" spans="2:2" x14ac:dyDescent="0.3">
      <c r="B99" s="2"/>
    </row>
    <row r="100" spans="2:2" x14ac:dyDescent="0.3">
      <c r="B100" s="2"/>
    </row>
    <row r="101" spans="2:2" x14ac:dyDescent="0.3">
      <c r="B101"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zoomScaleNormal="100" workbookViewId="0">
      <selection activeCell="C10" sqref="C10"/>
    </sheetView>
  </sheetViews>
  <sheetFormatPr baseColWidth="10" defaultColWidth="9.140625" defaultRowHeight="15" x14ac:dyDescent="0.25"/>
  <cols>
    <col min="3" max="3" width="39.140625" bestFit="1" customWidth="1"/>
  </cols>
  <sheetData>
    <row r="1" spans="1:7" x14ac:dyDescent="0.25">
      <c r="A1" s="2">
        <v>1</v>
      </c>
      <c r="B1" s="2" t="s">
        <v>73</v>
      </c>
      <c r="C1" s="2"/>
      <c r="D1" s="2"/>
      <c r="E1" s="2"/>
      <c r="F1" s="2"/>
    </row>
    <row r="2" spans="1:7" x14ac:dyDescent="0.25">
      <c r="A2" s="2"/>
      <c r="B2" s="2" t="s">
        <v>74</v>
      </c>
      <c r="C2" s="2"/>
      <c r="D2" s="2"/>
      <c r="E2" s="2"/>
      <c r="F2" s="2"/>
    </row>
    <row r="3" spans="1:7" x14ac:dyDescent="0.25">
      <c r="A3" s="2"/>
      <c r="B3" s="2" t="s">
        <v>75</v>
      </c>
      <c r="C3" s="2"/>
      <c r="D3" s="2"/>
      <c r="E3" s="2"/>
      <c r="F3" s="2"/>
    </row>
    <row r="4" spans="1:7" x14ac:dyDescent="0.25">
      <c r="A4" s="2"/>
      <c r="B4" s="2" t="s">
        <v>76</v>
      </c>
      <c r="C4" s="2"/>
      <c r="D4" s="2"/>
      <c r="E4" s="2"/>
      <c r="F4" s="2"/>
    </row>
    <row r="5" spans="1:7" x14ac:dyDescent="0.25">
      <c r="A5" s="2"/>
      <c r="B5" s="2" t="s">
        <v>77</v>
      </c>
      <c r="C5" s="2"/>
      <c r="D5" s="2"/>
      <c r="E5" s="2"/>
      <c r="F5" s="2"/>
    </row>
    <row r="6" spans="1:7" x14ac:dyDescent="0.25">
      <c r="A6" s="2"/>
      <c r="B6" s="2"/>
      <c r="C6" s="2"/>
      <c r="D6" s="2"/>
      <c r="E6" s="2"/>
      <c r="F6" s="2"/>
    </row>
    <row r="7" spans="1:7" x14ac:dyDescent="0.25">
      <c r="A7" s="2"/>
      <c r="B7" s="2"/>
      <c r="C7" s="2"/>
      <c r="D7" s="2"/>
      <c r="E7" s="2"/>
      <c r="F7" s="2"/>
    </row>
    <row r="8" spans="1:7" x14ac:dyDescent="0.25">
      <c r="A8" s="2"/>
      <c r="C8" s="2"/>
      <c r="D8" s="2"/>
      <c r="E8" s="1">
        <v>2014</v>
      </c>
      <c r="F8" s="1">
        <v>2013</v>
      </c>
      <c r="G8" s="1">
        <v>2012</v>
      </c>
    </row>
    <row r="9" spans="1:7" x14ac:dyDescent="0.25">
      <c r="A9" s="2"/>
      <c r="C9" s="2" t="s">
        <v>89</v>
      </c>
      <c r="D9" s="9"/>
      <c r="E9" s="5">
        <f>F9*1.05</f>
        <v>11025</v>
      </c>
      <c r="F9" s="5">
        <v>10500</v>
      </c>
      <c r="G9" s="5">
        <v>10000</v>
      </c>
    </row>
    <row r="10" spans="1:7" x14ac:dyDescent="0.25">
      <c r="A10" s="2"/>
      <c r="C10" s="1" t="s">
        <v>78</v>
      </c>
      <c r="D10" s="10"/>
      <c r="E10" s="7">
        <v>12127.5</v>
      </c>
      <c r="F10" s="7">
        <v>12075</v>
      </c>
      <c r="G10" s="7">
        <v>10000</v>
      </c>
    </row>
    <row r="11" spans="1:7" x14ac:dyDescent="0.25">
      <c r="A11" s="2"/>
      <c r="C11" s="2" t="s">
        <v>79</v>
      </c>
      <c r="D11" s="10"/>
      <c r="E11" s="5">
        <v>5612.5</v>
      </c>
      <c r="F11" s="5">
        <v>6300</v>
      </c>
      <c r="G11" s="5">
        <v>4000</v>
      </c>
    </row>
    <row r="12" spans="1:7" x14ac:dyDescent="0.25">
      <c r="A12" s="2"/>
      <c r="C12" s="1" t="s">
        <v>80</v>
      </c>
      <c r="D12" s="1"/>
      <c r="E12" s="7">
        <f>E10-E11</f>
        <v>6515</v>
      </c>
      <c r="F12" s="7">
        <f>F10-F11</f>
        <v>5775</v>
      </c>
      <c r="G12" s="7">
        <f>G10-G11</f>
        <v>6000</v>
      </c>
    </row>
    <row r="13" spans="1:7" x14ac:dyDescent="0.25">
      <c r="A13" s="2"/>
      <c r="C13" s="2" t="s">
        <v>81</v>
      </c>
      <c r="D13" s="2"/>
      <c r="E13" s="5">
        <v>2800</v>
      </c>
      <c r="F13" s="5">
        <v>2500</v>
      </c>
      <c r="G13" s="5">
        <v>3000</v>
      </c>
    </row>
    <row r="14" spans="1:7" x14ac:dyDescent="0.25">
      <c r="A14" s="2"/>
      <c r="C14" s="1" t="s">
        <v>82</v>
      </c>
      <c r="D14" s="1"/>
      <c r="E14" s="7">
        <f>E12-E13</f>
        <v>3715</v>
      </c>
      <c r="F14" s="7">
        <f>F12-F13</f>
        <v>3275</v>
      </c>
      <c r="G14" s="7">
        <f>G12-G13</f>
        <v>3000</v>
      </c>
    </row>
    <row r="15" spans="1:7" x14ac:dyDescent="0.25">
      <c r="A15" s="2"/>
      <c r="C15" s="2" t="s">
        <v>83</v>
      </c>
      <c r="D15" s="2"/>
      <c r="E15" s="5">
        <v>300</v>
      </c>
      <c r="F15" s="5">
        <v>350</v>
      </c>
      <c r="G15" s="5">
        <v>250</v>
      </c>
    </row>
    <row r="16" spans="1:7" x14ac:dyDescent="0.25">
      <c r="A16" s="2"/>
      <c r="C16" s="1" t="s">
        <v>84</v>
      </c>
      <c r="D16" s="1"/>
      <c r="E16" s="7">
        <f>E14-E15</f>
        <v>3415</v>
      </c>
      <c r="F16" s="7">
        <f t="shared" ref="F16:G16" si="0">F14-F15</f>
        <v>2925</v>
      </c>
      <c r="G16" s="7">
        <f t="shared" si="0"/>
        <v>2750</v>
      </c>
    </row>
    <row r="17" spans="1:7" x14ac:dyDescent="0.25">
      <c r="A17" s="2"/>
      <c r="C17" s="2" t="s">
        <v>85</v>
      </c>
      <c r="D17" s="2"/>
      <c r="E17" s="5">
        <v>703</v>
      </c>
      <c r="F17" s="5">
        <v>526.5</v>
      </c>
      <c r="G17" s="5">
        <v>550</v>
      </c>
    </row>
    <row r="18" spans="1:7" x14ac:dyDescent="0.25">
      <c r="A18" s="2"/>
      <c r="C18" s="1" t="s">
        <v>86</v>
      </c>
      <c r="D18" s="1"/>
      <c r="E18" s="7">
        <f>E16-E17</f>
        <v>2712</v>
      </c>
      <c r="F18" s="7">
        <f t="shared" ref="F18:G18" si="1">F16-F17</f>
        <v>2398.5</v>
      </c>
      <c r="G18" s="7">
        <f t="shared" si="1"/>
        <v>2200</v>
      </c>
    </row>
    <row r="19" spans="1:7" x14ac:dyDescent="0.25">
      <c r="A19" s="2"/>
      <c r="C19" s="1"/>
      <c r="D19" s="1"/>
      <c r="E19" s="7"/>
      <c r="F19" s="7"/>
      <c r="G19" s="7"/>
    </row>
    <row r="20" spans="1:7" x14ac:dyDescent="0.25">
      <c r="A20" s="2"/>
      <c r="C20" s="2" t="s">
        <v>87</v>
      </c>
      <c r="D20" s="2"/>
      <c r="E20" s="5">
        <v>600</v>
      </c>
      <c r="F20" s="5">
        <v>500</v>
      </c>
      <c r="G20" s="5">
        <v>500</v>
      </c>
    </row>
    <row r="21" spans="1:7" x14ac:dyDescent="0.25">
      <c r="A21" s="2"/>
      <c r="C21" s="2" t="s">
        <v>88</v>
      </c>
      <c r="D21" s="2"/>
      <c r="E21" s="2">
        <v>50</v>
      </c>
      <c r="F21" s="2">
        <v>50</v>
      </c>
      <c r="G21" s="2">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N40"/>
  <sheetViews>
    <sheetView topLeftCell="B22" workbookViewId="0">
      <selection activeCell="D26" sqref="D26"/>
    </sheetView>
  </sheetViews>
  <sheetFormatPr baseColWidth="10" defaultColWidth="9.140625" defaultRowHeight="13.5" x14ac:dyDescent="0.25"/>
  <cols>
    <col min="1" max="1" width="9.140625" style="2"/>
    <col min="2" max="2" width="36.5703125" style="2" customWidth="1"/>
    <col min="3" max="3" width="6.7109375" style="2" customWidth="1"/>
    <col min="4" max="4" width="10.140625" style="2" bestFit="1" customWidth="1"/>
    <col min="5" max="7" width="9.140625" style="2"/>
    <col min="8" max="8" width="24.85546875" style="2" customWidth="1"/>
    <col min="9" max="16384" width="9.140625" style="2"/>
  </cols>
  <sheetData>
    <row r="2" spans="1:14" x14ac:dyDescent="0.25">
      <c r="A2" s="1">
        <v>1</v>
      </c>
      <c r="B2" s="1" t="s">
        <v>73</v>
      </c>
    </row>
    <row r="3" spans="1:14" x14ac:dyDescent="0.25">
      <c r="A3" s="1"/>
      <c r="B3" s="1" t="s">
        <v>74</v>
      </c>
    </row>
    <row r="4" spans="1:14" x14ac:dyDescent="0.25">
      <c r="A4" s="1"/>
      <c r="B4" s="1" t="s">
        <v>75</v>
      </c>
    </row>
    <row r="5" spans="1:14" x14ac:dyDescent="0.25">
      <c r="A5" s="1"/>
      <c r="B5" s="1" t="s">
        <v>76</v>
      </c>
    </row>
    <row r="6" spans="1:14" x14ac:dyDescent="0.25">
      <c r="A6" s="1"/>
      <c r="B6" s="1" t="s">
        <v>77</v>
      </c>
    </row>
    <row r="9" spans="1:14" x14ac:dyDescent="0.25">
      <c r="D9" s="1">
        <v>2014</v>
      </c>
      <c r="E9" s="1">
        <v>2013</v>
      </c>
      <c r="F9" s="1">
        <v>2012</v>
      </c>
      <c r="I9" s="1">
        <v>2014</v>
      </c>
      <c r="J9" s="1">
        <v>2013</v>
      </c>
      <c r="K9" s="1">
        <v>2012</v>
      </c>
    </row>
    <row r="10" spans="1:14" x14ac:dyDescent="0.25">
      <c r="B10" s="2" t="s">
        <v>133</v>
      </c>
      <c r="C10" s="9">
        <f>D10/E10-1</f>
        <v>5.0000000000000044E-2</v>
      </c>
      <c r="D10" s="5">
        <f>E10*1.05</f>
        <v>11025</v>
      </c>
      <c r="E10" s="5">
        <v>10500</v>
      </c>
      <c r="F10" s="5">
        <v>10000</v>
      </c>
      <c r="G10" s="9">
        <f>E10/F10-1</f>
        <v>5.0000000000000044E-2</v>
      </c>
    </row>
    <row r="11" spans="1:14" x14ac:dyDescent="0.25">
      <c r="B11" s="1" t="s">
        <v>78</v>
      </c>
      <c r="C11" s="10">
        <f>D11/E11-1</f>
        <v>4.3478260869564966E-3</v>
      </c>
      <c r="D11" s="7">
        <v>12127.5</v>
      </c>
      <c r="E11" s="7">
        <v>12075</v>
      </c>
      <c r="F11" s="7">
        <v>10000</v>
      </c>
      <c r="G11" s="9">
        <f>E11/F11-1</f>
        <v>0.20750000000000002</v>
      </c>
    </row>
    <row r="12" spans="1:14" x14ac:dyDescent="0.25">
      <c r="B12" s="2" t="s">
        <v>79</v>
      </c>
      <c r="C12" s="10">
        <f>D12/E12-1</f>
        <v>-0.10912698412698407</v>
      </c>
      <c r="D12" s="5">
        <v>5612.5</v>
      </c>
      <c r="E12" s="5">
        <v>6300</v>
      </c>
      <c r="F12" s="5">
        <v>4000</v>
      </c>
      <c r="G12" s="9">
        <f>E12/F12-1</f>
        <v>0.57499999999999996</v>
      </c>
    </row>
    <row r="13" spans="1:14" x14ac:dyDescent="0.25">
      <c r="B13" s="1" t="s">
        <v>80</v>
      </c>
      <c r="C13" s="1"/>
      <c r="D13" s="7">
        <f>D11-D12</f>
        <v>6515</v>
      </c>
      <c r="E13" s="7">
        <f>E11-E12</f>
        <v>5775</v>
      </c>
      <c r="F13" s="7">
        <f>F11-F12</f>
        <v>6000</v>
      </c>
      <c r="H13" s="2" t="s">
        <v>134</v>
      </c>
      <c r="I13" s="9">
        <f>D13/D$11</f>
        <v>0.53720882292310868</v>
      </c>
      <c r="J13" s="9">
        <f t="shared" ref="J13:K13" si="0">E13/E$11</f>
        <v>0.47826086956521741</v>
      </c>
      <c r="K13" s="9">
        <f t="shared" si="0"/>
        <v>0.6</v>
      </c>
      <c r="L13" s="9">
        <f>J13-K13</f>
        <v>-0.12173913043478257</v>
      </c>
      <c r="N13" s="9"/>
    </row>
    <row r="14" spans="1:14" x14ac:dyDescent="0.25">
      <c r="B14" s="2" t="s">
        <v>81</v>
      </c>
      <c r="D14" s="5">
        <v>2800</v>
      </c>
      <c r="E14" s="5">
        <v>2500</v>
      </c>
      <c r="F14" s="5">
        <v>3000</v>
      </c>
      <c r="G14" s="9"/>
      <c r="H14" s="9"/>
    </row>
    <row r="15" spans="1:14" x14ac:dyDescent="0.25">
      <c r="B15" s="1" t="s">
        <v>82</v>
      </c>
      <c r="C15" s="1"/>
      <c r="D15" s="7">
        <f>D13-D14</f>
        <v>3715</v>
      </c>
      <c r="E15" s="7">
        <f>E13-E14</f>
        <v>3275</v>
      </c>
      <c r="F15" s="7">
        <f>F13-F14</f>
        <v>3000</v>
      </c>
      <c r="H15" s="2" t="s">
        <v>135</v>
      </c>
      <c r="I15" s="9">
        <f>D15/D$11</f>
        <v>0.30632859204287777</v>
      </c>
      <c r="J15" s="9">
        <f t="shared" ref="J15:K15" si="1">E15/E$11</f>
        <v>0.27122153209109728</v>
      </c>
      <c r="K15" s="9">
        <f t="shared" si="1"/>
        <v>0.3</v>
      </c>
    </row>
    <row r="16" spans="1:14" x14ac:dyDescent="0.25">
      <c r="B16" s="2" t="s">
        <v>83</v>
      </c>
      <c r="D16" s="5">
        <v>300</v>
      </c>
      <c r="E16" s="5">
        <v>350</v>
      </c>
      <c r="F16" s="5">
        <v>250</v>
      </c>
    </row>
    <row r="17" spans="1:11" x14ac:dyDescent="0.25">
      <c r="B17" s="1" t="s">
        <v>84</v>
      </c>
      <c r="C17" s="1"/>
      <c r="D17" s="7">
        <f>D15-D16</f>
        <v>3415</v>
      </c>
      <c r="E17" s="7">
        <f t="shared" ref="E17:F17" si="2">E15-E16</f>
        <v>2925</v>
      </c>
      <c r="F17" s="7">
        <f t="shared" si="2"/>
        <v>2750</v>
      </c>
    </row>
    <row r="18" spans="1:11" x14ac:dyDescent="0.25">
      <c r="B18" s="2" t="s">
        <v>85</v>
      </c>
      <c r="D18" s="5">
        <v>703</v>
      </c>
      <c r="E18" s="5">
        <v>526.5</v>
      </c>
      <c r="F18" s="5">
        <v>550</v>
      </c>
      <c r="H18" s="2" t="s">
        <v>136</v>
      </c>
      <c r="I18" s="9">
        <f>D18/D17</f>
        <v>0.20585651537335287</v>
      </c>
      <c r="J18" s="9">
        <f>E18/E17</f>
        <v>0.18</v>
      </c>
      <c r="K18" s="9">
        <f>F18/F17</f>
        <v>0.2</v>
      </c>
    </row>
    <row r="19" spans="1:11" x14ac:dyDescent="0.25">
      <c r="B19" s="1" t="s">
        <v>86</v>
      </c>
      <c r="C19" s="1"/>
      <c r="D19" s="7">
        <f>D17-D18</f>
        <v>2712</v>
      </c>
      <c r="E19" s="7">
        <f t="shared" ref="E19:F19" si="3">E17-E18</f>
        <v>2398.5</v>
      </c>
      <c r="F19" s="7">
        <f t="shared" si="3"/>
        <v>2200</v>
      </c>
      <c r="H19" s="2" t="s">
        <v>137</v>
      </c>
      <c r="I19" s="9">
        <f>D19/D$11</f>
        <v>0.22362399505256647</v>
      </c>
      <c r="J19" s="9">
        <f t="shared" ref="J19:K19" si="4">E19/E$11</f>
        <v>0.19863354037267081</v>
      </c>
      <c r="K19" s="9">
        <f t="shared" si="4"/>
        <v>0.22</v>
      </c>
    </row>
    <row r="20" spans="1:11" x14ac:dyDescent="0.25">
      <c r="B20" s="1"/>
      <c r="C20" s="1"/>
      <c r="D20" s="7"/>
      <c r="E20" s="7"/>
      <c r="F20" s="7"/>
    </row>
    <row r="21" spans="1:11" x14ac:dyDescent="0.25">
      <c r="B21" s="2" t="s">
        <v>87</v>
      </c>
      <c r="D21" s="5">
        <v>600</v>
      </c>
      <c r="E21" s="5">
        <v>500</v>
      </c>
      <c r="F21" s="5">
        <v>500</v>
      </c>
    </row>
    <row r="22" spans="1:11" x14ac:dyDescent="0.25">
      <c r="B22" s="2" t="s">
        <v>88</v>
      </c>
      <c r="D22" s="2">
        <v>50</v>
      </c>
      <c r="E22" s="2">
        <v>50</v>
      </c>
      <c r="F22" s="2">
        <v>50</v>
      </c>
    </row>
    <row r="23" spans="1:11" x14ac:dyDescent="0.25">
      <c r="B23" s="1" t="s">
        <v>97</v>
      </c>
      <c r="C23" s="1"/>
      <c r="D23" s="7">
        <f>D15+D21+D22</f>
        <v>4365</v>
      </c>
      <c r="E23" s="7">
        <f t="shared" ref="E23:F23" si="5">E15+E21+E22</f>
        <v>3825</v>
      </c>
      <c r="F23" s="7">
        <f t="shared" si="5"/>
        <v>3550</v>
      </c>
      <c r="H23" s="2" t="s">
        <v>138</v>
      </c>
      <c r="I23" s="9">
        <f>D23/D11</f>
        <v>0.35992578849721707</v>
      </c>
      <c r="J23" s="9">
        <f t="shared" ref="J23:K23" si="6">E23/E11</f>
        <v>0.31677018633540371</v>
      </c>
      <c r="K23" s="9">
        <f t="shared" si="6"/>
        <v>0.35499999999999998</v>
      </c>
    </row>
    <row r="24" spans="1:11" x14ac:dyDescent="0.25">
      <c r="D24" s="41"/>
      <c r="E24" s="41"/>
      <c r="F24" s="41"/>
    </row>
    <row r="25" spans="1:11" x14ac:dyDescent="0.25">
      <c r="B25" s="2" t="s">
        <v>199</v>
      </c>
      <c r="C25" s="9">
        <f>D25/E25-1</f>
        <v>-4.3478260869565077E-2</v>
      </c>
      <c r="D25" s="47">
        <f>D11/D10</f>
        <v>1.1000000000000001</v>
      </c>
      <c r="E25" s="47">
        <f t="shared" ref="E25:F25" si="7">E11/E10</f>
        <v>1.1499999999999999</v>
      </c>
      <c r="F25" s="47">
        <f t="shared" si="7"/>
        <v>1</v>
      </c>
      <c r="G25" s="9">
        <f>E25/F25-1</f>
        <v>0.14999999999999991</v>
      </c>
    </row>
    <row r="26" spans="1:11" x14ac:dyDescent="0.25">
      <c r="B26" s="2" t="s">
        <v>200</v>
      </c>
      <c r="C26" s="9">
        <f>D26/E26-1</f>
        <v>-0.15154950869236572</v>
      </c>
      <c r="D26" s="47">
        <f>D12/D10</f>
        <v>0.50907029478458055</v>
      </c>
      <c r="E26" s="47">
        <f t="shared" ref="E26:F26" si="8">E12/E10</f>
        <v>0.6</v>
      </c>
      <c r="F26" s="47">
        <f t="shared" si="8"/>
        <v>0.4</v>
      </c>
      <c r="G26" s="9">
        <f>E26/F26-1</f>
        <v>0.49999999999999978</v>
      </c>
    </row>
    <row r="27" spans="1:11" x14ac:dyDescent="0.25">
      <c r="D27" s="41"/>
      <c r="E27" s="41"/>
      <c r="F27" s="41"/>
    </row>
    <row r="28" spans="1:11" x14ac:dyDescent="0.25">
      <c r="A28" s="11" t="s">
        <v>95</v>
      </c>
      <c r="B28" s="2" t="s">
        <v>139</v>
      </c>
      <c r="D28" s="41"/>
      <c r="E28" s="41"/>
      <c r="F28" s="41"/>
    </row>
    <row r="29" spans="1:11" x14ac:dyDescent="0.25">
      <c r="A29" s="11"/>
      <c r="D29" s="41"/>
      <c r="E29" s="41"/>
      <c r="F29" s="41"/>
    </row>
    <row r="30" spans="1:11" x14ac:dyDescent="0.25">
      <c r="A30" s="11" t="s">
        <v>96</v>
      </c>
      <c r="B30" s="2" t="s">
        <v>201</v>
      </c>
      <c r="D30" s="41"/>
      <c r="E30" s="41"/>
      <c r="F30" s="41"/>
    </row>
    <row r="31" spans="1:11" x14ac:dyDescent="0.25">
      <c r="A31" s="11"/>
      <c r="B31" s="2" t="s">
        <v>202</v>
      </c>
      <c r="D31" s="41"/>
      <c r="E31" s="41"/>
      <c r="F31" s="41"/>
    </row>
    <row r="32" spans="1:11" x14ac:dyDescent="0.25">
      <c r="A32" s="11"/>
      <c r="D32" s="41"/>
      <c r="E32" s="41"/>
      <c r="F32" s="41"/>
    </row>
    <row r="33" spans="1:6" x14ac:dyDescent="0.25">
      <c r="B33" s="2" t="s">
        <v>203</v>
      </c>
      <c r="D33" s="41"/>
      <c r="E33" s="41"/>
      <c r="F33" s="41"/>
    </row>
    <row r="34" spans="1:6" x14ac:dyDescent="0.25">
      <c r="B34" s="2" t="s">
        <v>204</v>
      </c>
      <c r="D34" s="41"/>
      <c r="E34" s="41"/>
      <c r="F34" s="41"/>
    </row>
    <row r="35" spans="1:6" x14ac:dyDescent="0.25">
      <c r="D35" s="41"/>
      <c r="E35" s="41"/>
      <c r="F35" s="41"/>
    </row>
    <row r="36" spans="1:6" x14ac:dyDescent="0.25">
      <c r="A36" s="11" t="s">
        <v>122</v>
      </c>
      <c r="B36" s="2" t="s">
        <v>140</v>
      </c>
      <c r="D36" s="41"/>
      <c r="E36" s="41"/>
      <c r="F36" s="41"/>
    </row>
    <row r="37" spans="1:6" x14ac:dyDescent="0.25">
      <c r="A37" s="11"/>
      <c r="D37" s="41"/>
      <c r="E37" s="41"/>
      <c r="F37" s="41"/>
    </row>
    <row r="38" spans="1:6" x14ac:dyDescent="0.25">
      <c r="A38" s="11" t="s">
        <v>141</v>
      </c>
      <c r="B38" s="2" t="s">
        <v>142</v>
      </c>
      <c r="D38" s="41"/>
      <c r="E38" s="41"/>
      <c r="F38" s="41"/>
    </row>
    <row r="39" spans="1:6" x14ac:dyDescent="0.25">
      <c r="A39" s="11"/>
      <c r="B39" s="2" t="s">
        <v>143</v>
      </c>
      <c r="D39" s="41"/>
      <c r="E39" s="41"/>
      <c r="F39" s="41"/>
    </row>
    <row r="40" spans="1:6" x14ac:dyDescent="0.25">
      <c r="D40" s="41"/>
      <c r="E40" s="41"/>
      <c r="F40" s="4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
  <sheetViews>
    <sheetView workbookViewId="0">
      <selection activeCell="H1" sqref="H1"/>
    </sheetView>
  </sheetViews>
  <sheetFormatPr baseColWidth="10" defaultColWidth="9.140625" defaultRowHeight="15" x14ac:dyDescent="0.25"/>
  <cols>
    <col min="2" max="2" width="12.140625" customWidth="1"/>
    <col min="3" max="3" width="17.140625" customWidth="1"/>
  </cols>
  <sheetData>
    <row r="1" spans="1:7" x14ac:dyDescent="0.25">
      <c r="A1" s="2">
        <v>1</v>
      </c>
      <c r="B1" s="2" t="s">
        <v>90</v>
      </c>
      <c r="C1" s="2"/>
    </row>
    <row r="2" spans="1:7" x14ac:dyDescent="0.25">
      <c r="A2" s="2"/>
      <c r="B2" s="2" t="s">
        <v>91</v>
      </c>
      <c r="C2" s="2"/>
    </row>
    <row r="3" spans="1:7" x14ac:dyDescent="0.25">
      <c r="A3" s="2"/>
      <c r="B3" s="2" t="s">
        <v>92</v>
      </c>
      <c r="C3" s="2"/>
    </row>
    <row r="4" spans="1:7" x14ac:dyDescent="0.25">
      <c r="A4" s="2"/>
      <c r="B4" s="2" t="s">
        <v>93</v>
      </c>
      <c r="C4" s="2"/>
    </row>
    <row r="6" spans="1:7" x14ac:dyDescent="0.25">
      <c r="A6" s="2">
        <v>2</v>
      </c>
      <c r="B6" s="30" t="s">
        <v>103</v>
      </c>
      <c r="C6" s="2"/>
      <c r="D6" s="3"/>
      <c r="E6" s="3"/>
      <c r="F6" s="3"/>
      <c r="G6" s="2"/>
    </row>
    <row r="7" spans="1:7" x14ac:dyDescent="0.25">
      <c r="B7" s="31" t="s">
        <v>104</v>
      </c>
      <c r="C7" s="2"/>
      <c r="D7" s="3"/>
      <c r="E7" s="3"/>
      <c r="F7" s="3"/>
      <c r="G7" s="2"/>
    </row>
    <row r="8" spans="1:7" x14ac:dyDescent="0.25">
      <c r="B8" s="31" t="s">
        <v>105</v>
      </c>
      <c r="C8" s="2"/>
      <c r="D8" s="3"/>
      <c r="E8" s="3"/>
      <c r="F8" s="3"/>
      <c r="G8" s="2"/>
    </row>
    <row r="9" spans="1:7" x14ac:dyDescent="0.25">
      <c r="B9" s="31" t="s">
        <v>106</v>
      </c>
      <c r="C9" s="2"/>
      <c r="D9" s="3"/>
      <c r="E9" s="3"/>
      <c r="F9" s="3"/>
      <c r="G9" s="2"/>
    </row>
    <row r="10" spans="1:7" x14ac:dyDescent="0.25">
      <c r="B10" s="12"/>
      <c r="C10" s="2"/>
      <c r="D10" s="3"/>
      <c r="E10" s="3"/>
      <c r="F10" s="3"/>
      <c r="G10" s="2"/>
    </row>
    <row r="11" spans="1:7" x14ac:dyDescent="0.25">
      <c r="B11" s="2"/>
      <c r="C11" s="2"/>
      <c r="D11" s="4">
        <v>2014</v>
      </c>
      <c r="E11" s="13">
        <v>2013</v>
      </c>
      <c r="F11" s="13">
        <v>2012</v>
      </c>
      <c r="G11" s="4">
        <v>2011</v>
      </c>
    </row>
    <row r="12" spans="1:7" x14ac:dyDescent="0.25">
      <c r="B12" s="14" t="s">
        <v>107</v>
      </c>
      <c r="C12" s="15"/>
      <c r="D12" s="16">
        <v>35.555555555555557</v>
      </c>
      <c r="E12" s="16">
        <v>40.666666666666664</v>
      </c>
      <c r="F12" s="16">
        <v>40.5</v>
      </c>
      <c r="G12" s="17">
        <v>48.54545454545454</v>
      </c>
    </row>
    <row r="13" spans="1:7" x14ac:dyDescent="0.25">
      <c r="B13" s="18" t="s">
        <v>108</v>
      </c>
      <c r="C13" s="19"/>
      <c r="D13" s="20">
        <v>45.037037037037038</v>
      </c>
      <c r="E13" s="20">
        <v>58.4</v>
      </c>
      <c r="F13" s="20">
        <v>51.300000000000004</v>
      </c>
      <c r="G13" s="21">
        <v>76.8</v>
      </c>
    </row>
    <row r="14" spans="1:7" x14ac:dyDescent="0.25">
      <c r="B14" s="22" t="s">
        <v>109</v>
      </c>
      <c r="C14" s="23"/>
      <c r="D14" s="24">
        <v>0.36</v>
      </c>
      <c r="E14" s="24">
        <v>0.28000000000000003</v>
      </c>
      <c r="F14" s="24">
        <v>0.23</v>
      </c>
      <c r="G14" s="25">
        <v>0.22</v>
      </c>
    </row>
    <row r="15" spans="1:7" x14ac:dyDescent="0.25">
      <c r="B15" s="18" t="s">
        <v>110</v>
      </c>
      <c r="C15" s="19"/>
      <c r="D15" s="26">
        <v>780</v>
      </c>
      <c r="E15" s="26">
        <v>610</v>
      </c>
      <c r="F15" s="26">
        <v>495</v>
      </c>
      <c r="G15" s="27">
        <v>445</v>
      </c>
    </row>
    <row r="16" spans="1:7" x14ac:dyDescent="0.25">
      <c r="B16" s="22" t="s">
        <v>111</v>
      </c>
      <c r="C16" s="23"/>
      <c r="D16" s="28">
        <v>1520</v>
      </c>
      <c r="E16" s="28">
        <v>1460</v>
      </c>
      <c r="F16" s="28">
        <v>1140</v>
      </c>
      <c r="G16" s="29">
        <v>1280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4"/>
  <sheetViews>
    <sheetView tabSelected="1" topLeftCell="A30" workbookViewId="0">
      <selection activeCell="D51" sqref="D51"/>
    </sheetView>
  </sheetViews>
  <sheetFormatPr baseColWidth="10" defaultColWidth="9.140625" defaultRowHeight="15" x14ac:dyDescent="0.25"/>
  <cols>
    <col min="2" max="2" width="17.5703125" customWidth="1"/>
    <col min="3" max="3" width="14" customWidth="1"/>
  </cols>
  <sheetData>
    <row r="1" spans="1:18" x14ac:dyDescent="0.25">
      <c r="A1" s="1">
        <v>1</v>
      </c>
      <c r="B1" s="1" t="s">
        <v>90</v>
      </c>
    </row>
    <row r="2" spans="1:18" x14ac:dyDescent="0.25">
      <c r="A2" s="2"/>
      <c r="B2" s="1" t="s">
        <v>91</v>
      </c>
    </row>
    <row r="3" spans="1:18" x14ac:dyDescent="0.25">
      <c r="A3" s="2"/>
      <c r="B3" s="1" t="s">
        <v>92</v>
      </c>
    </row>
    <row r="4" spans="1:18" x14ac:dyDescent="0.25">
      <c r="A4" s="2"/>
      <c r="B4" s="1" t="s">
        <v>93</v>
      </c>
    </row>
    <row r="5" spans="1:18" x14ac:dyDescent="0.25">
      <c r="A5" s="2"/>
      <c r="B5" s="2"/>
      <c r="R5" s="2"/>
    </row>
    <row r="6" spans="1:18" x14ac:dyDescent="0.25">
      <c r="A6" s="1"/>
      <c r="B6" s="2"/>
      <c r="R6" s="2"/>
    </row>
    <row r="7" spans="1:18" x14ac:dyDescent="0.25">
      <c r="A7" s="2"/>
      <c r="B7" s="2" t="s">
        <v>131</v>
      </c>
      <c r="R7" s="2"/>
    </row>
    <row r="8" spans="1:18" x14ac:dyDescent="0.25">
      <c r="A8" s="2"/>
      <c r="B8" s="2"/>
      <c r="R8" s="2"/>
    </row>
    <row r="9" spans="1:18" x14ac:dyDescent="0.25">
      <c r="A9" s="11" t="s">
        <v>122</v>
      </c>
      <c r="B9" s="2" t="s">
        <v>132</v>
      </c>
      <c r="R9" s="2"/>
    </row>
    <row r="10" spans="1:18" x14ac:dyDescent="0.25">
      <c r="A10" s="2"/>
      <c r="B10" s="2" t="s">
        <v>205</v>
      </c>
      <c r="R10" s="2"/>
    </row>
    <row r="11" spans="1:18" x14ac:dyDescent="0.25">
      <c r="A11" s="2"/>
      <c r="B11" s="2"/>
      <c r="R11" s="2"/>
    </row>
    <row r="12" spans="1:18" s="2" customFormat="1" ht="13.5" x14ac:dyDescent="0.25">
      <c r="A12" s="1">
        <v>2</v>
      </c>
      <c r="B12" s="32" t="s">
        <v>103</v>
      </c>
      <c r="D12" s="3"/>
      <c r="E12" s="3"/>
      <c r="F12" s="3"/>
    </row>
    <row r="13" spans="1:18" s="2" customFormat="1" ht="13.5" x14ac:dyDescent="0.25">
      <c r="B13" s="33" t="s">
        <v>104</v>
      </c>
      <c r="D13" s="3"/>
      <c r="E13" s="3"/>
      <c r="F13" s="3"/>
    </row>
    <row r="14" spans="1:18" s="2" customFormat="1" ht="13.5" x14ac:dyDescent="0.25">
      <c r="B14" s="33" t="s">
        <v>105</v>
      </c>
      <c r="D14" s="3"/>
      <c r="E14" s="3"/>
      <c r="F14" s="3"/>
    </row>
    <row r="15" spans="1:18" s="2" customFormat="1" ht="13.5" x14ac:dyDescent="0.25">
      <c r="B15" s="33" t="s">
        <v>106</v>
      </c>
      <c r="D15" s="3"/>
      <c r="E15" s="3"/>
      <c r="F15" s="3"/>
    </row>
    <row r="16" spans="1:18" s="2" customFormat="1" x14ac:dyDescent="0.25">
      <c r="B16" s="12"/>
      <c r="D16" s="3"/>
      <c r="E16" s="3"/>
      <c r="F16" s="3"/>
    </row>
    <row r="17" spans="2:7" s="2" customFormat="1" ht="13.5" x14ac:dyDescent="0.25">
      <c r="D17" s="4">
        <v>2014</v>
      </c>
      <c r="E17" s="13">
        <v>2013</v>
      </c>
      <c r="F17" s="13">
        <v>2012</v>
      </c>
      <c r="G17" s="4">
        <v>2011</v>
      </c>
    </row>
    <row r="18" spans="2:7" s="2" customFormat="1" ht="13.5" x14ac:dyDescent="0.25">
      <c r="B18" s="14" t="s">
        <v>107</v>
      </c>
      <c r="C18" s="15"/>
      <c r="D18" s="16">
        <v>35.555555555555557</v>
      </c>
      <c r="E18" s="16">
        <v>40.666666666666664</v>
      </c>
      <c r="F18" s="16">
        <v>40.5</v>
      </c>
      <c r="G18" s="17">
        <v>48.54545454545454</v>
      </c>
    </row>
    <row r="19" spans="2:7" s="2" customFormat="1" ht="13.5" x14ac:dyDescent="0.25">
      <c r="B19" s="18" t="s">
        <v>108</v>
      </c>
      <c r="C19" s="19"/>
      <c r="D19" s="20">
        <v>45.037037037037038</v>
      </c>
      <c r="E19" s="20">
        <v>58.4</v>
      </c>
      <c r="F19" s="20">
        <v>51.300000000000004</v>
      </c>
      <c r="G19" s="21">
        <v>76.8</v>
      </c>
    </row>
    <row r="20" spans="2:7" s="2" customFormat="1" ht="13.5" x14ac:dyDescent="0.25">
      <c r="B20" s="22" t="s">
        <v>109</v>
      </c>
      <c r="C20" s="23"/>
      <c r="D20" s="24">
        <v>0.36</v>
      </c>
      <c r="E20" s="24">
        <v>0.28000000000000003</v>
      </c>
      <c r="F20" s="24">
        <v>0.23</v>
      </c>
      <c r="G20" s="25">
        <v>0.22</v>
      </c>
    </row>
    <row r="21" spans="2:7" s="2" customFormat="1" ht="13.5" x14ac:dyDescent="0.25">
      <c r="B21" s="18" t="s">
        <v>110</v>
      </c>
      <c r="C21" s="19"/>
      <c r="D21" s="26">
        <v>780</v>
      </c>
      <c r="E21" s="26">
        <v>610</v>
      </c>
      <c r="F21" s="26">
        <v>495</v>
      </c>
      <c r="G21" s="27">
        <v>445</v>
      </c>
    </row>
    <row r="22" spans="2:7" s="2" customFormat="1" ht="13.5" x14ac:dyDescent="0.25">
      <c r="B22" s="22" t="s">
        <v>111</v>
      </c>
      <c r="C22" s="23"/>
      <c r="D22" s="28">
        <v>1520</v>
      </c>
      <c r="E22" s="28">
        <v>1460</v>
      </c>
      <c r="F22" s="28">
        <v>1140</v>
      </c>
      <c r="G22" s="29">
        <v>1280</v>
      </c>
    </row>
    <row r="23" spans="2:7" s="2" customFormat="1" ht="13.5" x14ac:dyDescent="0.25">
      <c r="D23" s="3"/>
      <c r="E23" s="3"/>
      <c r="F23" s="3"/>
    </row>
    <row r="24" spans="2:7" s="2" customFormat="1" ht="13.5" x14ac:dyDescent="0.25">
      <c r="D24" s="3"/>
      <c r="E24" s="3"/>
      <c r="F24" s="3"/>
    </row>
    <row r="25" spans="2:7" s="2" customFormat="1" ht="13.5" x14ac:dyDescent="0.25">
      <c r="D25" s="3"/>
      <c r="E25" s="3"/>
      <c r="F25" s="3"/>
    </row>
    <row r="26" spans="2:7" s="2" customFormat="1" ht="13.5" x14ac:dyDescent="0.25">
      <c r="D26" s="3"/>
      <c r="E26" s="3"/>
      <c r="F26" s="3"/>
    </row>
    <row r="27" spans="2:7" s="2" customFormat="1" ht="13.5" x14ac:dyDescent="0.25">
      <c r="D27" s="3"/>
      <c r="E27" s="3"/>
      <c r="F27" s="3"/>
    </row>
    <row r="28" spans="2:7" s="2" customFormat="1" ht="13.5" x14ac:dyDescent="0.25">
      <c r="D28" s="3"/>
      <c r="E28" s="3"/>
      <c r="F28" s="3"/>
    </row>
    <row r="29" spans="2:7" s="2" customFormat="1" ht="13.5" x14ac:dyDescent="0.25">
      <c r="D29" s="3"/>
      <c r="E29" s="3"/>
      <c r="F29" s="3"/>
    </row>
    <row r="30" spans="2:7" s="2" customFormat="1" ht="13.5" x14ac:dyDescent="0.25">
      <c r="D30" s="3"/>
      <c r="E30" s="3"/>
      <c r="F30" s="3"/>
    </row>
    <row r="31" spans="2:7" s="2" customFormat="1" ht="13.5" x14ac:dyDescent="0.25">
      <c r="D31" s="3"/>
      <c r="E31" s="3"/>
      <c r="F31" s="3"/>
    </row>
    <row r="32" spans="2:7" s="2" customFormat="1" ht="13.5" x14ac:dyDescent="0.25">
      <c r="D32" s="3"/>
      <c r="E32" s="3"/>
      <c r="F32" s="3"/>
    </row>
    <row r="33" spans="1:9" s="2" customFormat="1" ht="13.5" x14ac:dyDescent="0.25">
      <c r="D33" s="3"/>
      <c r="E33" s="3"/>
      <c r="F33" s="3"/>
    </row>
    <row r="34" spans="1:9" s="2" customFormat="1" ht="13.5" x14ac:dyDescent="0.25">
      <c r="A34" s="11" t="s">
        <v>95</v>
      </c>
      <c r="B34" s="2" t="s">
        <v>112</v>
      </c>
      <c r="D34" s="3"/>
      <c r="E34" s="3"/>
      <c r="F34" s="3"/>
    </row>
    <row r="35" spans="1:9" s="2" customFormat="1" ht="13.5" x14ac:dyDescent="0.25">
      <c r="A35" s="11"/>
      <c r="B35" s="2" t="s">
        <v>113</v>
      </c>
      <c r="D35" s="3"/>
      <c r="E35" s="3"/>
      <c r="F35" s="3"/>
    </row>
    <row r="36" spans="1:9" s="2" customFormat="1" ht="13.5" x14ac:dyDescent="0.25">
      <c r="B36" s="2" t="s">
        <v>114</v>
      </c>
      <c r="D36" s="3"/>
      <c r="E36" s="3"/>
      <c r="F36" s="3"/>
    </row>
    <row r="37" spans="1:9" s="2" customFormat="1" ht="13.5" x14ac:dyDescent="0.25">
      <c r="B37" s="2" t="s">
        <v>115</v>
      </c>
      <c r="D37" s="3"/>
      <c r="E37" s="3"/>
      <c r="F37" s="3"/>
    </row>
    <row r="38" spans="1:9" s="2" customFormat="1" ht="13.5" x14ac:dyDescent="0.25">
      <c r="D38" s="3"/>
      <c r="E38" s="3"/>
      <c r="F38" s="3"/>
    </row>
    <row r="39" spans="1:9" s="2" customFormat="1" ht="13.5" x14ac:dyDescent="0.25">
      <c r="A39" s="11" t="s">
        <v>96</v>
      </c>
      <c r="D39" s="4">
        <v>2014</v>
      </c>
      <c r="E39" s="13">
        <v>2013</v>
      </c>
      <c r="F39" s="13">
        <v>2012</v>
      </c>
      <c r="G39" s="4">
        <v>2011</v>
      </c>
    </row>
    <row r="40" spans="1:9" s="2" customFormat="1" ht="13.5" x14ac:dyDescent="0.25">
      <c r="B40" s="14" t="s">
        <v>159</v>
      </c>
      <c r="C40" s="15"/>
      <c r="D40" s="16">
        <f>D22/D19</f>
        <v>33.75</v>
      </c>
      <c r="E40" s="16">
        <f t="shared" ref="E40:G40" si="0">E22/E19</f>
        <v>25</v>
      </c>
      <c r="F40" s="16">
        <f t="shared" si="0"/>
        <v>22.222222222222221</v>
      </c>
      <c r="G40" s="17">
        <f t="shared" si="0"/>
        <v>16.666666666666668</v>
      </c>
      <c r="I40" s="34" t="s">
        <v>116</v>
      </c>
    </row>
    <row r="41" spans="1:9" s="2" customFormat="1" ht="13.5" x14ac:dyDescent="0.25">
      <c r="B41" s="18" t="s">
        <v>117</v>
      </c>
      <c r="C41" s="19"/>
      <c r="D41" s="35">
        <v>360</v>
      </c>
      <c r="E41" s="35">
        <v>360</v>
      </c>
      <c r="F41" s="35">
        <v>360</v>
      </c>
      <c r="G41" s="36">
        <v>360</v>
      </c>
      <c r="I41" s="34"/>
    </row>
    <row r="42" spans="1:9" s="2" customFormat="1" ht="13.5" x14ac:dyDescent="0.25">
      <c r="B42" s="18" t="s">
        <v>118</v>
      </c>
      <c r="C42" s="19"/>
      <c r="D42" s="26">
        <f>D40*D41</f>
        <v>12150</v>
      </c>
      <c r="E42" s="26">
        <f t="shared" ref="E42:G42" si="1">E40*E41</f>
        <v>9000</v>
      </c>
      <c r="F42" s="26">
        <f t="shared" si="1"/>
        <v>8000</v>
      </c>
      <c r="G42" s="27">
        <f t="shared" si="1"/>
        <v>6000</v>
      </c>
    </row>
    <row r="43" spans="1:9" s="2" customFormat="1" ht="13.5" x14ac:dyDescent="0.25">
      <c r="B43" s="22" t="s">
        <v>119</v>
      </c>
      <c r="C43" s="23"/>
      <c r="D43" s="37">
        <f>D42/E42-1</f>
        <v>0.35000000000000009</v>
      </c>
      <c r="E43" s="37">
        <f t="shared" ref="E43:F43" si="2">E42/F42-1</f>
        <v>0.125</v>
      </c>
      <c r="F43" s="37">
        <f t="shared" si="2"/>
        <v>0.33333333333333326</v>
      </c>
      <c r="G43" s="29"/>
    </row>
    <row r="44" spans="1:9" s="2" customFormat="1" ht="13.5" x14ac:dyDescent="0.25">
      <c r="D44" s="6"/>
      <c r="E44" s="6"/>
      <c r="F44" s="6"/>
      <c r="G44" s="6"/>
    </row>
    <row r="45" spans="1:9" s="2" customFormat="1" ht="13.5" x14ac:dyDescent="0.25">
      <c r="B45" s="2" t="s">
        <v>120</v>
      </c>
      <c r="D45" s="6"/>
      <c r="E45" s="6"/>
      <c r="F45" s="6"/>
      <c r="G45" s="6"/>
    </row>
    <row r="46" spans="1:9" s="2" customFormat="1" ht="13.5" x14ac:dyDescent="0.25">
      <c r="B46" s="2" t="s">
        <v>121</v>
      </c>
      <c r="D46" s="6"/>
      <c r="E46" s="6"/>
      <c r="F46" s="6"/>
      <c r="G46" s="6"/>
    </row>
    <row r="47" spans="1:9" s="2" customFormat="1" ht="13.5" x14ac:dyDescent="0.25">
      <c r="D47" s="6"/>
      <c r="E47" s="6"/>
      <c r="F47" s="6"/>
      <c r="G47" s="6"/>
    </row>
    <row r="48" spans="1:9" s="2" customFormat="1" ht="13.5" x14ac:dyDescent="0.25">
      <c r="A48" s="11" t="s">
        <v>122</v>
      </c>
      <c r="D48" s="4">
        <v>2014</v>
      </c>
      <c r="E48" s="13">
        <v>2013</v>
      </c>
      <c r="F48" s="13">
        <v>2012</v>
      </c>
      <c r="G48" s="4">
        <v>2011</v>
      </c>
      <c r="I48" s="2" t="s">
        <v>123</v>
      </c>
    </row>
    <row r="49" spans="2:9" s="2" customFormat="1" ht="13.5" x14ac:dyDescent="0.25">
      <c r="B49" s="14" t="s">
        <v>124</v>
      </c>
      <c r="C49" s="15"/>
      <c r="D49" s="38">
        <f>D41/D18</f>
        <v>10.125</v>
      </c>
      <c r="E49" s="38">
        <f t="shared" ref="E49:G49" si="3">E41/E18</f>
        <v>8.8524590163934427</v>
      </c>
      <c r="F49" s="38">
        <f t="shared" si="3"/>
        <v>8.8888888888888893</v>
      </c>
      <c r="G49" s="39">
        <f t="shared" si="3"/>
        <v>7.4157303370786529</v>
      </c>
      <c r="I49" s="2" t="s">
        <v>125</v>
      </c>
    </row>
    <row r="50" spans="2:9" s="2" customFormat="1" ht="13.5" x14ac:dyDescent="0.25">
      <c r="B50" s="18" t="s">
        <v>79</v>
      </c>
      <c r="C50" s="19"/>
      <c r="D50" s="26">
        <f>D49*D21</f>
        <v>7897.5</v>
      </c>
      <c r="E50" s="26">
        <f t="shared" ref="E50:G50" si="4">E49*E21</f>
        <v>5400</v>
      </c>
      <c r="F50" s="26">
        <f t="shared" si="4"/>
        <v>4400</v>
      </c>
      <c r="G50" s="27">
        <f t="shared" si="4"/>
        <v>3300.0000000000005</v>
      </c>
      <c r="I50" s="2" t="s">
        <v>126</v>
      </c>
    </row>
    <row r="51" spans="2:9" s="2" customFormat="1" ht="13.5" x14ac:dyDescent="0.25">
      <c r="B51" s="18" t="s">
        <v>80</v>
      </c>
      <c r="C51" s="19"/>
      <c r="D51" s="26">
        <f>D42-D50</f>
        <v>4252.5</v>
      </c>
      <c r="E51" s="26">
        <f t="shared" ref="E51:G51" si="5">E42-E50</f>
        <v>3600</v>
      </c>
      <c r="F51" s="26">
        <f t="shared" si="5"/>
        <v>3600</v>
      </c>
      <c r="G51" s="27">
        <f t="shared" si="5"/>
        <v>2699.9999999999995</v>
      </c>
      <c r="I51" s="2" t="s">
        <v>127</v>
      </c>
    </row>
    <row r="52" spans="2:9" s="2" customFormat="1" ht="13.5" x14ac:dyDescent="0.25">
      <c r="B52" s="22" t="s">
        <v>128</v>
      </c>
      <c r="C52" s="23"/>
      <c r="D52" s="37">
        <f>D51/D42</f>
        <v>0.35</v>
      </c>
      <c r="E52" s="37">
        <f t="shared" ref="E52:G52" si="6">E51/E42</f>
        <v>0.4</v>
      </c>
      <c r="F52" s="37">
        <f t="shared" si="6"/>
        <v>0.45</v>
      </c>
      <c r="G52" s="40">
        <f t="shared" si="6"/>
        <v>0.4499999999999999</v>
      </c>
      <c r="I52" s="2" t="s">
        <v>129</v>
      </c>
    </row>
    <row r="53" spans="2:9" s="2" customFormat="1" ht="13.5" x14ac:dyDescent="0.25">
      <c r="D53" s="41"/>
      <c r="E53" s="41"/>
      <c r="F53" s="41"/>
      <c r="G53" s="41"/>
    </row>
    <row r="54" spans="2:9" s="2" customFormat="1" ht="13.5" x14ac:dyDescent="0.25">
      <c r="B54" s="2" t="s">
        <v>130</v>
      </c>
      <c r="D54" s="6"/>
      <c r="E54" s="6"/>
      <c r="F54" s="6"/>
      <c r="G54" s="6"/>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00000000-0003-0000-0500-000000000000}">
          <x14:colorSeries rgb="FF376092"/>
          <x14:colorNegative rgb="FFD00000"/>
          <x14:colorAxis rgb="FF000000"/>
          <x14:colorMarkers rgb="FFD00000"/>
          <x14:colorFirst rgb="FFD00000"/>
          <x14:colorLast rgb="FFD00000"/>
          <x14:colorHigh rgb="FFD00000"/>
          <x14:colorLow rgb="FFD00000"/>
          <x14:sparklines>
            <x14:sparkline>
              <xm:f>'C4 (Sol)'!D18:G18</xm:f>
              <xm:sqref>H18</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Caso 1</vt:lpstr>
      <vt:lpstr>C1 (sol)</vt:lpstr>
      <vt:lpstr>Caso 2</vt:lpstr>
      <vt:lpstr>C2 (Sol)</vt:lpstr>
      <vt:lpstr>Caso 4</vt:lpstr>
      <vt:lpstr>C4 (Sol)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Sequeira</dc:creator>
  <cp:lastModifiedBy>Vinix</cp:lastModifiedBy>
  <dcterms:created xsi:type="dcterms:W3CDTF">2017-08-30T02:35:05Z</dcterms:created>
  <dcterms:modified xsi:type="dcterms:W3CDTF">2017-09-06T00:23:36Z</dcterms:modified>
</cp:coreProperties>
</file>