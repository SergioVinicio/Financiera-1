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activeTab="1" xr2:uid="{17A4500D-DB07-4BAB-B346-BEC8F50114C3}"/>
  </bookViews>
  <sheets>
    <sheet name="Sheet1 (2)" sheetId="3" r:id="rId1"/>
    <sheet name="Sheet1" sheetId="4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4" l="1"/>
  <c r="I7" i="4"/>
  <c r="M15" i="4"/>
  <c r="I12" i="4" s="1"/>
  <c r="M13" i="4"/>
  <c r="L18" i="4"/>
  <c r="L13" i="4"/>
  <c r="L12" i="4"/>
  <c r="M12" i="4" s="1"/>
  <c r="K12" i="4"/>
  <c r="L5" i="4"/>
  <c r="M5" i="4" s="1"/>
  <c r="L4" i="4"/>
  <c r="M4" i="4" s="1"/>
  <c r="K4" i="4"/>
  <c r="G11" i="4"/>
  <c r="G10" i="4"/>
  <c r="H9" i="4"/>
  <c r="I9" i="4" s="1"/>
  <c r="G9" i="4"/>
  <c r="H5" i="4"/>
  <c r="I5" i="4" s="1"/>
  <c r="H7" i="4"/>
  <c r="H4" i="4"/>
  <c r="I4" i="4" s="1"/>
  <c r="B16" i="4"/>
  <c r="H11" i="4" s="1"/>
  <c r="I11" i="4" s="1"/>
  <c r="B12" i="4"/>
  <c r="B13" i="4" s="1"/>
  <c r="H10" i="4" s="1"/>
  <c r="I10" i="4" s="1"/>
  <c r="B9" i="4"/>
  <c r="H6" i="4" s="1"/>
  <c r="I6" i="4" s="1"/>
  <c r="N16" i="3"/>
  <c r="N6" i="3"/>
  <c r="C14" i="3"/>
  <c r="C11" i="3"/>
  <c r="L6" i="4" l="1"/>
  <c r="M6" i="4" s="1"/>
  <c r="L9" i="4"/>
  <c r="M9" i="4" s="1"/>
  <c r="L7" i="4"/>
  <c r="M7" i="4" s="1"/>
  <c r="H8" i="4"/>
  <c r="L8" i="4"/>
  <c r="M8" i="4" s="1"/>
  <c r="I8" i="4" l="1"/>
  <c r="I13" i="4" s="1"/>
  <c r="H13" i="4"/>
  <c r="H14" i="4" s="1"/>
  <c r="H15" i="4"/>
  <c r="L19" i="4" s="1"/>
  <c r="L14" i="4"/>
  <c r="L21" i="4" s="1"/>
  <c r="L23" i="4" s="1"/>
  <c r="I14" i="4" l="1"/>
  <c r="M14" i="4" s="1"/>
  <c r="M21" i="4" l="1"/>
  <c r="I15" i="4"/>
  <c r="M19" i="4" s="1"/>
  <c r="I5" i="3" l="1"/>
  <c r="J5" i="3" s="1"/>
  <c r="N5" i="3"/>
  <c r="O5" i="3"/>
  <c r="I6" i="3"/>
  <c r="J6" i="3" s="1"/>
  <c r="N7" i="3"/>
  <c r="O7" i="3"/>
  <c r="I29" i="3" s="1"/>
  <c r="I8" i="3"/>
  <c r="J8" i="3" s="1"/>
  <c r="N9" i="3"/>
  <c r="O9" i="3"/>
  <c r="I10" i="3"/>
  <c r="J10" i="3" s="1"/>
  <c r="N10" i="3"/>
  <c r="N12" i="3"/>
  <c r="O12" i="3"/>
  <c r="I36" i="3" s="1"/>
  <c r="I37" i="3" s="1"/>
  <c r="N13" i="3"/>
  <c r="O13" i="3"/>
  <c r="J14" i="3"/>
  <c r="N14" i="3"/>
  <c r="O14" i="3"/>
  <c r="C15" i="3"/>
  <c r="I12" i="3" s="1"/>
  <c r="J12" i="3" s="1"/>
  <c r="O16" i="3"/>
  <c r="N17" i="3"/>
  <c r="O17" i="3" s="1"/>
  <c r="I31" i="3" s="1"/>
  <c r="C18" i="3"/>
  <c r="I11" i="3" s="1"/>
  <c r="J11" i="3" s="1"/>
  <c r="N22" i="3"/>
  <c r="I35" i="3"/>
  <c r="I39" i="3"/>
  <c r="I41" i="3"/>
  <c r="I30" i="3" l="1"/>
  <c r="O10" i="3"/>
  <c r="N11" i="3"/>
  <c r="I7" i="3"/>
  <c r="N8" i="3" l="1"/>
  <c r="O8" i="3" s="1"/>
  <c r="O6" i="3"/>
  <c r="I28" i="3" s="1"/>
  <c r="J7" i="3"/>
  <c r="I27" i="3" s="1"/>
  <c r="I9" i="3"/>
  <c r="O11" i="3"/>
  <c r="N15" i="3"/>
  <c r="O15" i="3" l="1"/>
  <c r="J9" i="3"/>
  <c r="I13" i="3"/>
  <c r="J13" i="3" l="1"/>
  <c r="J15" i="3" s="1"/>
  <c r="I15" i="3"/>
  <c r="I16" i="3" l="1"/>
  <c r="N18" i="3" s="1"/>
  <c r="N19" i="3" s="1"/>
  <c r="N21" i="3" s="1"/>
  <c r="J16" i="3"/>
  <c r="O18" i="3" s="1"/>
  <c r="J17" i="3"/>
  <c r="O23" i="3" l="1"/>
  <c r="I26" i="3"/>
  <c r="I32" i="3"/>
  <c r="O19" i="3"/>
  <c r="O21" i="3" s="1"/>
  <c r="I17" i="3"/>
  <c r="N23" i="3" s="1"/>
  <c r="N24" i="3" s="1"/>
  <c r="N25" i="3" s="1"/>
  <c r="I19" i="3" s="1"/>
  <c r="I21" i="3" s="1"/>
  <c r="O22" i="3" s="1"/>
  <c r="I40" i="3" s="1"/>
  <c r="I42" i="3" s="1"/>
  <c r="I33" i="3" l="1"/>
  <c r="L35" i="3" s="1"/>
  <c r="O24" i="3"/>
  <c r="O25" i="3" s="1"/>
</calcChain>
</file>

<file path=xl/sharedStrings.xml><?xml version="1.0" encoding="utf-8"?>
<sst xmlns="http://schemas.openxmlformats.org/spreadsheetml/2006/main" count="187" uniqueCount="83">
  <si>
    <t>Flujo de Financimiento</t>
  </si>
  <si>
    <t>Intereses</t>
  </si>
  <si>
    <t>Acciones comunes</t>
  </si>
  <si>
    <t xml:space="preserve">Deuda </t>
  </si>
  <si>
    <t>Flujo de Inversion</t>
  </si>
  <si>
    <t>Intangibles</t>
  </si>
  <si>
    <t>Flujo</t>
  </si>
  <si>
    <t>PP&amp;E bruto</t>
  </si>
  <si>
    <t>Flujo Operativo</t>
  </si>
  <si>
    <t>Impuestos por pagar</t>
  </si>
  <si>
    <t>Sueldos por pagar</t>
  </si>
  <si>
    <t>CXP</t>
  </si>
  <si>
    <t>Inventarios</t>
  </si>
  <si>
    <t>CxC</t>
  </si>
  <si>
    <t>X</t>
  </si>
  <si>
    <t xml:space="preserve">Tasa   </t>
  </si>
  <si>
    <t>Depreciaciones y Amort.</t>
  </si>
  <si>
    <t>Monto max. Deuda</t>
  </si>
  <si>
    <t>Utilidad Neta</t>
  </si>
  <si>
    <t>Caja y Bancos</t>
  </si>
  <si>
    <t>Pasivo + Capital</t>
  </si>
  <si>
    <t>Tasa Efectiva</t>
  </si>
  <si>
    <t>Total Capital</t>
  </si>
  <si>
    <t>Flujo de Efectivo</t>
  </si>
  <si>
    <t>Utiliades Retenidas</t>
  </si>
  <si>
    <t>Saldo Inventario</t>
  </si>
  <si>
    <t>Acciones Comunes</t>
  </si>
  <si>
    <t>Cuadre de Balance</t>
  </si>
  <si>
    <t>DPP</t>
  </si>
  <si>
    <t>Total Pasivo</t>
  </si>
  <si>
    <t>DPC</t>
  </si>
  <si>
    <t>Deuda</t>
  </si>
  <si>
    <t>Compras</t>
  </si>
  <si>
    <t>Pasivo Corrientes</t>
  </si>
  <si>
    <t>FAN</t>
  </si>
  <si>
    <t>Costo de Ventas</t>
  </si>
  <si>
    <t>Gastos de Venta</t>
  </si>
  <si>
    <t>Utiidad Neta</t>
  </si>
  <si>
    <t>Ventas</t>
  </si>
  <si>
    <t>Impuestos</t>
  </si>
  <si>
    <t>% Gastos de Venta</t>
  </si>
  <si>
    <t>Total Activo</t>
  </si>
  <si>
    <t>Utilidad antes de impuesto</t>
  </si>
  <si>
    <t>Amortizacion del Año 1</t>
  </si>
  <si>
    <t>Intangibles, neto</t>
  </si>
  <si>
    <t>Amortizacion. Intangibles</t>
  </si>
  <si>
    <t>Amort. Acum</t>
  </si>
  <si>
    <t>Utilidad Operativa</t>
  </si>
  <si>
    <t>Años de Amortizacion</t>
  </si>
  <si>
    <t>Amortizacion. Patente</t>
  </si>
  <si>
    <t>PP&amp;E, neto</t>
  </si>
  <si>
    <t>Gastos de Ventas</t>
  </si>
  <si>
    <t>Dep. de equipo</t>
  </si>
  <si>
    <t>Dep. Acumulada</t>
  </si>
  <si>
    <t>Gastos Administrativos</t>
  </si>
  <si>
    <t>Años de Depreciacion</t>
  </si>
  <si>
    <t>PP&amp;E, bruto</t>
  </si>
  <si>
    <t>Utilidad Bruta</t>
  </si>
  <si>
    <t>Maquinaria y Equipo</t>
  </si>
  <si>
    <t>Activos Corrientes</t>
  </si>
  <si>
    <t>Renta</t>
  </si>
  <si>
    <t>Depreciacion Equipo</t>
  </si>
  <si>
    <t>Rentas Anual</t>
  </si>
  <si>
    <t>CXC</t>
  </si>
  <si>
    <t>Amigos y Familiares</t>
  </si>
  <si>
    <t>Socios Fundadores</t>
  </si>
  <si>
    <t>RetroAlimentacion</t>
  </si>
  <si>
    <t>Balance General</t>
  </si>
  <si>
    <t>Retroalimentacion</t>
  </si>
  <si>
    <t>Estado de Resultados</t>
  </si>
  <si>
    <t>BG</t>
  </si>
  <si>
    <t>ER</t>
  </si>
  <si>
    <t>Supuestos de proyeccion</t>
  </si>
  <si>
    <t>Depreciacion Gasto</t>
  </si>
  <si>
    <t>Costos de Venta</t>
  </si>
  <si>
    <t>Maquinaria y Equipo Neto</t>
  </si>
  <si>
    <t>Intengibles Neto</t>
  </si>
  <si>
    <t>Cuentas por cobrar</t>
  </si>
  <si>
    <t>Total Activos</t>
  </si>
  <si>
    <t>Pasivos</t>
  </si>
  <si>
    <t>Cuentas por pagar</t>
  </si>
  <si>
    <t>Capital</t>
  </si>
  <si>
    <t>Utilidades Retenidas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</si>
</sst>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4" fontId="2" fillId="0" borderId="1" xfId="0" applyNumberFormat="1" applyFont="1" applyBorder="1"/>
    <xf numFmtId="0" fontId="2" fillId="0" borderId="1" xfId="0" applyFont="1" applyBorder="1"/>
    <xf numFmtId="4" fontId="0" fillId="0" borderId="1" xfId="0" applyNumberFormat="1" applyBorder="1"/>
    <xf numFmtId="0" fontId="0" fillId="0" borderId="1" xfId="0" applyBorder="1"/>
    <xf numFmtId="0" fontId="2" fillId="0" borderId="1" xfId="0" applyFont="1" applyFill="1" applyBorder="1"/>
    <xf numFmtId="0" fontId="0" fillId="0" borderId="1" xfId="0" applyFill="1" applyBorder="1"/>
    <xf numFmtId="4" fontId="0" fillId="2" borderId="1" xfId="0" applyNumberFormat="1" applyFill="1" applyBorder="1"/>
    <xf numFmtId="0" fontId="0" fillId="2" borderId="1" xfId="0" applyFill="1" applyBorder="1"/>
    <xf numFmtId="4" fontId="2" fillId="0" borderId="0" xfId="0" applyNumberFormat="1" applyFont="1" applyBorder="1"/>
    <xf numFmtId="4" fontId="0" fillId="0" borderId="0" xfId="0" applyNumberFormat="1" applyBorder="1"/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9" fontId="0" fillId="2" borderId="1" xfId="1" applyFont="1" applyFill="1" applyBorder="1"/>
    <xf numFmtId="0" fontId="0" fillId="0" borderId="0" xfId="0" applyAlignment="1">
      <alignment horizontal="center"/>
    </xf>
    <xf numFmtId="44" fontId="0" fillId="0" borderId="0" xfId="2" applyFont="1"/>
    <xf numFmtId="4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C286-B439-478D-972D-16BA2BB4793E}">
  <dimension ref="B3:O42"/>
  <sheetViews>
    <sheetView workbookViewId="0">
      <selection activeCell="G7" sqref="G7"/>
    </sheetView>
  </sheetViews>
  <sheetFormatPr defaultRowHeight="15" x14ac:dyDescent="0.25"/>
  <cols>
    <col min="2" max="2" width="24" bestFit="1" customWidth="1"/>
    <col min="3" max="3" width="12" style="1" bestFit="1" customWidth="1"/>
    <col min="4" max="4" width="9.140625" style="1"/>
    <col min="8" max="8" width="25.28515625" bestFit="1" customWidth="1"/>
    <col min="9" max="9" width="11.7109375" style="1" bestFit="1" customWidth="1"/>
    <col min="10" max="10" width="17.7109375" style="1" bestFit="1" customWidth="1"/>
    <col min="11" max="11" width="11.7109375" style="1" customWidth="1"/>
    <col min="13" max="13" width="19.28515625" bestFit="1" customWidth="1"/>
    <col min="14" max="14" width="10.140625" style="1" bestFit="1" customWidth="1"/>
    <col min="15" max="15" width="18" style="1" bestFit="1" customWidth="1"/>
    <col min="17" max="17" width="13.7109375" bestFit="1" customWidth="1"/>
  </cols>
  <sheetData>
    <row r="3" spans="2:15" x14ac:dyDescent="0.25">
      <c r="B3" s="5" t="s">
        <v>72</v>
      </c>
      <c r="C3" s="4"/>
      <c r="D3" s="4" t="s">
        <v>71</v>
      </c>
      <c r="E3" s="5" t="s">
        <v>70</v>
      </c>
      <c r="H3" s="14" t="s">
        <v>69</v>
      </c>
      <c r="I3" s="15"/>
      <c r="J3" s="18" t="s">
        <v>68</v>
      </c>
      <c r="K3" s="12"/>
      <c r="M3" s="18" t="s">
        <v>67</v>
      </c>
      <c r="N3" s="18"/>
      <c r="O3" s="19" t="s">
        <v>66</v>
      </c>
    </row>
    <row r="4" spans="2:15" x14ac:dyDescent="0.25">
      <c r="B4" s="9" t="s">
        <v>65</v>
      </c>
      <c r="C4" s="8">
        <v>80000</v>
      </c>
      <c r="D4" s="8"/>
      <c r="E4" s="9"/>
      <c r="H4" s="16"/>
      <c r="I4" s="17"/>
      <c r="J4" s="18"/>
      <c r="K4" s="12"/>
      <c r="M4" s="18"/>
      <c r="N4" s="18"/>
      <c r="O4" s="19"/>
    </row>
    <row r="5" spans="2:15" x14ac:dyDescent="0.25">
      <c r="B5" s="8" t="s">
        <v>64</v>
      </c>
      <c r="C5" s="8">
        <v>20000</v>
      </c>
      <c r="D5" s="8"/>
      <c r="E5" s="9"/>
      <c r="H5" s="5" t="s">
        <v>38</v>
      </c>
      <c r="I5" s="4">
        <f>C17</f>
        <v>1380000</v>
      </c>
      <c r="J5" s="4">
        <f t="shared" ref="J5:J13" si="0">I5</f>
        <v>1380000</v>
      </c>
      <c r="K5" s="11"/>
      <c r="M5" s="5" t="s">
        <v>19</v>
      </c>
      <c r="N5" s="4">
        <f>C26</f>
        <v>10000</v>
      </c>
      <c r="O5" s="4">
        <f t="shared" ref="O5:O17" si="1">N5</f>
        <v>10000</v>
      </c>
    </row>
    <row r="6" spans="2:15" x14ac:dyDescent="0.25">
      <c r="B6" s="9" t="s">
        <v>26</v>
      </c>
      <c r="C6" s="8">
        <v>100000</v>
      </c>
      <c r="D6" s="8"/>
      <c r="E6" s="9" t="s">
        <v>14</v>
      </c>
      <c r="H6" s="5" t="s">
        <v>35</v>
      </c>
      <c r="I6" s="4">
        <f>C19</f>
        <v>792000</v>
      </c>
      <c r="J6" s="4">
        <f t="shared" si="0"/>
        <v>792000</v>
      </c>
      <c r="K6" s="11"/>
      <c r="M6" s="5" t="s">
        <v>63</v>
      </c>
      <c r="N6" s="4">
        <f>C21*(I5/360)</f>
        <v>153333.33333333334</v>
      </c>
      <c r="O6" s="4">
        <f t="shared" si="1"/>
        <v>153333.33333333334</v>
      </c>
    </row>
    <row r="7" spans="2:15" x14ac:dyDescent="0.25">
      <c r="B7" s="8" t="s">
        <v>62</v>
      </c>
      <c r="C7" s="8">
        <v>96000</v>
      </c>
      <c r="D7" s="8" t="s">
        <v>14</v>
      </c>
      <c r="E7" s="9"/>
      <c r="H7" s="5" t="s">
        <v>61</v>
      </c>
      <c r="I7" s="4">
        <f>C11</f>
        <v>24000</v>
      </c>
      <c r="J7" s="4">
        <f t="shared" si="0"/>
        <v>24000</v>
      </c>
      <c r="K7" s="11"/>
      <c r="M7" s="5" t="s">
        <v>12</v>
      </c>
      <c r="N7" s="4">
        <f>C23</f>
        <v>180000</v>
      </c>
      <c r="O7" s="4">
        <f t="shared" si="1"/>
        <v>180000</v>
      </c>
    </row>
    <row r="8" spans="2:15" x14ac:dyDescent="0.25">
      <c r="B8" s="8" t="s">
        <v>54</v>
      </c>
      <c r="C8" s="8">
        <v>180000</v>
      </c>
      <c r="D8" s="8" t="s">
        <v>14</v>
      </c>
      <c r="E8" s="9"/>
      <c r="H8" s="5" t="s">
        <v>60</v>
      </c>
      <c r="I8" s="4">
        <f>C7</f>
        <v>96000</v>
      </c>
      <c r="J8" s="4">
        <f t="shared" si="0"/>
        <v>96000</v>
      </c>
      <c r="K8" s="11"/>
      <c r="M8" s="3" t="s">
        <v>59</v>
      </c>
      <c r="N8" s="4">
        <f>SUM(N5:N7)</f>
        <v>343333.33333333337</v>
      </c>
      <c r="O8" s="4">
        <f t="shared" si="1"/>
        <v>343333.33333333337</v>
      </c>
    </row>
    <row r="9" spans="2:15" x14ac:dyDescent="0.25">
      <c r="B9" s="8" t="s">
        <v>58</v>
      </c>
      <c r="C9" s="8">
        <v>120000</v>
      </c>
      <c r="D9" s="8"/>
      <c r="E9" s="9" t="s">
        <v>14</v>
      </c>
      <c r="H9" s="3" t="s">
        <v>57</v>
      </c>
      <c r="I9" s="4">
        <f>I5-SUM(I6:I8)</f>
        <v>468000</v>
      </c>
      <c r="J9" s="4">
        <f t="shared" si="0"/>
        <v>468000</v>
      </c>
      <c r="K9" s="11"/>
      <c r="M9" s="5" t="s">
        <v>56</v>
      </c>
      <c r="N9" s="4">
        <f>C9</f>
        <v>120000</v>
      </c>
      <c r="O9" s="4">
        <f t="shared" si="1"/>
        <v>120000</v>
      </c>
    </row>
    <row r="10" spans="2:15" x14ac:dyDescent="0.25">
      <c r="B10" s="8" t="s">
        <v>55</v>
      </c>
      <c r="C10" s="8">
        <v>5</v>
      </c>
      <c r="D10" s="8"/>
      <c r="E10" s="9"/>
      <c r="H10" s="5" t="s">
        <v>54</v>
      </c>
      <c r="I10" s="4">
        <f>C8</f>
        <v>180000</v>
      </c>
      <c r="J10" s="4">
        <f t="shared" si="0"/>
        <v>180000</v>
      </c>
      <c r="K10" s="11"/>
      <c r="M10" s="5" t="s">
        <v>53</v>
      </c>
      <c r="N10" s="4">
        <f>C11</f>
        <v>24000</v>
      </c>
      <c r="O10" s="4">
        <f t="shared" si="1"/>
        <v>24000</v>
      </c>
    </row>
    <row r="11" spans="2:15" x14ac:dyDescent="0.25">
      <c r="B11" s="8" t="s">
        <v>52</v>
      </c>
      <c r="C11" s="8">
        <f>C9/C10</f>
        <v>24000</v>
      </c>
      <c r="D11" s="8" t="s">
        <v>14</v>
      </c>
      <c r="E11" s="9" t="s">
        <v>14</v>
      </c>
      <c r="H11" s="5" t="s">
        <v>51</v>
      </c>
      <c r="I11" s="4">
        <f>C18</f>
        <v>110400</v>
      </c>
      <c r="J11" s="4">
        <f t="shared" si="0"/>
        <v>110400</v>
      </c>
      <c r="K11" s="11"/>
      <c r="M11" s="5" t="s">
        <v>50</v>
      </c>
      <c r="N11" s="4">
        <f>N9-N10</f>
        <v>96000</v>
      </c>
      <c r="O11" s="4">
        <f t="shared" si="1"/>
        <v>96000</v>
      </c>
    </row>
    <row r="12" spans="2:15" x14ac:dyDescent="0.25">
      <c r="B12" s="8" t="s">
        <v>5</v>
      </c>
      <c r="C12" s="8">
        <v>9000</v>
      </c>
      <c r="D12" s="8"/>
      <c r="E12" s="9" t="s">
        <v>14</v>
      </c>
      <c r="H12" s="5" t="s">
        <v>49</v>
      </c>
      <c r="I12" s="4">
        <f>C15</f>
        <v>2250</v>
      </c>
      <c r="J12" s="4">
        <f t="shared" si="0"/>
        <v>2250</v>
      </c>
      <c r="K12" s="11"/>
      <c r="M12" s="5" t="s">
        <v>5</v>
      </c>
      <c r="N12" s="4">
        <f>C12</f>
        <v>9000</v>
      </c>
      <c r="O12" s="4">
        <f t="shared" si="1"/>
        <v>9000</v>
      </c>
    </row>
    <row r="13" spans="2:15" x14ac:dyDescent="0.25">
      <c r="B13" s="8" t="s">
        <v>48</v>
      </c>
      <c r="C13" s="8">
        <v>2</v>
      </c>
      <c r="D13" s="8"/>
      <c r="E13" s="9"/>
      <c r="H13" s="3" t="s">
        <v>47</v>
      </c>
      <c r="I13" s="4">
        <f>I9-SUM(I10:I12)</f>
        <v>175350</v>
      </c>
      <c r="J13" s="4">
        <f t="shared" si="0"/>
        <v>175350</v>
      </c>
      <c r="K13" s="11"/>
      <c r="M13" s="5" t="s">
        <v>46</v>
      </c>
      <c r="N13" s="4">
        <f>C15</f>
        <v>2250</v>
      </c>
      <c r="O13" s="4">
        <f t="shared" si="1"/>
        <v>2250</v>
      </c>
    </row>
    <row r="14" spans="2:15" x14ac:dyDescent="0.25">
      <c r="B14" s="8" t="s">
        <v>45</v>
      </c>
      <c r="C14" s="8">
        <f>C12/C13</f>
        <v>4500</v>
      </c>
      <c r="D14" s="8"/>
      <c r="E14" s="9"/>
      <c r="H14" s="5" t="s">
        <v>1</v>
      </c>
      <c r="I14" s="4"/>
      <c r="J14" s="4">
        <f>O20*C28</f>
        <v>3600</v>
      </c>
      <c r="K14" s="11"/>
      <c r="M14" s="5" t="s">
        <v>44</v>
      </c>
      <c r="N14" s="4">
        <f>N12-N13</f>
        <v>6750</v>
      </c>
      <c r="O14" s="4">
        <f t="shared" si="1"/>
        <v>6750</v>
      </c>
    </row>
    <row r="15" spans="2:15" x14ac:dyDescent="0.25">
      <c r="B15" s="8" t="s">
        <v>43</v>
      </c>
      <c r="C15" s="8">
        <f>C14/2</f>
        <v>2250</v>
      </c>
      <c r="D15" s="8" t="s">
        <v>14</v>
      </c>
      <c r="E15" s="9" t="s">
        <v>14</v>
      </c>
      <c r="H15" s="5" t="s">
        <v>42</v>
      </c>
      <c r="I15" s="4">
        <f>I13-I14</f>
        <v>175350</v>
      </c>
      <c r="J15" s="4">
        <f>J13-J14</f>
        <v>171750</v>
      </c>
      <c r="K15" s="11"/>
      <c r="M15" s="3" t="s">
        <v>41</v>
      </c>
      <c r="N15" s="4">
        <f>N14+N11+N8</f>
        <v>446083.33333333337</v>
      </c>
      <c r="O15" s="4">
        <f t="shared" si="1"/>
        <v>446083.33333333337</v>
      </c>
    </row>
    <row r="16" spans="2:15" x14ac:dyDescent="0.25">
      <c r="B16" s="8" t="s">
        <v>40</v>
      </c>
      <c r="C16" s="20">
        <v>0.08</v>
      </c>
      <c r="D16" s="8"/>
      <c r="E16" s="9"/>
      <c r="H16" s="5" t="s">
        <v>39</v>
      </c>
      <c r="I16" s="4">
        <f>I15*C25</f>
        <v>43837.5</v>
      </c>
      <c r="J16" s="4">
        <f>J15*C25</f>
        <v>42937.5</v>
      </c>
      <c r="K16" s="11"/>
      <c r="M16" s="7" t="s">
        <v>11</v>
      </c>
      <c r="N16" s="4">
        <f>C22*(C20/360)</f>
        <v>45833.333333333336</v>
      </c>
      <c r="O16" s="4">
        <f t="shared" si="1"/>
        <v>45833.333333333336</v>
      </c>
    </row>
    <row r="17" spans="2:15" x14ac:dyDescent="0.25">
      <c r="B17" s="8" t="s">
        <v>38</v>
      </c>
      <c r="C17" s="8">
        <v>1380000</v>
      </c>
      <c r="D17" s="8" t="s">
        <v>14</v>
      </c>
      <c r="E17" s="9"/>
      <c r="H17" s="3" t="s">
        <v>37</v>
      </c>
      <c r="I17" s="4">
        <f>I15-I16</f>
        <v>131512.5</v>
      </c>
      <c r="J17" s="4">
        <f>J15-J16</f>
        <v>128812.5</v>
      </c>
      <c r="K17" s="11"/>
      <c r="M17" s="7" t="s">
        <v>10</v>
      </c>
      <c r="N17" s="4">
        <f>C24</f>
        <v>10000</v>
      </c>
      <c r="O17" s="4">
        <f t="shared" si="1"/>
        <v>10000</v>
      </c>
    </row>
    <row r="18" spans="2:15" x14ac:dyDescent="0.25">
      <c r="B18" s="8" t="s">
        <v>36</v>
      </c>
      <c r="C18" s="8">
        <f>C17*C16</f>
        <v>110400</v>
      </c>
      <c r="D18" s="8" t="s">
        <v>14</v>
      </c>
      <c r="E18" s="9"/>
      <c r="M18" s="7" t="s">
        <v>9</v>
      </c>
      <c r="N18" s="4">
        <f>I16</f>
        <v>43837.5</v>
      </c>
      <c r="O18" s="4">
        <f>J16</f>
        <v>42937.5</v>
      </c>
    </row>
    <row r="19" spans="2:15" x14ac:dyDescent="0.25">
      <c r="B19" s="8" t="s">
        <v>35</v>
      </c>
      <c r="C19" s="8">
        <v>792000</v>
      </c>
      <c r="D19" s="8" t="s">
        <v>14</v>
      </c>
      <c r="E19" s="9"/>
      <c r="H19" s="3" t="s">
        <v>34</v>
      </c>
      <c r="I19" s="2">
        <f>N15-N25</f>
        <v>114900</v>
      </c>
      <c r="J19" s="10"/>
      <c r="K19" s="10"/>
      <c r="M19" s="6" t="s">
        <v>33</v>
      </c>
      <c r="N19" s="4">
        <f>SUM(N16:N18)</f>
        <v>99670.833333333343</v>
      </c>
      <c r="O19" s="4">
        <f>SUM(O16:O18)</f>
        <v>98770.833333333343</v>
      </c>
    </row>
    <row r="20" spans="2:15" x14ac:dyDescent="0.25">
      <c r="B20" s="8" t="s">
        <v>32</v>
      </c>
      <c r="C20" s="8">
        <v>550000</v>
      </c>
      <c r="D20" s="8" t="s">
        <v>14</v>
      </c>
      <c r="E20" s="9"/>
      <c r="H20" s="5" t="s">
        <v>31</v>
      </c>
      <c r="I20" s="4">
        <v>30000</v>
      </c>
      <c r="M20" s="7" t="s">
        <v>31</v>
      </c>
      <c r="N20" s="4">
        <v>0</v>
      </c>
      <c r="O20" s="4">
        <v>30000</v>
      </c>
    </row>
    <row r="21" spans="2:15" x14ac:dyDescent="0.25">
      <c r="B21" s="8" t="s">
        <v>30</v>
      </c>
      <c r="C21" s="8">
        <v>40</v>
      </c>
      <c r="D21" s="8"/>
      <c r="E21" s="9" t="s">
        <v>14</v>
      </c>
      <c r="H21" s="6" t="s">
        <v>26</v>
      </c>
      <c r="I21" s="4">
        <f>I19-I20</f>
        <v>84900</v>
      </c>
      <c r="M21" s="6" t="s">
        <v>29</v>
      </c>
      <c r="N21" s="4">
        <f>N20+N19</f>
        <v>99670.833333333343</v>
      </c>
      <c r="O21" s="4">
        <f>O19+O20</f>
        <v>128770.83333333334</v>
      </c>
    </row>
    <row r="22" spans="2:15" x14ac:dyDescent="0.25">
      <c r="B22" s="8" t="s">
        <v>28</v>
      </c>
      <c r="C22" s="8">
        <v>30</v>
      </c>
      <c r="D22" s="8"/>
      <c r="E22" s="9" t="s">
        <v>14</v>
      </c>
      <c r="H22" s="9" t="s">
        <v>27</v>
      </c>
      <c r="I22" s="8">
        <v>3600</v>
      </c>
      <c r="M22" s="7" t="s">
        <v>26</v>
      </c>
      <c r="N22" s="4">
        <f>C6</f>
        <v>100000</v>
      </c>
      <c r="O22" s="4">
        <f>N22+I21+I22</f>
        <v>188500</v>
      </c>
    </row>
    <row r="23" spans="2:15" x14ac:dyDescent="0.25">
      <c r="B23" s="8" t="s">
        <v>25</v>
      </c>
      <c r="C23" s="8">
        <v>180000</v>
      </c>
      <c r="D23" s="8"/>
      <c r="E23" s="9" t="s">
        <v>14</v>
      </c>
      <c r="M23" s="7" t="s">
        <v>24</v>
      </c>
      <c r="N23" s="4">
        <f>I17</f>
        <v>131512.5</v>
      </c>
      <c r="O23" s="4">
        <f>J17</f>
        <v>128812.5</v>
      </c>
    </row>
    <row r="24" spans="2:15" x14ac:dyDescent="0.25">
      <c r="B24" s="8" t="s">
        <v>10</v>
      </c>
      <c r="C24" s="8">
        <v>10000</v>
      </c>
      <c r="D24" s="8"/>
      <c r="E24" s="9" t="s">
        <v>14</v>
      </c>
      <c r="H24" s="13" t="s">
        <v>23</v>
      </c>
      <c r="I24" s="13"/>
      <c r="M24" s="6" t="s">
        <v>22</v>
      </c>
      <c r="N24" s="4">
        <f>N23+N22</f>
        <v>231512.5</v>
      </c>
      <c r="O24" s="4">
        <f>O23+O22</f>
        <v>317312.5</v>
      </c>
    </row>
    <row r="25" spans="2:15" x14ac:dyDescent="0.25">
      <c r="B25" s="8" t="s">
        <v>21</v>
      </c>
      <c r="C25" s="20">
        <v>0.25</v>
      </c>
      <c r="D25" s="8" t="s">
        <v>14</v>
      </c>
      <c r="E25" s="9" t="s">
        <v>14</v>
      </c>
      <c r="H25" s="13"/>
      <c r="I25" s="13"/>
      <c r="M25" s="6" t="s">
        <v>20</v>
      </c>
      <c r="N25" s="4">
        <f>N24+N21</f>
        <v>331183.33333333337</v>
      </c>
      <c r="O25" s="4">
        <f>O24+O21</f>
        <v>446083.33333333337</v>
      </c>
    </row>
    <row r="26" spans="2:15" x14ac:dyDescent="0.25">
      <c r="B26" s="8" t="s">
        <v>19</v>
      </c>
      <c r="C26" s="8">
        <v>10000</v>
      </c>
      <c r="D26" s="8"/>
      <c r="E26" s="9" t="s">
        <v>14</v>
      </c>
      <c r="H26" s="5" t="s">
        <v>18</v>
      </c>
      <c r="I26" s="4">
        <f>J17</f>
        <v>128812.5</v>
      </c>
    </row>
    <row r="27" spans="2:15" x14ac:dyDescent="0.25">
      <c r="B27" s="8" t="s">
        <v>17</v>
      </c>
      <c r="C27" s="8">
        <v>30000</v>
      </c>
      <c r="D27" s="8"/>
      <c r="E27" s="9" t="s">
        <v>14</v>
      </c>
      <c r="H27" s="5" t="s">
        <v>16</v>
      </c>
      <c r="I27" s="4">
        <f>J7+J12</f>
        <v>26250</v>
      </c>
    </row>
    <row r="28" spans="2:15" x14ac:dyDescent="0.25">
      <c r="B28" s="8" t="s">
        <v>15</v>
      </c>
      <c r="C28" s="20">
        <v>0.12</v>
      </c>
      <c r="D28" s="8" t="s">
        <v>14</v>
      </c>
      <c r="E28" s="9"/>
      <c r="H28" s="5" t="s">
        <v>13</v>
      </c>
      <c r="I28" s="4">
        <f>-O6</f>
        <v>-153333.33333333334</v>
      </c>
    </row>
    <row r="29" spans="2:15" x14ac:dyDescent="0.25">
      <c r="H29" s="5" t="s">
        <v>12</v>
      </c>
      <c r="I29" s="4">
        <f>-O7</f>
        <v>-180000</v>
      </c>
    </row>
    <row r="30" spans="2:15" x14ac:dyDescent="0.25">
      <c r="H30" s="5" t="s">
        <v>11</v>
      </c>
      <c r="I30" s="4">
        <f>O16</f>
        <v>45833.333333333336</v>
      </c>
    </row>
    <row r="31" spans="2:15" x14ac:dyDescent="0.25">
      <c r="H31" s="5" t="s">
        <v>10</v>
      </c>
      <c r="I31" s="4">
        <f>O17</f>
        <v>10000</v>
      </c>
    </row>
    <row r="32" spans="2:15" x14ac:dyDescent="0.25">
      <c r="H32" s="5" t="s">
        <v>9</v>
      </c>
      <c r="I32" s="4">
        <f>O18</f>
        <v>42937.5</v>
      </c>
    </row>
    <row r="33" spans="8:12" x14ac:dyDescent="0.25">
      <c r="H33" s="3" t="s">
        <v>8</v>
      </c>
      <c r="I33" s="2">
        <f>SUM(I26:I32)</f>
        <v>-79500</v>
      </c>
    </row>
    <row r="35" spans="8:12" x14ac:dyDescent="0.25">
      <c r="H35" s="5" t="s">
        <v>7</v>
      </c>
      <c r="I35" s="4">
        <f>-O9</f>
        <v>-120000</v>
      </c>
      <c r="K35" s="1" t="s">
        <v>6</v>
      </c>
      <c r="L35" s="1">
        <f>I33+I37+I42</f>
        <v>6400</v>
      </c>
    </row>
    <row r="36" spans="8:12" x14ac:dyDescent="0.25">
      <c r="H36" s="5" t="s">
        <v>5</v>
      </c>
      <c r="I36" s="4">
        <f>-O12</f>
        <v>-9000</v>
      </c>
    </row>
    <row r="37" spans="8:12" x14ac:dyDescent="0.25">
      <c r="H37" s="3" t="s">
        <v>4</v>
      </c>
      <c r="I37" s="2">
        <f>I36+I35</f>
        <v>-129000</v>
      </c>
    </row>
    <row r="39" spans="8:12" x14ac:dyDescent="0.25">
      <c r="H39" s="5" t="s">
        <v>3</v>
      </c>
      <c r="I39" s="4">
        <f>O20</f>
        <v>30000</v>
      </c>
    </row>
    <row r="40" spans="8:12" x14ac:dyDescent="0.25">
      <c r="H40" s="5" t="s">
        <v>2</v>
      </c>
      <c r="I40" s="4">
        <f>O22</f>
        <v>188500</v>
      </c>
    </row>
    <row r="41" spans="8:12" x14ac:dyDescent="0.25">
      <c r="H41" s="5" t="s">
        <v>1</v>
      </c>
      <c r="I41" s="4">
        <f>-J14</f>
        <v>-3600</v>
      </c>
    </row>
    <row r="42" spans="8:12" x14ac:dyDescent="0.25">
      <c r="H42" s="3" t="s">
        <v>0</v>
      </c>
      <c r="I42" s="2">
        <f>I41+I40+I39</f>
        <v>214900</v>
      </c>
    </row>
  </sheetData>
  <mergeCells count="5">
    <mergeCell ref="H24:I25"/>
    <mergeCell ref="H3:I4"/>
    <mergeCell ref="M3:N4"/>
    <mergeCell ref="J3:J4"/>
    <mergeCell ref="O3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313A-D4B9-4256-8413-5EE9F379B4A6}">
  <dimension ref="A1:O26"/>
  <sheetViews>
    <sheetView tabSelected="1" topLeftCell="B1" zoomScale="90" zoomScaleNormal="90" workbookViewId="0">
      <selection activeCell="O4" sqref="O4"/>
    </sheetView>
  </sheetViews>
  <sheetFormatPr defaultRowHeight="15" x14ac:dyDescent="0.25"/>
  <cols>
    <col min="1" max="1" width="24" bestFit="1" customWidth="1"/>
    <col min="2" max="2" width="12.5703125" bestFit="1" customWidth="1"/>
    <col min="7" max="7" width="21.7109375" bestFit="1" customWidth="1"/>
    <col min="8" max="8" width="16.28515625" style="22" customWidth="1"/>
    <col min="9" max="9" width="17.7109375" bestFit="1" customWidth="1"/>
    <col min="10" max="10" width="4.7109375" customWidth="1"/>
    <col min="11" max="11" width="24.42578125" style="23" bestFit="1" customWidth="1"/>
    <col min="12" max="12" width="13.5703125" bestFit="1" customWidth="1"/>
    <col min="13" max="13" width="17.7109375" bestFit="1" customWidth="1"/>
    <col min="15" max="15" width="14.85546875" bestFit="1" customWidth="1"/>
  </cols>
  <sheetData>
    <row r="1" spans="1:15" x14ac:dyDescent="0.25">
      <c r="A1" s="5" t="s">
        <v>72</v>
      </c>
      <c r="B1" s="4"/>
      <c r="C1" s="4" t="s">
        <v>71</v>
      </c>
      <c r="D1" s="5" t="s">
        <v>70</v>
      </c>
    </row>
    <row r="2" spans="1:15" x14ac:dyDescent="0.25">
      <c r="A2" s="9" t="s">
        <v>65</v>
      </c>
      <c r="B2" s="8">
        <v>80000</v>
      </c>
      <c r="C2" s="8"/>
      <c r="D2" s="9"/>
    </row>
    <row r="3" spans="1:15" x14ac:dyDescent="0.25">
      <c r="A3" s="8" t="s">
        <v>64</v>
      </c>
      <c r="B3" s="8">
        <v>20000</v>
      </c>
      <c r="C3" s="8"/>
      <c r="D3" s="9"/>
      <c r="G3" s="21" t="s">
        <v>69</v>
      </c>
      <c r="H3" s="21"/>
      <c r="I3" t="s">
        <v>68</v>
      </c>
      <c r="K3" s="21" t="s">
        <v>67</v>
      </c>
      <c r="L3" s="21"/>
      <c r="M3" t="s">
        <v>68</v>
      </c>
      <c r="O3" t="s">
        <v>8</v>
      </c>
    </row>
    <row r="4" spans="1:15" x14ac:dyDescent="0.25">
      <c r="A4" s="9" t="s">
        <v>26</v>
      </c>
      <c r="B4" s="8">
        <v>100000</v>
      </c>
      <c r="C4" s="8"/>
      <c r="D4" s="9" t="s">
        <v>14</v>
      </c>
      <c r="G4" t="s">
        <v>38</v>
      </c>
      <c r="H4" s="22">
        <f>B15</f>
        <v>1380000</v>
      </c>
      <c r="I4" s="23">
        <f>H4</f>
        <v>1380000</v>
      </c>
      <c r="K4" s="1" t="str">
        <f>A24</f>
        <v>Caja y Bancos</v>
      </c>
      <c r="L4" s="23">
        <f>B24</f>
        <v>10000</v>
      </c>
      <c r="M4" s="23">
        <f>L4</f>
        <v>10000</v>
      </c>
    </row>
    <row r="5" spans="1:15" x14ac:dyDescent="0.25">
      <c r="A5" s="8" t="s">
        <v>62</v>
      </c>
      <c r="B5" s="8">
        <v>96000</v>
      </c>
      <c r="C5" s="8" t="s">
        <v>14</v>
      </c>
      <c r="D5" s="9"/>
      <c r="G5" t="s">
        <v>74</v>
      </c>
      <c r="H5" s="22">
        <f>-B17</f>
        <v>-792000</v>
      </c>
      <c r="I5" s="23">
        <f t="shared" ref="I5:I11" si="0">H5</f>
        <v>-792000</v>
      </c>
      <c r="K5" t="s">
        <v>25</v>
      </c>
      <c r="L5" s="23">
        <f>B21</f>
        <v>180000</v>
      </c>
      <c r="M5" s="23">
        <f t="shared" ref="M5:M12" si="1">L5</f>
        <v>180000</v>
      </c>
    </row>
    <row r="6" spans="1:15" x14ac:dyDescent="0.25">
      <c r="A6" s="8" t="s">
        <v>54</v>
      </c>
      <c r="B6" s="8">
        <v>180000</v>
      </c>
      <c r="C6" s="8" t="s">
        <v>14</v>
      </c>
      <c r="D6" s="9"/>
      <c r="G6" t="s">
        <v>73</v>
      </c>
      <c r="H6" s="22">
        <f>-B9</f>
        <v>-24000</v>
      </c>
      <c r="I6" s="23">
        <f t="shared" si="0"/>
        <v>-24000</v>
      </c>
      <c r="K6" s="1" t="s">
        <v>75</v>
      </c>
      <c r="L6" s="23">
        <f>B7-B9</f>
        <v>96000</v>
      </c>
      <c r="M6" s="23">
        <f t="shared" si="1"/>
        <v>96000</v>
      </c>
    </row>
    <row r="7" spans="1:15" x14ac:dyDescent="0.25">
      <c r="A7" s="8" t="s">
        <v>58</v>
      </c>
      <c r="B7" s="8">
        <v>120000</v>
      </c>
      <c r="C7" s="8"/>
      <c r="D7" s="9" t="s">
        <v>14</v>
      </c>
      <c r="G7" t="s">
        <v>60</v>
      </c>
      <c r="H7" s="22">
        <f>-B5</f>
        <v>-96000</v>
      </c>
      <c r="I7" s="23">
        <f t="shared" si="0"/>
        <v>-96000</v>
      </c>
      <c r="K7" s="1" t="s">
        <v>76</v>
      </c>
      <c r="L7" s="23">
        <f>B10-B13</f>
        <v>6750</v>
      </c>
      <c r="M7" s="23">
        <f t="shared" si="1"/>
        <v>6750</v>
      </c>
    </row>
    <row r="8" spans="1:15" x14ac:dyDescent="0.25">
      <c r="A8" s="8" t="s">
        <v>55</v>
      </c>
      <c r="B8" s="8">
        <v>5</v>
      </c>
      <c r="C8" s="8"/>
      <c r="D8" s="9"/>
      <c r="G8" t="s">
        <v>57</v>
      </c>
      <c r="H8" s="22">
        <f>SUM(H4:H7)</f>
        <v>468000</v>
      </c>
      <c r="I8" s="23">
        <f t="shared" si="0"/>
        <v>468000</v>
      </c>
      <c r="K8" s="1" t="s">
        <v>77</v>
      </c>
      <c r="L8" s="23">
        <f>(H4/360)*B19</f>
        <v>153333.33333333334</v>
      </c>
      <c r="M8" s="23">
        <f t="shared" si="1"/>
        <v>153333.33333333334</v>
      </c>
    </row>
    <row r="9" spans="1:15" x14ac:dyDescent="0.25">
      <c r="A9" s="8" t="s">
        <v>52</v>
      </c>
      <c r="B9" s="8">
        <f>B7/B8</f>
        <v>24000</v>
      </c>
      <c r="C9" s="8" t="s">
        <v>14</v>
      </c>
      <c r="D9" s="9" t="s">
        <v>14</v>
      </c>
      <c r="G9" s="1" t="str">
        <f>A6</f>
        <v>Gastos Administrativos</v>
      </c>
      <c r="H9" s="22">
        <f>-B6</f>
        <v>-180000</v>
      </c>
      <c r="I9" s="23">
        <f t="shared" si="0"/>
        <v>-180000</v>
      </c>
      <c r="K9" s="1" t="s">
        <v>78</v>
      </c>
      <c r="L9" s="23">
        <f>SUM(L4:L8)</f>
        <v>446083.33333333337</v>
      </c>
      <c r="M9" s="23">
        <f t="shared" si="1"/>
        <v>446083.33333333337</v>
      </c>
    </row>
    <row r="10" spans="1:15" x14ac:dyDescent="0.25">
      <c r="A10" s="8" t="s">
        <v>5</v>
      </c>
      <c r="B10" s="8">
        <v>9000</v>
      </c>
      <c r="C10" s="8"/>
      <c r="D10" s="9" t="s">
        <v>14</v>
      </c>
      <c r="G10" s="1" t="str">
        <f>A13</f>
        <v>Amortizacion del Año 1</v>
      </c>
      <c r="H10" s="22">
        <f>-B13</f>
        <v>-2250</v>
      </c>
      <c r="I10" s="23">
        <f t="shared" si="0"/>
        <v>-2250</v>
      </c>
      <c r="K10"/>
      <c r="L10" s="23"/>
      <c r="M10" s="23"/>
    </row>
    <row r="11" spans="1:15" x14ac:dyDescent="0.25">
      <c r="A11" s="8" t="s">
        <v>48</v>
      </c>
      <c r="B11" s="8">
        <v>2</v>
      </c>
      <c r="C11" s="8"/>
      <c r="D11" s="9"/>
      <c r="G11" s="1" t="str">
        <f>A16</f>
        <v>Gastos de Venta</v>
      </c>
      <c r="H11" s="22">
        <f>-B16</f>
        <v>-110400</v>
      </c>
      <c r="I11" s="23">
        <f t="shared" si="0"/>
        <v>-110400</v>
      </c>
      <c r="K11" s="1" t="s">
        <v>79</v>
      </c>
      <c r="L11" s="23"/>
      <c r="M11" s="23"/>
    </row>
    <row r="12" spans="1:15" x14ac:dyDescent="0.25">
      <c r="A12" s="8" t="s">
        <v>45</v>
      </c>
      <c r="B12" s="8">
        <f>B10/B11</f>
        <v>4500</v>
      </c>
      <c r="C12" s="8"/>
      <c r="D12" s="9"/>
      <c r="G12" t="s">
        <v>1</v>
      </c>
      <c r="I12" s="23">
        <f>-M15*B26</f>
        <v>-3600</v>
      </c>
      <c r="K12" s="1" t="str">
        <f>A22</f>
        <v>Sueldos por pagar</v>
      </c>
      <c r="L12" s="1">
        <f>B22</f>
        <v>10000</v>
      </c>
      <c r="M12" s="23">
        <f t="shared" si="1"/>
        <v>10000</v>
      </c>
    </row>
    <row r="13" spans="1:15" x14ac:dyDescent="0.25">
      <c r="A13" s="8" t="s">
        <v>43</v>
      </c>
      <c r="B13" s="8">
        <f>B12/2</f>
        <v>2250</v>
      </c>
      <c r="C13" s="8" t="s">
        <v>14</v>
      </c>
      <c r="D13" s="9" t="s">
        <v>14</v>
      </c>
      <c r="G13" t="s">
        <v>47</v>
      </c>
      <c r="H13" s="22">
        <f>SUM(H8:H12)</f>
        <v>175350</v>
      </c>
      <c r="I13" s="23">
        <f>SUM(I8:I12)</f>
        <v>171750</v>
      </c>
      <c r="K13" s="1" t="s">
        <v>80</v>
      </c>
      <c r="L13" s="23">
        <f>(B18/360)*B20</f>
        <v>45833.333333333336</v>
      </c>
      <c r="M13" s="23">
        <f>L13</f>
        <v>45833.333333333336</v>
      </c>
    </row>
    <row r="14" spans="1:15" x14ac:dyDescent="0.25">
      <c r="A14" s="8" t="s">
        <v>40</v>
      </c>
      <c r="B14" s="20">
        <v>0.08</v>
      </c>
      <c r="C14" s="8"/>
      <c r="D14" s="9"/>
      <c r="G14" t="s">
        <v>21</v>
      </c>
      <c r="H14" s="22">
        <f>H13*B23</f>
        <v>43837.5</v>
      </c>
      <c r="I14" s="23">
        <f>I13*B23</f>
        <v>42937.5</v>
      </c>
      <c r="K14" s="1" t="s">
        <v>9</v>
      </c>
      <c r="L14" s="23">
        <f>H14</f>
        <v>43837.5</v>
      </c>
      <c r="M14" s="23">
        <f>I14</f>
        <v>42937.5</v>
      </c>
    </row>
    <row r="15" spans="1:15" x14ac:dyDescent="0.25">
      <c r="A15" s="8" t="s">
        <v>38</v>
      </c>
      <c r="B15" s="8">
        <v>1380000</v>
      </c>
      <c r="C15" s="8" t="s">
        <v>14</v>
      </c>
      <c r="D15" s="9"/>
      <c r="G15" t="s">
        <v>18</v>
      </c>
      <c r="H15" s="22">
        <f>H13-H14</f>
        <v>131512.5</v>
      </c>
      <c r="I15" s="23">
        <f>I13-I14</f>
        <v>128812.5</v>
      </c>
      <c r="K15" s="1" t="s">
        <v>31</v>
      </c>
      <c r="L15" s="23"/>
      <c r="M15" s="22">
        <f>B25</f>
        <v>30000</v>
      </c>
    </row>
    <row r="16" spans="1:15" x14ac:dyDescent="0.25">
      <c r="A16" s="8" t="s">
        <v>36</v>
      </c>
      <c r="B16" s="8">
        <f>B15*B14</f>
        <v>110400</v>
      </c>
      <c r="C16" s="8" t="s">
        <v>14</v>
      </c>
      <c r="D16" s="9"/>
      <c r="K16"/>
      <c r="L16" s="23"/>
    </row>
    <row r="17" spans="1:13" x14ac:dyDescent="0.25">
      <c r="A17" s="8" t="s">
        <v>35</v>
      </c>
      <c r="B17" s="8">
        <v>792000</v>
      </c>
      <c r="C17" s="8" t="s">
        <v>14</v>
      </c>
      <c r="D17" s="9"/>
      <c r="K17" t="s">
        <v>81</v>
      </c>
      <c r="L17" s="23"/>
    </row>
    <row r="18" spans="1:13" x14ac:dyDescent="0.25">
      <c r="A18" s="8" t="s">
        <v>32</v>
      </c>
      <c r="B18" s="8">
        <v>550000</v>
      </c>
      <c r="C18" s="8" t="s">
        <v>14</v>
      </c>
      <c r="D18" s="9"/>
      <c r="K18" t="s">
        <v>26</v>
      </c>
      <c r="L18" s="23">
        <f>B4</f>
        <v>100000</v>
      </c>
      <c r="M18" s="23">
        <f>L18+L23-M15+(-I12)</f>
        <v>188500</v>
      </c>
    </row>
    <row r="19" spans="1:13" x14ac:dyDescent="0.25">
      <c r="A19" s="8" t="s">
        <v>30</v>
      </c>
      <c r="B19" s="8">
        <v>40</v>
      </c>
      <c r="C19" s="8"/>
      <c r="D19" s="9" t="s">
        <v>14</v>
      </c>
      <c r="K19" t="s">
        <v>82</v>
      </c>
      <c r="L19" s="23">
        <f>H15</f>
        <v>131512.5</v>
      </c>
      <c r="M19" s="23">
        <f>I15</f>
        <v>128812.5</v>
      </c>
    </row>
    <row r="20" spans="1:13" x14ac:dyDescent="0.25">
      <c r="A20" s="8" t="s">
        <v>28</v>
      </c>
      <c r="B20" s="8">
        <v>30</v>
      </c>
      <c r="C20" s="8"/>
      <c r="D20" s="9" t="s">
        <v>14</v>
      </c>
      <c r="K20"/>
      <c r="L20" s="23"/>
    </row>
    <row r="21" spans="1:13" x14ac:dyDescent="0.25">
      <c r="A21" s="8" t="s">
        <v>25</v>
      </c>
      <c r="B21" s="8">
        <v>180000</v>
      </c>
      <c r="C21" s="8"/>
      <c r="D21" s="9" t="s">
        <v>14</v>
      </c>
      <c r="K21" t="s">
        <v>20</v>
      </c>
      <c r="L21" s="23">
        <f>SUM(L12:L20)</f>
        <v>331183.33333333337</v>
      </c>
      <c r="M21" s="23">
        <f>SUM(M12:M20)</f>
        <v>446083.33333333337</v>
      </c>
    </row>
    <row r="22" spans="1:13" x14ac:dyDescent="0.25">
      <c r="A22" s="8" t="s">
        <v>10</v>
      </c>
      <c r="B22" s="8">
        <v>10000</v>
      </c>
      <c r="C22" s="8"/>
      <c r="D22" s="9" t="s">
        <v>14</v>
      </c>
      <c r="K22"/>
      <c r="L22" s="23"/>
    </row>
    <row r="23" spans="1:13" x14ac:dyDescent="0.25">
      <c r="A23" s="8" t="s">
        <v>21</v>
      </c>
      <c r="B23" s="20">
        <v>0.25</v>
      </c>
      <c r="C23" s="8" t="s">
        <v>14</v>
      </c>
      <c r="D23" s="9" t="s">
        <v>14</v>
      </c>
      <c r="K23" t="s">
        <v>34</v>
      </c>
      <c r="L23" s="23">
        <f>L9-L21</f>
        <v>114900</v>
      </c>
    </row>
    <row r="24" spans="1:13" x14ac:dyDescent="0.25">
      <c r="A24" s="8" t="s">
        <v>19</v>
      </c>
      <c r="B24" s="8">
        <v>10000</v>
      </c>
      <c r="C24" s="8"/>
      <c r="D24" s="9" t="s">
        <v>14</v>
      </c>
    </row>
    <row r="25" spans="1:13" x14ac:dyDescent="0.25">
      <c r="A25" s="8" t="s">
        <v>17</v>
      </c>
      <c r="B25" s="8">
        <v>30000</v>
      </c>
      <c r="C25" s="8"/>
      <c r="D25" s="9" t="s">
        <v>14</v>
      </c>
    </row>
    <row r="26" spans="1:13" x14ac:dyDescent="0.25">
      <c r="A26" s="8" t="s">
        <v>15</v>
      </c>
      <c r="B26" s="20">
        <v>0.12</v>
      </c>
      <c r="C26" s="8" t="s">
        <v>14</v>
      </c>
      <c r="D26" s="9"/>
    </row>
  </sheetData>
  <mergeCells count="2">
    <mergeCell ref="G3:H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2017-11-13T20:51:51Z</dcterms:created>
  <dcterms:modified xsi:type="dcterms:W3CDTF">2017-11-16T23:06:49Z</dcterms:modified>
</cp:coreProperties>
</file>