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5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Financiera I\Ejercicios\"/>
    </mc:Choice>
  </mc:AlternateContent>
  <bookViews>
    <workbookView xWindow="0" yWindow="0" windowWidth="20490" windowHeight="7530" xr2:uid="{0AD1B904-C9F6-4738-8219-CEC1AE727E9D}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85" i="1" l="1"/>
  <c r="C77" i="1" l="1"/>
  <c r="C68" i="1"/>
  <c r="C44" i="1"/>
  <c r="C85" i="1" l="1"/>
  <c r="C76" i="1"/>
  <c r="E64" i="1"/>
  <c r="E63" i="1" s="1"/>
  <c r="G39" i="1"/>
  <c r="H39" i="1"/>
  <c r="F39" i="1"/>
  <c r="C43" i="1"/>
  <c r="G42" i="1" l="1"/>
  <c r="G46" i="1"/>
  <c r="G50" i="1"/>
  <c r="G54" i="1"/>
  <c r="G58" i="1"/>
  <c r="G40" i="1"/>
  <c r="G43" i="1"/>
  <c r="G47" i="1"/>
  <c r="G51" i="1"/>
  <c r="G55" i="1"/>
  <c r="G44" i="1"/>
  <c r="G48" i="1"/>
  <c r="G52" i="1"/>
  <c r="G56" i="1"/>
  <c r="G41" i="1"/>
  <c r="G45" i="1"/>
  <c r="G49" i="1"/>
  <c r="G53" i="1"/>
  <c r="G57" i="1"/>
  <c r="I39" i="1"/>
  <c r="J39" i="1" s="1"/>
  <c r="F40" i="1" s="1"/>
  <c r="H40" i="1" l="1"/>
  <c r="I40" i="1"/>
  <c r="J40" i="1" s="1"/>
  <c r="F41" i="1" s="1"/>
  <c r="H41" i="1" s="1"/>
  <c r="I41" i="1" s="1"/>
  <c r="J41" i="1" s="1"/>
  <c r="F42" i="1" s="1"/>
  <c r="H42" i="1" l="1"/>
  <c r="I42" i="1" s="1"/>
  <c r="J42" i="1" s="1"/>
  <c r="F43" i="1" s="1"/>
  <c r="H43" i="1" l="1"/>
  <c r="I43" i="1" s="1"/>
  <c r="J43" i="1"/>
  <c r="F44" i="1" s="1"/>
  <c r="H44" i="1" l="1"/>
  <c r="I44" i="1" s="1"/>
  <c r="J44" i="1"/>
  <c r="F45" i="1" s="1"/>
  <c r="H45" i="1" s="1"/>
  <c r="I45" i="1" s="1"/>
  <c r="J45" i="1" s="1"/>
  <c r="F46" i="1" s="1"/>
  <c r="H46" i="1"/>
  <c r="I46" i="1" s="1"/>
  <c r="J46" i="1" s="1"/>
  <c r="F47" i="1" s="1"/>
  <c r="H47" i="1" l="1"/>
  <c r="I47" i="1" s="1"/>
  <c r="C47" i="1" s="1"/>
  <c r="J47" i="1"/>
  <c r="F48" i="1" s="1"/>
  <c r="H48" i="1" l="1"/>
  <c r="I48" i="1" s="1"/>
  <c r="J48" i="1"/>
  <c r="F49" i="1" s="1"/>
  <c r="H49" i="1" l="1"/>
  <c r="I49" i="1" s="1"/>
  <c r="J49" i="1" s="1"/>
  <c r="F50" i="1" s="1"/>
  <c r="H50" i="1" l="1"/>
  <c r="I50" i="1" s="1"/>
  <c r="J50" i="1" s="1"/>
  <c r="F51" i="1" s="1"/>
  <c r="H51" i="1" l="1"/>
  <c r="I51" i="1" s="1"/>
  <c r="J51" i="1"/>
  <c r="F52" i="1" s="1"/>
  <c r="H52" i="1" l="1"/>
  <c r="I52" i="1" s="1"/>
  <c r="J52" i="1"/>
  <c r="F53" i="1" s="1"/>
  <c r="C41" i="1"/>
  <c r="E29" i="1"/>
  <c r="O28" i="1"/>
  <c r="N28" i="1"/>
  <c r="M28" i="1"/>
  <c r="L28" i="1"/>
  <c r="K28" i="1"/>
  <c r="J28" i="1"/>
  <c r="I28" i="1"/>
  <c r="H28" i="1"/>
  <c r="G28" i="1"/>
  <c r="F28" i="1"/>
  <c r="E28" i="1"/>
  <c r="C19" i="1"/>
  <c r="C15" i="1"/>
  <c r="C16" i="1" s="1"/>
  <c r="C7" i="1"/>
  <c r="C6" i="1"/>
  <c r="H53" i="1" l="1"/>
  <c r="I53" i="1" s="1"/>
  <c r="J53" i="1" s="1"/>
  <c r="F54" i="1" s="1"/>
  <c r="C22" i="1"/>
  <c r="C20" i="1"/>
  <c r="H54" i="1" l="1"/>
  <c r="I54" i="1" s="1"/>
  <c r="J54" i="1" s="1"/>
  <c r="F55" i="1" s="1"/>
  <c r="H55" i="1" l="1"/>
  <c r="I55" i="1" s="1"/>
  <c r="J55" i="1" s="1"/>
  <c r="F56" i="1" s="1"/>
  <c r="H56" i="1" l="1"/>
  <c r="I56" i="1" s="1"/>
  <c r="J56" i="1"/>
  <c r="F57" i="1" s="1"/>
  <c r="H57" i="1" l="1"/>
  <c r="I57" i="1" s="1"/>
  <c r="J57" i="1" s="1"/>
  <c r="F58" i="1" s="1"/>
  <c r="H58" i="1" l="1"/>
  <c r="I58" i="1" s="1"/>
  <c r="J58" i="1" s="1"/>
</calcChain>
</file>

<file path=xl/sharedStrings.xml><?xml version="1.0" encoding="utf-8"?>
<sst xmlns="http://schemas.openxmlformats.org/spreadsheetml/2006/main" count="63" uniqueCount="57">
  <si>
    <t>Fondo</t>
  </si>
  <si>
    <t>1.)</t>
  </si>
  <si>
    <t>Años</t>
  </si>
  <si>
    <t>Depositos Trimestrales</t>
  </si>
  <si>
    <t>Tasa</t>
  </si>
  <si>
    <t>Tasa trimestral</t>
  </si>
  <si>
    <t>Pago (a)</t>
  </si>
  <si>
    <t>2.)</t>
  </si>
  <si>
    <t>Mensual</t>
  </si>
  <si>
    <t>Tasa Anual (a)</t>
  </si>
  <si>
    <t>Mensual (a)</t>
  </si>
  <si>
    <t>VF (a)</t>
  </si>
  <si>
    <t>Ahorro (b)</t>
  </si>
  <si>
    <t>Tiempo (b)</t>
  </si>
  <si>
    <t>Capitalizacion semestral</t>
  </si>
  <si>
    <t>Tasa (b)</t>
  </si>
  <si>
    <t xml:space="preserve">Tasa © </t>
  </si>
  <si>
    <t>Cuota ©</t>
  </si>
  <si>
    <t>3.)</t>
  </si>
  <si>
    <t>Flujos</t>
  </si>
  <si>
    <t>Fluljos 2</t>
  </si>
  <si>
    <t>Inversion</t>
  </si>
  <si>
    <t>Si deberia realizarlo</t>
  </si>
  <si>
    <t>4.)</t>
  </si>
  <si>
    <t>Costo</t>
  </si>
  <si>
    <t>Fondos</t>
  </si>
  <si>
    <t>Años Credito</t>
  </si>
  <si>
    <t>Tasa Anual</t>
  </si>
  <si>
    <t>Tasa Trimestral</t>
  </si>
  <si>
    <t>Flujo disponible (a)</t>
  </si>
  <si>
    <t>Saldo Inicial</t>
  </si>
  <si>
    <t>Periodo</t>
  </si>
  <si>
    <t>Cuota</t>
  </si>
  <si>
    <t>Interes</t>
  </si>
  <si>
    <t>Abono a Capital</t>
  </si>
  <si>
    <t>Saldo Final</t>
  </si>
  <si>
    <t>Trimestres Creditos</t>
  </si>
  <si>
    <t>Pago</t>
  </si>
  <si>
    <t>(a)No era suficiente.</t>
  </si>
  <si>
    <t>(b) Dinero</t>
  </si>
  <si>
    <t>5.)</t>
  </si>
  <si>
    <t>Precio</t>
  </si>
  <si>
    <t>Crecimiento</t>
  </si>
  <si>
    <t>Acciones</t>
  </si>
  <si>
    <t>VP</t>
  </si>
  <si>
    <t>NPER</t>
  </si>
  <si>
    <t>6.)</t>
  </si>
  <si>
    <t>BETA</t>
  </si>
  <si>
    <t>Prima Mercado</t>
  </si>
  <si>
    <t>CAPM (a)</t>
  </si>
  <si>
    <t>CAPM (b)</t>
  </si>
  <si>
    <t>Sube 1%</t>
  </si>
  <si>
    <t>7.)</t>
  </si>
  <si>
    <t>Año Anterior</t>
  </si>
  <si>
    <t>Precio actual</t>
  </si>
  <si>
    <t>Dividendos</t>
  </si>
  <si>
    <t>Rendimiento Real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</si>
</sst>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Q&quot;* #,##0.00_-;\-&quot;Q&quot;* #,##0.00_-;_-&quot;Q&quot;* &quot;-&quot;??_-;_-@_-"/>
    <numFmt numFmtId="164" formatCode="&quot;Q&quot;#,##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1" applyNumberFormat="1" applyFont="1"/>
    <xf numFmtId="164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0" fillId="0" borderId="1" xfId="1" applyNumberFormat="1" applyFont="1" applyBorder="1"/>
    <xf numFmtId="2" fontId="0" fillId="0" borderId="1" xfId="0" applyNumberFormat="1" applyBorder="1"/>
    <xf numFmtId="9" fontId="0" fillId="0" borderId="1" xfId="2" applyFont="1" applyBorder="1"/>
    <xf numFmtId="10" fontId="0" fillId="0" borderId="1" xfId="2" applyNumberFormat="1" applyFont="1" applyBorder="1"/>
    <xf numFmtId="0" fontId="0" fillId="2" borderId="1" xfId="1" applyNumberFormat="1" applyFont="1" applyFill="1" applyBorder="1"/>
    <xf numFmtId="164" fontId="0" fillId="2" borderId="1" xfId="0" applyNumberFormat="1" applyFill="1" applyBorder="1"/>
    <xf numFmtId="0" fontId="0" fillId="0" borderId="2" xfId="0" applyBorder="1"/>
    <xf numFmtId="0" fontId="0" fillId="0" borderId="3" xfId="1" applyNumberFormat="1" applyFont="1" applyBorder="1"/>
    <xf numFmtId="164" fontId="0" fillId="0" borderId="3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0" xfId="1" applyNumberFormat="1" applyFont="1" applyBorder="1"/>
    <xf numFmtId="164" fontId="0" fillId="0" borderId="0" xfId="0" applyNumberFormat="1" applyBorder="1"/>
    <xf numFmtId="0" fontId="0" fillId="0" borderId="7" xfId="0" applyBorder="1"/>
    <xf numFmtId="0" fontId="0" fillId="0" borderId="8" xfId="1" applyNumberFormat="1" applyFont="1" applyBorder="1"/>
    <xf numFmtId="164" fontId="0" fillId="0" borderId="8" xfId="0" applyNumberFormat="1" applyBorder="1"/>
    <xf numFmtId="0" fontId="0" fillId="0" borderId="8" xfId="0" applyBorder="1"/>
    <xf numFmtId="0" fontId="0" fillId="0" borderId="9" xfId="0" applyBorder="1"/>
    <xf numFmtId="164" fontId="0" fillId="0" borderId="1" xfId="0" applyNumberFormat="1" applyBorder="1"/>
    <xf numFmtId="10" fontId="0" fillId="2" borderId="1" xfId="2" applyNumberFormat="1" applyFont="1" applyFill="1" applyBorder="1"/>
    <xf numFmtId="0" fontId="0" fillId="0" borderId="1" xfId="0" applyNumberFormat="1" applyBorder="1"/>
    <xf numFmtId="0" fontId="0" fillId="2" borderId="1" xfId="0" applyFill="1" applyBorder="1"/>
    <xf numFmtId="0" fontId="0" fillId="2" borderId="1" xfId="1" applyNumberFormat="1" applyFont="1" applyFill="1" applyBorder="1" applyAlignment="1">
      <alignment horizontal="center"/>
    </xf>
    <xf numFmtId="10" fontId="0" fillId="0" borderId="0" xfId="2" applyNumberFormat="1" applyFont="1" applyBorder="1"/>
    <xf numFmtId="164" fontId="0" fillId="0" borderId="6" xfId="0" applyNumberForma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2BDC2-09A8-40FC-9FF6-BECB999F07CB}">
  <dimension ref="A1:Q87"/>
  <sheetViews>
    <sheetView tabSelected="1" topLeftCell="A76" workbookViewId="0">
      <selection activeCell="E86" sqref="E86"/>
    </sheetView>
  </sheetViews>
  <sheetFormatPr defaultRowHeight="15" x14ac:dyDescent="0.25"/>
  <cols>
    <col min="2" max="2" width="22.85546875" style="1" bestFit="1" customWidth="1"/>
    <col min="3" max="3" width="14" style="2" bestFit="1" customWidth="1"/>
    <col min="5" max="5" width="12.28515625" bestFit="1" customWidth="1"/>
    <col min="6" max="6" width="20.42578125" bestFit="1" customWidth="1"/>
    <col min="7" max="8" width="10.5703125" bestFit="1" customWidth="1"/>
    <col min="9" max="9" width="15" bestFit="1" customWidth="1"/>
    <col min="10" max="15" width="10.5703125" bestFit="1" customWidth="1"/>
  </cols>
  <sheetData>
    <row r="1" spans="1:5" x14ac:dyDescent="0.25">
      <c r="A1" s="11" t="s">
        <v>1</v>
      </c>
      <c r="B1" s="12"/>
      <c r="C1" s="13"/>
      <c r="D1" s="14"/>
      <c r="E1" s="15"/>
    </row>
    <row r="2" spans="1:5" x14ac:dyDescent="0.25">
      <c r="A2" s="16"/>
      <c r="B2" s="3" t="s">
        <v>0</v>
      </c>
      <c r="C2" s="4">
        <v>1000000</v>
      </c>
      <c r="D2" s="17"/>
      <c r="E2" s="18"/>
    </row>
    <row r="3" spans="1:5" x14ac:dyDescent="0.25">
      <c r="A3" s="16"/>
      <c r="B3" s="5" t="s">
        <v>2</v>
      </c>
      <c r="C3" s="6">
        <v>35</v>
      </c>
      <c r="D3" s="17"/>
      <c r="E3" s="18"/>
    </row>
    <row r="4" spans="1:5" x14ac:dyDescent="0.25">
      <c r="A4" s="16"/>
      <c r="B4" s="5" t="s">
        <v>3</v>
      </c>
      <c r="C4" s="6">
        <v>4</v>
      </c>
      <c r="D4" s="17"/>
      <c r="E4" s="18"/>
    </row>
    <row r="5" spans="1:5" x14ac:dyDescent="0.25">
      <c r="A5" s="16"/>
      <c r="B5" s="5" t="s">
        <v>4</v>
      </c>
      <c r="C5" s="7">
        <v>0.05</v>
      </c>
      <c r="D5" s="17"/>
      <c r="E5" s="18"/>
    </row>
    <row r="6" spans="1:5" x14ac:dyDescent="0.25">
      <c r="A6" s="16"/>
      <c r="B6" s="5" t="s">
        <v>5</v>
      </c>
      <c r="C6" s="8">
        <f>C5/4</f>
        <v>1.2500000000000001E-2</v>
      </c>
      <c r="D6" s="17"/>
      <c r="E6" s="18"/>
    </row>
    <row r="7" spans="1:5" x14ac:dyDescent="0.25">
      <c r="A7" s="16"/>
      <c r="B7" s="9" t="s">
        <v>6</v>
      </c>
      <c r="C7" s="10">
        <f>PMT(C6,C3*C4,,C2)</f>
        <v>-2663.8146510384513</v>
      </c>
      <c r="D7" s="17"/>
      <c r="E7" s="18"/>
    </row>
    <row r="8" spans="1:5" x14ac:dyDescent="0.25">
      <c r="A8" s="16"/>
      <c r="B8" s="19"/>
      <c r="C8" s="20"/>
      <c r="D8" s="17"/>
      <c r="E8" s="18"/>
    </row>
    <row r="9" spans="1:5" ht="15.75" thickBot="1" x14ac:dyDescent="0.3">
      <c r="A9" s="21"/>
      <c r="B9" s="22"/>
      <c r="C9" s="23"/>
      <c r="D9" s="24"/>
      <c r="E9" s="25"/>
    </row>
    <row r="10" spans="1:5" ht="15.75" thickBot="1" x14ac:dyDescent="0.3"/>
    <row r="11" spans="1:5" x14ac:dyDescent="0.25">
      <c r="A11" s="11" t="s">
        <v>7</v>
      </c>
      <c r="B11" s="12"/>
      <c r="C11" s="13"/>
      <c r="D11" s="14"/>
      <c r="E11" s="15"/>
    </row>
    <row r="12" spans="1:5" x14ac:dyDescent="0.25">
      <c r="A12" s="16"/>
      <c r="B12" s="5" t="s">
        <v>2</v>
      </c>
      <c r="C12" s="6">
        <v>8</v>
      </c>
      <c r="D12" s="17"/>
      <c r="E12" s="18"/>
    </row>
    <row r="13" spans="1:5" x14ac:dyDescent="0.25">
      <c r="A13" s="16"/>
      <c r="B13" s="5" t="s">
        <v>8</v>
      </c>
      <c r="C13" s="26">
        <v>10000</v>
      </c>
      <c r="D13" s="17"/>
      <c r="E13" s="18"/>
    </row>
    <row r="14" spans="1:5" x14ac:dyDescent="0.25">
      <c r="A14" s="16"/>
      <c r="B14" s="5" t="s">
        <v>9</v>
      </c>
      <c r="C14" s="8">
        <v>0.06</v>
      </c>
      <c r="D14" s="17"/>
      <c r="E14" s="18"/>
    </row>
    <row r="15" spans="1:5" x14ac:dyDescent="0.25">
      <c r="A15" s="16"/>
      <c r="B15" s="5" t="s">
        <v>10</v>
      </c>
      <c r="C15" s="8">
        <f>C14/12</f>
        <v>5.0000000000000001E-3</v>
      </c>
      <c r="D15" s="17"/>
      <c r="E15" s="18"/>
    </row>
    <row r="16" spans="1:5" x14ac:dyDescent="0.25">
      <c r="A16" s="16"/>
      <c r="B16" s="9" t="s">
        <v>11</v>
      </c>
      <c r="C16" s="10">
        <f>PV(C15,C12*12,-C13)</f>
        <v>760952.18253218068</v>
      </c>
      <c r="D16" s="17"/>
      <c r="E16" s="18"/>
    </row>
    <row r="17" spans="1:17" x14ac:dyDescent="0.25">
      <c r="A17" s="16"/>
      <c r="B17" s="5" t="s">
        <v>12</v>
      </c>
      <c r="C17" s="26">
        <v>200000</v>
      </c>
      <c r="D17" s="17"/>
      <c r="E17" s="18"/>
    </row>
    <row r="18" spans="1:17" x14ac:dyDescent="0.25">
      <c r="A18" s="16"/>
      <c r="B18" s="5" t="s">
        <v>13</v>
      </c>
      <c r="C18" s="6">
        <v>10</v>
      </c>
      <c r="D18" s="17"/>
      <c r="E18" s="18"/>
    </row>
    <row r="19" spans="1:17" x14ac:dyDescent="0.25">
      <c r="A19" s="16"/>
      <c r="B19" s="5" t="s">
        <v>14</v>
      </c>
      <c r="C19" s="6">
        <f>C18*2</f>
        <v>20</v>
      </c>
      <c r="D19" s="17"/>
      <c r="E19" s="18"/>
    </row>
    <row r="20" spans="1:17" x14ac:dyDescent="0.25">
      <c r="A20" s="16"/>
      <c r="B20" s="9" t="s">
        <v>15</v>
      </c>
      <c r="C20" s="27">
        <f>RATE(C19,,-C17,C16)*2</f>
        <v>0.13819034535922498</v>
      </c>
      <c r="D20" s="17"/>
      <c r="E20" s="18"/>
    </row>
    <row r="21" spans="1:17" x14ac:dyDescent="0.25">
      <c r="A21" s="16"/>
      <c r="B21" s="5" t="s">
        <v>16</v>
      </c>
      <c r="C21" s="7">
        <v>0.08</v>
      </c>
      <c r="D21" s="17"/>
      <c r="E21" s="18"/>
    </row>
    <row r="22" spans="1:17" x14ac:dyDescent="0.25">
      <c r="A22" s="16"/>
      <c r="B22" s="9" t="s">
        <v>17</v>
      </c>
      <c r="C22" s="10">
        <f>PMT(C21/2,C19,C17,-C16)</f>
        <v>10837.756140095154</v>
      </c>
      <c r="D22" s="17"/>
      <c r="E22" s="18"/>
    </row>
    <row r="23" spans="1:17" x14ac:dyDescent="0.25">
      <c r="A23" s="16"/>
      <c r="B23" s="19"/>
      <c r="C23" s="20"/>
      <c r="D23" s="17"/>
      <c r="E23" s="18"/>
    </row>
    <row r="24" spans="1:17" ht="15.75" thickBot="1" x14ac:dyDescent="0.3">
      <c r="A24" s="21"/>
      <c r="B24" s="22"/>
      <c r="C24" s="23"/>
      <c r="D24" s="24"/>
      <c r="E24" s="25"/>
    </row>
    <row r="25" spans="1:17" ht="15.75" thickBot="1" x14ac:dyDescent="0.3"/>
    <row r="26" spans="1:17" x14ac:dyDescent="0.25">
      <c r="A26" s="11" t="s">
        <v>18</v>
      </c>
      <c r="B26" s="12"/>
      <c r="C26" s="13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</row>
    <row r="27" spans="1:17" x14ac:dyDescent="0.25">
      <c r="A27" s="16"/>
      <c r="B27" s="5" t="s">
        <v>2</v>
      </c>
      <c r="C27" s="6">
        <v>10</v>
      </c>
      <c r="D27" s="17"/>
      <c r="E27" s="3" t="s">
        <v>21</v>
      </c>
      <c r="F27" s="3">
        <v>1</v>
      </c>
      <c r="G27" s="3">
        <v>2</v>
      </c>
      <c r="H27" s="3">
        <v>3</v>
      </c>
      <c r="I27" s="3">
        <v>4</v>
      </c>
      <c r="J27" s="3">
        <v>5</v>
      </c>
      <c r="K27" s="3">
        <v>6</v>
      </c>
      <c r="L27" s="3">
        <v>7</v>
      </c>
      <c r="M27" s="3">
        <v>8</v>
      </c>
      <c r="N27" s="3">
        <v>9</v>
      </c>
      <c r="O27" s="3">
        <v>10</v>
      </c>
      <c r="P27" s="17"/>
      <c r="Q27" s="18"/>
    </row>
    <row r="28" spans="1:17" x14ac:dyDescent="0.25">
      <c r="A28" s="16"/>
      <c r="B28" s="5" t="s">
        <v>19</v>
      </c>
      <c r="C28" s="26">
        <v>75000</v>
      </c>
      <c r="D28" s="17"/>
      <c r="E28" s="26">
        <f>-C30</f>
        <v>-300000</v>
      </c>
      <c r="F28" s="26">
        <f>C28</f>
        <v>75000</v>
      </c>
      <c r="G28" s="26">
        <f>F28</f>
        <v>75000</v>
      </c>
      <c r="H28" s="26">
        <f>G28</f>
        <v>75000</v>
      </c>
      <c r="I28" s="26">
        <f>H28</f>
        <v>75000</v>
      </c>
      <c r="J28" s="26">
        <f>I28</f>
        <v>75000</v>
      </c>
      <c r="K28" s="26">
        <f>C29</f>
        <v>50000</v>
      </c>
      <c r="L28" s="26">
        <f>K28</f>
        <v>50000</v>
      </c>
      <c r="M28" s="26">
        <f>L28</f>
        <v>50000</v>
      </c>
      <c r="N28" s="26">
        <f>M28</f>
        <v>50000</v>
      </c>
      <c r="O28" s="26">
        <f>N28</f>
        <v>50000</v>
      </c>
      <c r="P28" s="17"/>
      <c r="Q28" s="18"/>
    </row>
    <row r="29" spans="1:17" x14ac:dyDescent="0.25">
      <c r="A29" s="16"/>
      <c r="B29" s="5" t="s">
        <v>20</v>
      </c>
      <c r="C29" s="26">
        <v>50000</v>
      </c>
      <c r="D29" s="17"/>
      <c r="E29" s="10">
        <f>E28+NPV(C31,F28:O28)</f>
        <v>72630.556479168241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8"/>
    </row>
    <row r="30" spans="1:17" x14ac:dyDescent="0.25">
      <c r="A30" s="16"/>
      <c r="B30" s="5" t="s">
        <v>21</v>
      </c>
      <c r="C30" s="26">
        <v>300000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8"/>
    </row>
    <row r="31" spans="1:17" x14ac:dyDescent="0.25">
      <c r="A31" s="16"/>
      <c r="B31" s="5" t="s">
        <v>4</v>
      </c>
      <c r="C31" s="7">
        <v>0.12</v>
      </c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8"/>
    </row>
    <row r="32" spans="1:17" x14ac:dyDescent="0.25">
      <c r="A32" s="16"/>
      <c r="B32" s="30" t="s">
        <v>22</v>
      </c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8"/>
    </row>
    <row r="33" spans="1:17" x14ac:dyDescent="0.25">
      <c r="A33" s="16"/>
      <c r="B33" s="19"/>
      <c r="C33" s="20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8"/>
    </row>
    <row r="34" spans="1:17" ht="15.75" thickBot="1" x14ac:dyDescent="0.3">
      <c r="A34" s="21"/>
      <c r="B34" s="22"/>
      <c r="C34" s="23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5"/>
    </row>
    <row r="35" spans="1:17" ht="15.75" thickBot="1" x14ac:dyDescent="0.3"/>
    <row r="36" spans="1:17" x14ac:dyDescent="0.25">
      <c r="A36" s="11" t="s">
        <v>23</v>
      </c>
      <c r="B36" s="12"/>
      <c r="C36" s="13"/>
      <c r="D36" s="14"/>
      <c r="E36" s="14"/>
      <c r="F36" s="14"/>
      <c r="G36" s="14"/>
      <c r="H36" s="14"/>
      <c r="I36" s="14"/>
      <c r="J36" s="14"/>
      <c r="K36" s="14"/>
      <c r="L36" s="15"/>
    </row>
    <row r="37" spans="1:17" x14ac:dyDescent="0.25">
      <c r="A37" s="16"/>
      <c r="B37" s="5" t="s">
        <v>24</v>
      </c>
      <c r="C37" s="26">
        <v>40000</v>
      </c>
      <c r="D37" s="17"/>
      <c r="E37" s="17"/>
      <c r="F37" s="17"/>
      <c r="G37" s="17"/>
      <c r="H37" s="17"/>
      <c r="I37" s="17"/>
      <c r="J37" s="17"/>
      <c r="K37" s="17"/>
      <c r="L37" s="18"/>
    </row>
    <row r="38" spans="1:17" x14ac:dyDescent="0.25">
      <c r="A38" s="16"/>
      <c r="B38" s="5" t="s">
        <v>25</v>
      </c>
      <c r="C38" s="26">
        <v>20000</v>
      </c>
      <c r="D38" s="17"/>
      <c r="E38" s="3" t="s">
        <v>31</v>
      </c>
      <c r="F38" s="3" t="s">
        <v>30</v>
      </c>
      <c r="G38" s="3" t="s">
        <v>32</v>
      </c>
      <c r="H38" s="3" t="s">
        <v>33</v>
      </c>
      <c r="I38" s="3" t="s">
        <v>34</v>
      </c>
      <c r="J38" s="3" t="s">
        <v>35</v>
      </c>
      <c r="K38" s="17"/>
      <c r="L38" s="18"/>
    </row>
    <row r="39" spans="1:17" x14ac:dyDescent="0.25">
      <c r="A39" s="16"/>
      <c r="B39" s="5" t="s">
        <v>26</v>
      </c>
      <c r="C39" s="6">
        <v>5</v>
      </c>
      <c r="D39" s="17"/>
      <c r="E39" s="3">
        <v>1</v>
      </c>
      <c r="F39" s="26">
        <f>C37-C38</f>
        <v>20000</v>
      </c>
      <c r="G39" s="26">
        <f>C44</f>
        <v>1223.1343625058078</v>
      </c>
      <c r="H39" s="26">
        <f>F39*C41</f>
        <v>400</v>
      </c>
      <c r="I39" s="26">
        <f>G39-H39</f>
        <v>823.13436250580776</v>
      </c>
      <c r="J39" s="26">
        <f>F39-I39</f>
        <v>19176.865637494193</v>
      </c>
      <c r="K39" s="17"/>
      <c r="L39" s="18"/>
    </row>
    <row r="40" spans="1:17" x14ac:dyDescent="0.25">
      <c r="A40" s="16"/>
      <c r="B40" s="5" t="s">
        <v>27</v>
      </c>
      <c r="C40" s="7">
        <v>0.08</v>
      </c>
      <c r="D40" s="17"/>
      <c r="E40" s="3">
        <v>2</v>
      </c>
      <c r="F40" s="26">
        <f>J39</f>
        <v>19176.865637494193</v>
      </c>
      <c r="G40" s="26">
        <f>$G$39</f>
        <v>1223.1343625058078</v>
      </c>
      <c r="H40" s="26">
        <f>F40*$C$41</f>
        <v>383.53731274988388</v>
      </c>
      <c r="I40" s="26">
        <f>G40-H40</f>
        <v>839.59704975592388</v>
      </c>
      <c r="J40" s="26">
        <f>F40-I40</f>
        <v>18337.268587738268</v>
      </c>
      <c r="K40" s="17"/>
      <c r="L40" s="18"/>
    </row>
    <row r="41" spans="1:17" x14ac:dyDescent="0.25">
      <c r="A41" s="16"/>
      <c r="B41" s="5" t="s">
        <v>28</v>
      </c>
      <c r="C41" s="7">
        <f>C40/4</f>
        <v>0.02</v>
      </c>
      <c r="D41" s="17"/>
      <c r="E41" s="3">
        <v>3</v>
      </c>
      <c r="F41" s="26">
        <f t="shared" ref="F41:F58" si="0">J40</f>
        <v>18337.268587738268</v>
      </c>
      <c r="G41" s="26">
        <f t="shared" ref="G41:G58" si="1">$G$39</f>
        <v>1223.1343625058078</v>
      </c>
      <c r="H41" s="26">
        <f t="shared" ref="H41:H58" si="2">F41*$C$41</f>
        <v>366.74537175476536</v>
      </c>
      <c r="I41" s="26">
        <f t="shared" ref="I41:I58" si="3">G41-H41</f>
        <v>856.38899075104246</v>
      </c>
      <c r="J41" s="26">
        <f t="shared" ref="J41:J58" si="4">F41-I41</f>
        <v>17480.879596987226</v>
      </c>
      <c r="K41" s="17"/>
      <c r="L41" s="18"/>
    </row>
    <row r="42" spans="1:17" x14ac:dyDescent="0.25">
      <c r="A42" s="16"/>
      <c r="B42" s="5" t="s">
        <v>29</v>
      </c>
      <c r="C42" s="26">
        <v>10000</v>
      </c>
      <c r="D42" s="17"/>
      <c r="E42" s="3">
        <v>4</v>
      </c>
      <c r="F42" s="26">
        <f t="shared" si="0"/>
        <v>17480.879596987226</v>
      </c>
      <c r="G42" s="26">
        <f t="shared" si="1"/>
        <v>1223.1343625058078</v>
      </c>
      <c r="H42" s="26">
        <f t="shared" si="2"/>
        <v>349.61759193974456</v>
      </c>
      <c r="I42" s="26">
        <f t="shared" si="3"/>
        <v>873.5167705660632</v>
      </c>
      <c r="J42" s="26">
        <f t="shared" si="4"/>
        <v>16607.362826421162</v>
      </c>
      <c r="K42" s="17"/>
      <c r="L42" s="18"/>
    </row>
    <row r="43" spans="1:17" x14ac:dyDescent="0.25">
      <c r="A43" s="16"/>
      <c r="B43" s="5" t="s">
        <v>36</v>
      </c>
      <c r="C43" s="28">
        <f>C39*4</f>
        <v>20</v>
      </c>
      <c r="D43" s="17"/>
      <c r="E43" s="3">
        <v>5</v>
      </c>
      <c r="F43" s="26">
        <f t="shared" si="0"/>
        <v>16607.362826421162</v>
      </c>
      <c r="G43" s="26">
        <f t="shared" si="1"/>
        <v>1223.1343625058078</v>
      </c>
      <c r="H43" s="26">
        <f t="shared" si="2"/>
        <v>332.14725652842327</v>
      </c>
      <c r="I43" s="26">
        <f t="shared" si="3"/>
        <v>890.98710597738454</v>
      </c>
      <c r="J43" s="26">
        <f t="shared" si="4"/>
        <v>15716.375720443777</v>
      </c>
      <c r="K43" s="17"/>
      <c r="L43" s="18"/>
    </row>
    <row r="44" spans="1:17" x14ac:dyDescent="0.25">
      <c r="A44" s="16"/>
      <c r="B44" s="5" t="s">
        <v>37</v>
      </c>
      <c r="C44" s="26">
        <f>PMT(C41,C43,-C38)</f>
        <v>1223.1343625058078</v>
      </c>
      <c r="D44" s="17"/>
      <c r="E44" s="3">
        <v>6</v>
      </c>
      <c r="F44" s="26">
        <f t="shared" si="0"/>
        <v>15716.375720443777</v>
      </c>
      <c r="G44" s="26">
        <f t="shared" si="1"/>
        <v>1223.1343625058078</v>
      </c>
      <c r="H44" s="26">
        <f t="shared" si="2"/>
        <v>314.32751440887557</v>
      </c>
      <c r="I44" s="26">
        <f t="shared" si="3"/>
        <v>908.80684809693219</v>
      </c>
      <c r="J44" s="26">
        <f t="shared" si="4"/>
        <v>14807.568872346845</v>
      </c>
      <c r="K44" s="17"/>
      <c r="L44" s="18"/>
    </row>
    <row r="45" spans="1:17" x14ac:dyDescent="0.25">
      <c r="A45" s="16"/>
      <c r="B45" s="19"/>
      <c r="C45" s="20"/>
      <c r="D45" s="17"/>
      <c r="E45" s="3">
        <v>7</v>
      </c>
      <c r="F45" s="26">
        <f t="shared" si="0"/>
        <v>14807.568872346845</v>
      </c>
      <c r="G45" s="26">
        <f t="shared" si="1"/>
        <v>1223.1343625058078</v>
      </c>
      <c r="H45" s="26">
        <f t="shared" si="2"/>
        <v>296.15137744693692</v>
      </c>
      <c r="I45" s="26">
        <f t="shared" si="3"/>
        <v>926.98298505887078</v>
      </c>
      <c r="J45" s="26">
        <f t="shared" si="4"/>
        <v>13880.585887287974</v>
      </c>
      <c r="K45" s="17"/>
      <c r="L45" s="18"/>
    </row>
    <row r="46" spans="1:17" x14ac:dyDescent="0.25">
      <c r="A46" s="16"/>
      <c r="B46" s="30" t="s">
        <v>38</v>
      </c>
      <c r="C46" s="30"/>
      <c r="D46" s="17"/>
      <c r="E46" s="3">
        <v>8</v>
      </c>
      <c r="F46" s="26">
        <f t="shared" si="0"/>
        <v>13880.585887287974</v>
      </c>
      <c r="G46" s="26">
        <f t="shared" si="1"/>
        <v>1223.1343625058078</v>
      </c>
      <c r="H46" s="26">
        <f t="shared" si="2"/>
        <v>277.61171774575951</v>
      </c>
      <c r="I46" s="26">
        <f t="shared" si="3"/>
        <v>945.52264476004825</v>
      </c>
      <c r="J46" s="26">
        <f t="shared" si="4"/>
        <v>12935.063242527925</v>
      </c>
      <c r="K46" s="17"/>
      <c r="L46" s="18"/>
    </row>
    <row r="47" spans="1:17" x14ac:dyDescent="0.25">
      <c r="A47" s="16"/>
      <c r="B47" s="9" t="s">
        <v>39</v>
      </c>
      <c r="C47" s="10">
        <f>I47</f>
        <v>964.43309765524918</v>
      </c>
      <c r="D47" s="17"/>
      <c r="E47" s="3">
        <v>9</v>
      </c>
      <c r="F47" s="26">
        <f t="shared" si="0"/>
        <v>12935.063242527925</v>
      </c>
      <c r="G47" s="26">
        <f t="shared" si="1"/>
        <v>1223.1343625058078</v>
      </c>
      <c r="H47" s="26">
        <f t="shared" si="2"/>
        <v>258.70126485055852</v>
      </c>
      <c r="I47" s="26">
        <f t="shared" si="3"/>
        <v>964.43309765524918</v>
      </c>
      <c r="J47" s="26">
        <f t="shared" si="4"/>
        <v>11970.630144872677</v>
      </c>
      <c r="K47" s="17"/>
      <c r="L47" s="18"/>
    </row>
    <row r="48" spans="1:17" x14ac:dyDescent="0.25">
      <c r="A48" s="16"/>
      <c r="B48" s="19"/>
      <c r="C48" s="20"/>
      <c r="D48" s="17"/>
      <c r="E48" s="3">
        <v>10</v>
      </c>
      <c r="F48" s="26">
        <f t="shared" si="0"/>
        <v>11970.630144872677</v>
      </c>
      <c r="G48" s="26">
        <f t="shared" si="1"/>
        <v>1223.1343625058078</v>
      </c>
      <c r="H48" s="26">
        <f t="shared" si="2"/>
        <v>239.41260289745355</v>
      </c>
      <c r="I48" s="26">
        <f t="shared" si="3"/>
        <v>983.7217596083542</v>
      </c>
      <c r="J48" s="26">
        <f t="shared" si="4"/>
        <v>10986.908385264323</v>
      </c>
      <c r="K48" s="17"/>
      <c r="L48" s="18"/>
    </row>
    <row r="49" spans="1:12" x14ac:dyDescent="0.25">
      <c r="A49" s="16"/>
      <c r="B49" s="19"/>
      <c r="C49" s="20"/>
      <c r="D49" s="17"/>
      <c r="E49" s="3">
        <v>11</v>
      </c>
      <c r="F49" s="26">
        <f t="shared" si="0"/>
        <v>10986.908385264323</v>
      </c>
      <c r="G49" s="26">
        <f t="shared" si="1"/>
        <v>1223.1343625058078</v>
      </c>
      <c r="H49" s="26">
        <f t="shared" si="2"/>
        <v>219.73816770528649</v>
      </c>
      <c r="I49" s="26">
        <f t="shared" si="3"/>
        <v>1003.3961948005212</v>
      </c>
      <c r="J49" s="26">
        <f t="shared" si="4"/>
        <v>9983.5121904638017</v>
      </c>
      <c r="K49" s="17"/>
      <c r="L49" s="18"/>
    </row>
    <row r="50" spans="1:12" x14ac:dyDescent="0.25">
      <c r="A50" s="16"/>
      <c r="B50" s="19"/>
      <c r="C50" s="20"/>
      <c r="D50" s="17"/>
      <c r="E50" s="3">
        <v>12</v>
      </c>
      <c r="F50" s="26">
        <f t="shared" si="0"/>
        <v>9983.5121904638017</v>
      </c>
      <c r="G50" s="26">
        <f t="shared" si="1"/>
        <v>1223.1343625058078</v>
      </c>
      <c r="H50" s="26">
        <f t="shared" si="2"/>
        <v>199.67024380927603</v>
      </c>
      <c r="I50" s="26">
        <f t="shared" si="3"/>
        <v>1023.4641186965317</v>
      </c>
      <c r="J50" s="26">
        <f t="shared" si="4"/>
        <v>8960.0480717672708</v>
      </c>
      <c r="K50" s="17"/>
      <c r="L50" s="18"/>
    </row>
    <row r="51" spans="1:12" x14ac:dyDescent="0.25">
      <c r="A51" s="16"/>
      <c r="B51" s="19"/>
      <c r="C51" s="20"/>
      <c r="D51" s="17"/>
      <c r="E51" s="3">
        <v>13</v>
      </c>
      <c r="F51" s="26">
        <f t="shared" si="0"/>
        <v>8960.0480717672708</v>
      </c>
      <c r="G51" s="26">
        <f t="shared" si="1"/>
        <v>1223.1343625058078</v>
      </c>
      <c r="H51" s="26">
        <f t="shared" si="2"/>
        <v>179.20096143534542</v>
      </c>
      <c r="I51" s="26">
        <f t="shared" si="3"/>
        <v>1043.9334010704624</v>
      </c>
      <c r="J51" s="26">
        <f t="shared" si="4"/>
        <v>7916.1146706968084</v>
      </c>
      <c r="K51" s="17"/>
      <c r="L51" s="18"/>
    </row>
    <row r="52" spans="1:12" x14ac:dyDescent="0.25">
      <c r="A52" s="16"/>
      <c r="B52" s="19"/>
      <c r="C52" s="20"/>
      <c r="D52" s="17"/>
      <c r="E52" s="3">
        <v>14</v>
      </c>
      <c r="F52" s="26">
        <f t="shared" si="0"/>
        <v>7916.1146706968084</v>
      </c>
      <c r="G52" s="26">
        <f t="shared" si="1"/>
        <v>1223.1343625058078</v>
      </c>
      <c r="H52" s="26">
        <f t="shared" si="2"/>
        <v>158.32229341393617</v>
      </c>
      <c r="I52" s="26">
        <f t="shared" si="3"/>
        <v>1064.8120690918715</v>
      </c>
      <c r="J52" s="26">
        <f t="shared" si="4"/>
        <v>6851.3026016049371</v>
      </c>
      <c r="K52" s="17"/>
      <c r="L52" s="18"/>
    </row>
    <row r="53" spans="1:12" x14ac:dyDescent="0.25">
      <c r="A53" s="16"/>
      <c r="B53" s="19"/>
      <c r="C53" s="20"/>
      <c r="D53" s="17"/>
      <c r="E53" s="3">
        <v>15</v>
      </c>
      <c r="F53" s="26">
        <f t="shared" si="0"/>
        <v>6851.3026016049371</v>
      </c>
      <c r="G53" s="26">
        <f t="shared" si="1"/>
        <v>1223.1343625058078</v>
      </c>
      <c r="H53" s="26">
        <f t="shared" si="2"/>
        <v>137.02605203209873</v>
      </c>
      <c r="I53" s="26">
        <f t="shared" si="3"/>
        <v>1086.108310473709</v>
      </c>
      <c r="J53" s="26">
        <f t="shared" si="4"/>
        <v>5765.1942911312281</v>
      </c>
      <c r="K53" s="17"/>
      <c r="L53" s="18"/>
    </row>
    <row r="54" spans="1:12" x14ac:dyDescent="0.25">
      <c r="A54" s="16"/>
      <c r="B54" s="19"/>
      <c r="C54" s="20"/>
      <c r="D54" s="17"/>
      <c r="E54" s="3">
        <v>16</v>
      </c>
      <c r="F54" s="26">
        <f t="shared" si="0"/>
        <v>5765.1942911312281</v>
      </c>
      <c r="G54" s="26">
        <f t="shared" si="1"/>
        <v>1223.1343625058078</v>
      </c>
      <c r="H54" s="26">
        <f t="shared" si="2"/>
        <v>115.30388582262457</v>
      </c>
      <c r="I54" s="26">
        <f t="shared" si="3"/>
        <v>1107.8304766831832</v>
      </c>
      <c r="J54" s="26">
        <f t="shared" si="4"/>
        <v>4657.3638144480446</v>
      </c>
      <c r="K54" s="17"/>
      <c r="L54" s="18"/>
    </row>
    <row r="55" spans="1:12" x14ac:dyDescent="0.25">
      <c r="A55" s="16"/>
      <c r="B55" s="19"/>
      <c r="C55" s="20"/>
      <c r="D55" s="17"/>
      <c r="E55" s="3">
        <v>17</v>
      </c>
      <c r="F55" s="26">
        <f t="shared" si="0"/>
        <v>4657.3638144480446</v>
      </c>
      <c r="G55" s="26">
        <f t="shared" si="1"/>
        <v>1223.1343625058078</v>
      </c>
      <c r="H55" s="26">
        <f t="shared" si="2"/>
        <v>93.147276288960896</v>
      </c>
      <c r="I55" s="26">
        <f t="shared" si="3"/>
        <v>1129.9870862168468</v>
      </c>
      <c r="J55" s="26">
        <f t="shared" si="4"/>
        <v>3527.3767282311978</v>
      </c>
      <c r="K55" s="17"/>
      <c r="L55" s="18"/>
    </row>
    <row r="56" spans="1:12" x14ac:dyDescent="0.25">
      <c r="A56" s="16"/>
      <c r="B56" s="19"/>
      <c r="C56" s="20"/>
      <c r="D56" s="17"/>
      <c r="E56" s="3">
        <v>18</v>
      </c>
      <c r="F56" s="26">
        <f t="shared" si="0"/>
        <v>3527.3767282311978</v>
      </c>
      <c r="G56" s="26">
        <f t="shared" si="1"/>
        <v>1223.1343625058078</v>
      </c>
      <c r="H56" s="26">
        <f t="shared" si="2"/>
        <v>70.547534564623959</v>
      </c>
      <c r="I56" s="26">
        <f t="shared" si="3"/>
        <v>1152.5868279411839</v>
      </c>
      <c r="J56" s="26">
        <f t="shared" si="4"/>
        <v>2374.789900290014</v>
      </c>
      <c r="K56" s="17"/>
      <c r="L56" s="18"/>
    </row>
    <row r="57" spans="1:12" x14ac:dyDescent="0.25">
      <c r="A57" s="16"/>
      <c r="B57" s="19"/>
      <c r="C57" s="20"/>
      <c r="D57" s="17"/>
      <c r="E57" s="3">
        <v>19</v>
      </c>
      <c r="F57" s="26">
        <f t="shared" si="0"/>
        <v>2374.789900290014</v>
      </c>
      <c r="G57" s="26">
        <f t="shared" si="1"/>
        <v>1223.1343625058078</v>
      </c>
      <c r="H57" s="26">
        <f t="shared" si="2"/>
        <v>47.495798005800282</v>
      </c>
      <c r="I57" s="26">
        <f t="shared" si="3"/>
        <v>1175.6385645000075</v>
      </c>
      <c r="J57" s="26">
        <f t="shared" si="4"/>
        <v>1199.1513357900064</v>
      </c>
      <c r="K57" s="17"/>
      <c r="L57" s="18"/>
    </row>
    <row r="58" spans="1:12" x14ac:dyDescent="0.25">
      <c r="A58" s="16"/>
      <c r="B58" s="19"/>
      <c r="C58" s="20"/>
      <c r="D58" s="17"/>
      <c r="E58" s="3">
        <v>20</v>
      </c>
      <c r="F58" s="26">
        <f t="shared" si="0"/>
        <v>1199.1513357900064</v>
      </c>
      <c r="G58" s="26">
        <f t="shared" si="1"/>
        <v>1223.1343625058078</v>
      </c>
      <c r="H58" s="26">
        <f t="shared" si="2"/>
        <v>23.983026715800129</v>
      </c>
      <c r="I58" s="26">
        <f t="shared" si="3"/>
        <v>1199.1513357900076</v>
      </c>
      <c r="J58" s="26">
        <f t="shared" si="4"/>
        <v>0</v>
      </c>
      <c r="K58" s="17"/>
      <c r="L58" s="18"/>
    </row>
    <row r="59" spans="1:12" x14ac:dyDescent="0.25">
      <c r="A59" s="16"/>
      <c r="B59" s="19"/>
      <c r="C59" s="20"/>
      <c r="D59" s="17"/>
      <c r="E59" s="17"/>
      <c r="F59" s="17"/>
      <c r="G59" s="17"/>
      <c r="H59" s="17"/>
      <c r="I59" s="17"/>
      <c r="J59" s="17"/>
      <c r="K59" s="17"/>
      <c r="L59" s="18"/>
    </row>
    <row r="60" spans="1:12" ht="15.75" thickBot="1" x14ac:dyDescent="0.3">
      <c r="A60" s="21"/>
      <c r="B60" s="22"/>
      <c r="C60" s="23"/>
      <c r="D60" s="24"/>
      <c r="E60" s="24"/>
      <c r="F60" s="24"/>
      <c r="G60" s="24"/>
      <c r="H60" s="24"/>
      <c r="I60" s="24"/>
      <c r="J60" s="24"/>
      <c r="K60" s="24"/>
      <c r="L60" s="25"/>
    </row>
    <row r="61" spans="1:12" ht="15.75" thickBot="1" x14ac:dyDescent="0.3"/>
    <row r="62" spans="1:12" x14ac:dyDescent="0.25">
      <c r="A62" s="11" t="s">
        <v>40</v>
      </c>
      <c r="B62" s="12"/>
      <c r="C62" s="13"/>
      <c r="D62" s="14"/>
      <c r="E62" s="14"/>
      <c r="F62" s="15"/>
    </row>
    <row r="63" spans="1:12" x14ac:dyDescent="0.25">
      <c r="A63" s="16"/>
      <c r="B63" s="5" t="s">
        <v>41</v>
      </c>
      <c r="C63" s="26">
        <v>2</v>
      </c>
      <c r="D63" s="17"/>
      <c r="E63" s="6">
        <f>E64/(C66-C64)</f>
        <v>20000</v>
      </c>
      <c r="F63" s="18"/>
    </row>
    <row r="64" spans="1:12" x14ac:dyDescent="0.25">
      <c r="A64" s="16"/>
      <c r="B64" s="5" t="s">
        <v>42</v>
      </c>
      <c r="C64" s="7">
        <v>0.02</v>
      </c>
      <c r="D64" s="17"/>
      <c r="E64" s="26">
        <f>C65*C63</f>
        <v>2000</v>
      </c>
      <c r="F64" s="18"/>
    </row>
    <row r="65" spans="1:6" x14ac:dyDescent="0.25">
      <c r="A65" s="16"/>
      <c r="B65" s="5" t="s">
        <v>43</v>
      </c>
      <c r="C65" s="6">
        <v>1000</v>
      </c>
      <c r="D65" s="17"/>
      <c r="E65" s="17"/>
      <c r="F65" s="18"/>
    </row>
    <row r="66" spans="1:6" x14ac:dyDescent="0.25">
      <c r="A66" s="16"/>
      <c r="B66" s="5" t="s">
        <v>4</v>
      </c>
      <c r="C66" s="7">
        <v>0.12</v>
      </c>
      <c r="D66" s="17"/>
      <c r="E66" s="17"/>
      <c r="F66" s="18"/>
    </row>
    <row r="67" spans="1:6" x14ac:dyDescent="0.25">
      <c r="A67" s="16"/>
      <c r="B67" s="5" t="s">
        <v>45</v>
      </c>
      <c r="C67" s="6">
        <v>5</v>
      </c>
      <c r="D67" s="17"/>
      <c r="E67" s="17"/>
      <c r="F67" s="18"/>
    </row>
    <row r="68" spans="1:6" x14ac:dyDescent="0.25">
      <c r="A68" s="16"/>
      <c r="B68" s="9" t="s">
        <v>44</v>
      </c>
      <c r="C68" s="10">
        <f>-PV(C66,C67,,E63)</f>
        <v>11348.537114371984</v>
      </c>
      <c r="D68" s="17"/>
      <c r="E68" s="17"/>
      <c r="F68" s="18"/>
    </row>
    <row r="69" spans="1:6" x14ac:dyDescent="0.25">
      <c r="A69" s="16"/>
      <c r="B69" s="19"/>
      <c r="C69" s="20"/>
      <c r="D69" s="17"/>
      <c r="E69" s="17"/>
      <c r="F69" s="18"/>
    </row>
    <row r="70" spans="1:6" ht="15.75" thickBot="1" x14ac:dyDescent="0.3">
      <c r="A70" s="21"/>
      <c r="B70" s="22"/>
      <c r="C70" s="23"/>
      <c r="D70" s="24"/>
      <c r="E70" s="24"/>
      <c r="F70" s="25"/>
    </row>
    <row r="71" spans="1:6" ht="15.75" thickBot="1" x14ac:dyDescent="0.3"/>
    <row r="72" spans="1:6" x14ac:dyDescent="0.25">
      <c r="A72" s="11" t="s">
        <v>46</v>
      </c>
      <c r="B72" s="12"/>
      <c r="C72" s="13"/>
      <c r="D72" s="14"/>
      <c r="E72" s="14"/>
      <c r="F72" s="15"/>
    </row>
    <row r="73" spans="1:6" x14ac:dyDescent="0.25">
      <c r="A73" s="16"/>
      <c r="B73" s="5" t="s">
        <v>47</v>
      </c>
      <c r="C73" s="6">
        <v>1.7</v>
      </c>
      <c r="D73" s="17"/>
      <c r="E73" s="17"/>
      <c r="F73" s="18"/>
    </row>
    <row r="74" spans="1:6" x14ac:dyDescent="0.25">
      <c r="A74" s="16"/>
      <c r="B74" s="5" t="s">
        <v>48</v>
      </c>
      <c r="C74" s="8">
        <v>5.5E-2</v>
      </c>
      <c r="D74" s="17"/>
      <c r="E74" s="17"/>
      <c r="F74" s="18"/>
    </row>
    <row r="75" spans="1:6" x14ac:dyDescent="0.25">
      <c r="A75" s="16"/>
      <c r="B75" s="5" t="s">
        <v>4</v>
      </c>
      <c r="C75" s="8">
        <v>0.04</v>
      </c>
      <c r="D75" s="17"/>
      <c r="E75" s="17"/>
      <c r="F75" s="18"/>
    </row>
    <row r="76" spans="1:6" x14ac:dyDescent="0.25">
      <c r="A76" s="16"/>
      <c r="B76" s="9" t="s">
        <v>49</v>
      </c>
      <c r="C76" s="27">
        <f>C75+(C74*C73)</f>
        <v>0.13350000000000001</v>
      </c>
      <c r="D76" s="17"/>
      <c r="E76" s="17"/>
      <c r="F76" s="18"/>
    </row>
    <row r="77" spans="1:6" x14ac:dyDescent="0.25">
      <c r="A77" s="16"/>
      <c r="B77" s="9" t="s">
        <v>50</v>
      </c>
      <c r="C77" s="27">
        <f>5%+(C73*C74)</f>
        <v>0.14350000000000002</v>
      </c>
      <c r="D77" s="29" t="s">
        <v>51</v>
      </c>
      <c r="E77" s="17"/>
      <c r="F77" s="18"/>
    </row>
    <row r="78" spans="1:6" x14ac:dyDescent="0.25">
      <c r="A78" s="16"/>
      <c r="B78" s="19"/>
      <c r="C78" s="20"/>
      <c r="D78" s="17"/>
      <c r="E78" s="17"/>
      <c r="F78" s="18"/>
    </row>
    <row r="79" spans="1:6" ht="15.75" thickBot="1" x14ac:dyDescent="0.3">
      <c r="A79" s="21"/>
      <c r="B79" s="22"/>
      <c r="C79" s="23"/>
      <c r="D79" s="24"/>
      <c r="E79" s="24"/>
      <c r="F79" s="25"/>
    </row>
    <row r="80" spans="1:6" ht="15.75" thickBot="1" x14ac:dyDescent="0.3"/>
    <row r="81" spans="1:5" x14ac:dyDescent="0.25">
      <c r="A81" s="11" t="s">
        <v>52</v>
      </c>
      <c r="B81" s="12"/>
      <c r="C81" s="13"/>
      <c r="D81" s="14"/>
      <c r="E81" s="15"/>
    </row>
    <row r="82" spans="1:5" x14ac:dyDescent="0.25">
      <c r="A82" s="16"/>
      <c r="B82" s="5" t="s">
        <v>53</v>
      </c>
      <c r="C82" s="26">
        <v>54</v>
      </c>
      <c r="D82" s="17"/>
      <c r="E82" s="18"/>
    </row>
    <row r="83" spans="1:5" x14ac:dyDescent="0.25">
      <c r="A83" s="16"/>
      <c r="B83" s="5" t="s">
        <v>54</v>
      </c>
      <c r="C83" s="26">
        <v>50</v>
      </c>
      <c r="D83" s="17"/>
      <c r="E83" s="18"/>
    </row>
    <row r="84" spans="1:5" x14ac:dyDescent="0.25">
      <c r="A84" s="16"/>
      <c r="B84" s="5" t="s">
        <v>55</v>
      </c>
      <c r="C84" s="26">
        <v>2</v>
      </c>
      <c r="D84" s="17"/>
      <c r="E84" s="18"/>
    </row>
    <row r="85" spans="1:5" x14ac:dyDescent="0.25">
      <c r="A85" s="16"/>
      <c r="B85" s="9" t="s">
        <v>56</v>
      </c>
      <c r="C85" s="27">
        <f>(C84+(C83-C82))/C82</f>
        <v>-3.7037037037037035E-2</v>
      </c>
      <c r="D85" s="31">
        <f>(C84+(C83-C82))/C82</f>
        <v>-3.7037037037037035E-2</v>
      </c>
      <c r="E85" s="32"/>
    </row>
    <row r="86" spans="1:5" x14ac:dyDescent="0.25">
      <c r="A86" s="16"/>
      <c r="B86" s="19"/>
      <c r="C86" s="20"/>
      <c r="D86" s="17"/>
      <c r="E86" s="18"/>
    </row>
    <row r="87" spans="1:5" ht="15.75" thickBot="1" x14ac:dyDescent="0.3">
      <c r="A87" s="21"/>
      <c r="B87" s="22"/>
      <c r="C87" s="23"/>
      <c r="D87" s="24"/>
      <c r="E87" s="25"/>
    </row>
  </sheetData>
  <mergeCells count="2">
    <mergeCell ref="B32:C32"/>
    <mergeCell ref="B46:C4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C411-4184-4BAF-820B-5DA2C915792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Garcia</dc:creator>
  <cp:lastModifiedBy>Sergio Garcia</cp:lastModifiedBy>
  <dcterms:created xsi:type="dcterms:W3CDTF">2017-10-23T16:38:55Z</dcterms:created>
  <dcterms:modified xsi:type="dcterms:W3CDTF">2017-10-25T14:52:24Z</dcterms:modified>
</cp:coreProperties>
</file>