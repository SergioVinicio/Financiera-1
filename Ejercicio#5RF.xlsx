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9630" windowHeight="8115" xr2:uid="{00000000-000D-0000-FFFF-FFFF00000000}"/>
  </bookViews>
  <sheets>
    <sheet name="Data" sheetId="1" r:id="rId1"/>
    <sheet name="Data (2)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5" i="1"/>
  <c r="C80" i="1" l="1"/>
  <c r="C81" i="1" l="1"/>
  <c r="D80" i="1"/>
  <c r="C91" i="1" l="1"/>
  <c r="D76" i="2" l="1"/>
  <c r="D77" i="2"/>
  <c r="D78" i="2"/>
  <c r="D79" i="2"/>
  <c r="D80" i="2"/>
  <c r="D81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57" i="2"/>
  <c r="H71" i="1"/>
  <c r="H66" i="1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6" i="2"/>
  <c r="F81" i="1" l="1"/>
  <c r="D81" i="1"/>
  <c r="E80" i="1"/>
  <c r="E81" i="1" s="1"/>
  <c r="F80" i="1"/>
  <c r="K55" i="1" l="1"/>
  <c r="K56" i="1"/>
  <c r="K57" i="1"/>
  <c r="K58" i="1"/>
  <c r="K59" i="1"/>
  <c r="K60" i="1"/>
  <c r="K61" i="1"/>
  <c r="K62" i="1"/>
  <c r="K63" i="1"/>
  <c r="K64" i="1"/>
  <c r="K66" i="1"/>
  <c r="K68" i="1"/>
  <c r="K69" i="1"/>
  <c r="K71" i="1"/>
  <c r="K73" i="1"/>
  <c r="K74" i="1"/>
  <c r="J55" i="1"/>
  <c r="J56" i="1"/>
  <c r="J57" i="1"/>
  <c r="J58" i="1"/>
  <c r="J59" i="1"/>
  <c r="J60" i="1"/>
  <c r="J61" i="1"/>
  <c r="J62" i="1"/>
  <c r="J63" i="1"/>
  <c r="J64" i="1"/>
  <c r="J66" i="1"/>
  <c r="J68" i="1"/>
  <c r="J69" i="1"/>
  <c r="J71" i="1"/>
  <c r="J73" i="1"/>
  <c r="J74" i="1"/>
  <c r="I55" i="1"/>
  <c r="I56" i="1"/>
  <c r="I57" i="1"/>
  <c r="I58" i="1"/>
  <c r="I59" i="1"/>
  <c r="I60" i="1"/>
  <c r="I61" i="1"/>
  <c r="I62" i="1"/>
  <c r="I63" i="1"/>
  <c r="I64" i="1"/>
  <c r="I66" i="1"/>
  <c r="I68" i="1"/>
  <c r="I69" i="1"/>
  <c r="I71" i="1"/>
  <c r="I73" i="1"/>
  <c r="I74" i="1"/>
  <c r="H55" i="1"/>
  <c r="H56" i="1"/>
  <c r="H57" i="1"/>
  <c r="H58" i="1"/>
  <c r="H59" i="1"/>
  <c r="H60" i="1"/>
  <c r="H61" i="1"/>
  <c r="H62" i="1"/>
  <c r="H63" i="1"/>
  <c r="H64" i="1"/>
  <c r="H68" i="1"/>
  <c r="H69" i="1"/>
  <c r="H73" i="1"/>
  <c r="H74" i="1"/>
  <c r="K54" i="1"/>
  <c r="J54" i="1"/>
  <c r="I54" i="1"/>
  <c r="H54" i="1"/>
  <c r="C80" i="2" l="1"/>
  <c r="C70" i="2"/>
  <c r="C65" i="2"/>
  <c r="C67" i="2" s="1"/>
  <c r="C43" i="2"/>
  <c r="C35" i="2"/>
  <c r="C28" i="2"/>
  <c r="C20" i="2"/>
  <c r="C13" i="2"/>
  <c r="F70" i="1"/>
  <c r="K70" i="1" s="1"/>
  <c r="E70" i="1"/>
  <c r="J70" i="1" s="1"/>
  <c r="D70" i="1"/>
  <c r="I70" i="1" s="1"/>
  <c r="C70" i="1"/>
  <c r="H70" i="1" s="1"/>
  <c r="F65" i="1"/>
  <c r="E65" i="1"/>
  <c r="D65" i="1"/>
  <c r="F43" i="1"/>
  <c r="E43" i="1"/>
  <c r="D43" i="1"/>
  <c r="C43" i="1"/>
  <c r="F35" i="1"/>
  <c r="E35" i="1"/>
  <c r="D35" i="1"/>
  <c r="C35" i="1"/>
  <c r="F28" i="1"/>
  <c r="E28" i="1"/>
  <c r="D28" i="1"/>
  <c r="C28" i="1"/>
  <c r="F20" i="1"/>
  <c r="E20" i="1"/>
  <c r="D20" i="1"/>
  <c r="C20" i="1"/>
  <c r="F13" i="1"/>
  <c r="E13" i="1"/>
  <c r="D13" i="1"/>
  <c r="C13" i="1"/>
  <c r="C84" i="1" l="1"/>
  <c r="H35" i="1"/>
  <c r="D84" i="1"/>
  <c r="E87" i="1"/>
  <c r="E86" i="1"/>
  <c r="E67" i="1"/>
  <c r="J65" i="1"/>
  <c r="C86" i="1"/>
  <c r="C87" i="1"/>
  <c r="H13" i="1"/>
  <c r="C45" i="1"/>
  <c r="H28" i="1" s="1"/>
  <c r="H43" i="1"/>
  <c r="C77" i="1"/>
  <c r="H65" i="1"/>
  <c r="D87" i="1"/>
  <c r="D86" i="1"/>
  <c r="I13" i="1"/>
  <c r="D36" i="1"/>
  <c r="I43" i="1"/>
  <c r="D67" i="1"/>
  <c r="I65" i="1"/>
  <c r="E84" i="1"/>
  <c r="F87" i="1"/>
  <c r="F86" i="1"/>
  <c r="F84" i="1"/>
  <c r="K43" i="1"/>
  <c r="F67" i="1"/>
  <c r="F72" i="1" s="1"/>
  <c r="K72" i="1" s="1"/>
  <c r="K65" i="1"/>
  <c r="F22" i="1"/>
  <c r="E45" i="1"/>
  <c r="D22" i="1"/>
  <c r="C22" i="1"/>
  <c r="F45" i="1"/>
  <c r="K28" i="1" s="1"/>
  <c r="D72" i="1"/>
  <c r="C72" i="2"/>
  <c r="C22" i="2"/>
  <c r="C36" i="2"/>
  <c r="C45" i="2"/>
  <c r="E22" i="1"/>
  <c r="E36" i="1"/>
  <c r="D45" i="1"/>
  <c r="I35" i="1" s="1"/>
  <c r="F36" i="1"/>
  <c r="C36" i="1"/>
  <c r="J26" i="1" l="1"/>
  <c r="J30" i="1"/>
  <c r="J34" i="1"/>
  <c r="J38" i="1"/>
  <c r="J42" i="1"/>
  <c r="J32" i="1"/>
  <c r="J40" i="1"/>
  <c r="J33" i="1"/>
  <c r="J41" i="1"/>
  <c r="J27" i="1"/>
  <c r="J31" i="1"/>
  <c r="J39" i="1"/>
  <c r="J25" i="1"/>
  <c r="J44" i="1"/>
  <c r="J29" i="1"/>
  <c r="J37" i="1"/>
  <c r="J45" i="1"/>
  <c r="J35" i="1"/>
  <c r="C72" i="1"/>
  <c r="H67" i="1"/>
  <c r="E91" i="1"/>
  <c r="E85" i="1"/>
  <c r="J8" i="1"/>
  <c r="J12" i="1"/>
  <c r="J16" i="1"/>
  <c r="J6" i="1"/>
  <c r="J14" i="1"/>
  <c r="J22" i="1"/>
  <c r="J11" i="1"/>
  <c r="J19" i="1"/>
  <c r="J9" i="1"/>
  <c r="J17" i="1"/>
  <c r="J21" i="1"/>
  <c r="J10" i="1"/>
  <c r="J18" i="1"/>
  <c r="J7" i="1"/>
  <c r="J15" i="1"/>
  <c r="F91" i="1"/>
  <c r="F85" i="1"/>
  <c r="K8" i="1"/>
  <c r="K12" i="1"/>
  <c r="K16" i="1"/>
  <c r="K14" i="1"/>
  <c r="K22" i="1"/>
  <c r="K7" i="1"/>
  <c r="K19" i="1"/>
  <c r="K9" i="1"/>
  <c r="K17" i="1"/>
  <c r="K21" i="1"/>
  <c r="K10" i="1"/>
  <c r="K18" i="1"/>
  <c r="K11" i="1"/>
  <c r="K15" i="1"/>
  <c r="K6" i="1"/>
  <c r="K13" i="1"/>
  <c r="J43" i="1"/>
  <c r="K36" i="1"/>
  <c r="C46" i="1"/>
  <c r="C85" i="1"/>
  <c r="H8" i="1"/>
  <c r="H12" i="1"/>
  <c r="H16" i="1"/>
  <c r="H14" i="1"/>
  <c r="H22" i="1"/>
  <c r="H11" i="1"/>
  <c r="H19" i="1"/>
  <c r="H9" i="1"/>
  <c r="H17" i="1"/>
  <c r="H21" i="1"/>
  <c r="H10" i="1"/>
  <c r="H18" i="1"/>
  <c r="H6" i="1"/>
  <c r="H7" i="1"/>
  <c r="H15" i="1"/>
  <c r="I28" i="1"/>
  <c r="J28" i="1"/>
  <c r="H20" i="1"/>
  <c r="J36" i="1"/>
  <c r="D75" i="1"/>
  <c r="I72" i="1"/>
  <c r="D77" i="1"/>
  <c r="I67" i="1"/>
  <c r="E72" i="1"/>
  <c r="J67" i="1"/>
  <c r="E77" i="1"/>
  <c r="H36" i="1"/>
  <c r="K26" i="1"/>
  <c r="K30" i="1"/>
  <c r="K34" i="1"/>
  <c r="K38" i="1"/>
  <c r="K42" i="1"/>
  <c r="K25" i="1"/>
  <c r="K44" i="1"/>
  <c r="K33" i="1"/>
  <c r="K37" i="1"/>
  <c r="K45" i="1"/>
  <c r="K27" i="1"/>
  <c r="K31" i="1"/>
  <c r="K39" i="1"/>
  <c r="K32" i="1"/>
  <c r="K40" i="1"/>
  <c r="K29" i="1"/>
  <c r="K41" i="1"/>
  <c r="K35" i="1"/>
  <c r="J20" i="1"/>
  <c r="I26" i="1"/>
  <c r="I30" i="1"/>
  <c r="I34" i="1"/>
  <c r="I38" i="1"/>
  <c r="I42" i="1"/>
  <c r="I44" i="1"/>
  <c r="I25" i="1"/>
  <c r="I29" i="1"/>
  <c r="I37" i="1"/>
  <c r="I45" i="1"/>
  <c r="I27" i="1"/>
  <c r="I31" i="1"/>
  <c r="I39" i="1"/>
  <c r="I32" i="1"/>
  <c r="I40" i="1"/>
  <c r="I33" i="1"/>
  <c r="I41" i="1"/>
  <c r="D91" i="1"/>
  <c r="D85" i="1"/>
  <c r="I8" i="1"/>
  <c r="I12" i="1"/>
  <c r="I16" i="1"/>
  <c r="I14" i="1"/>
  <c r="I22" i="1"/>
  <c r="I11" i="1"/>
  <c r="I19" i="1"/>
  <c r="I9" i="1"/>
  <c r="I17" i="1"/>
  <c r="I21" i="1"/>
  <c r="I6" i="1"/>
  <c r="I10" i="1"/>
  <c r="I18" i="1"/>
  <c r="I7" i="1"/>
  <c r="I15" i="1"/>
  <c r="F77" i="1"/>
  <c r="K67" i="1"/>
  <c r="K20" i="1"/>
  <c r="I36" i="1"/>
  <c r="H42" i="1"/>
  <c r="H26" i="1"/>
  <c r="H30" i="1"/>
  <c r="H34" i="1"/>
  <c r="H38" i="1"/>
  <c r="H32" i="1"/>
  <c r="H40" i="1"/>
  <c r="H33" i="1"/>
  <c r="H41" i="1"/>
  <c r="H27" i="1"/>
  <c r="H31" i="1"/>
  <c r="H39" i="1"/>
  <c r="H44" i="1"/>
  <c r="H45" i="1"/>
  <c r="H29" i="1"/>
  <c r="H37" i="1"/>
  <c r="H25" i="1"/>
  <c r="J13" i="1"/>
  <c r="I20" i="1"/>
  <c r="F46" i="1"/>
  <c r="C75" i="2"/>
  <c r="C46" i="2"/>
  <c r="E46" i="1"/>
  <c r="D46" i="1"/>
  <c r="F75" i="1"/>
  <c r="D96" i="1" l="1"/>
  <c r="D95" i="1"/>
  <c r="I75" i="1"/>
  <c r="C75" i="1"/>
  <c r="H72" i="1"/>
  <c r="J72" i="1"/>
  <c r="E75" i="1"/>
  <c r="F96" i="1"/>
  <c r="F95" i="1"/>
  <c r="K75" i="1"/>
  <c r="C81" i="2"/>
  <c r="C96" i="1" l="1"/>
  <c r="C95" i="1"/>
  <c r="H75" i="1"/>
  <c r="E95" i="1"/>
  <c r="E96" i="1"/>
  <c r="J75" i="1"/>
</calcChain>
</file>

<file path=xl/sharedStrings.xml><?xml version="1.0" encoding="utf-8"?>
<sst xmlns="http://schemas.openxmlformats.org/spreadsheetml/2006/main" count="156" uniqueCount="92">
  <si>
    <t xml:space="preserve">Consolidated Balance Sheet </t>
  </si>
  <si>
    <t>At December 31</t>
  </si>
  <si>
    <t>In Thousands</t>
  </si>
  <si>
    <t>Current assets</t>
  </si>
  <si>
    <t>Cash and cash equivalents</t>
  </si>
  <si>
    <t>Account receivables, net</t>
  </si>
  <si>
    <t>Inventories</t>
  </si>
  <si>
    <t>Current deferred tax asset</t>
  </si>
  <si>
    <t>Prepaid expenses and other current assets</t>
  </si>
  <si>
    <t>Income tax receivable</t>
  </si>
  <si>
    <t>Investments</t>
  </si>
  <si>
    <t>Total current assets</t>
  </si>
  <si>
    <t>Non current assets</t>
  </si>
  <si>
    <t>Leasehold improvements, property &amp; equipment, net</t>
  </si>
  <si>
    <t>Long term investments</t>
  </si>
  <si>
    <t>Other assets</t>
  </si>
  <si>
    <t>Goodwill</t>
  </si>
  <si>
    <t>Total non current assets</t>
  </si>
  <si>
    <t>TOTAL ASSETS</t>
  </si>
  <si>
    <t>Current liabilities</t>
  </si>
  <si>
    <t>Accounts payable</t>
  </si>
  <si>
    <t>Accrued payroll and benefits</t>
  </si>
  <si>
    <t>Accrued liabilities</t>
  </si>
  <si>
    <t>Total current liabilites</t>
  </si>
  <si>
    <t>Non-current liabilites</t>
  </si>
  <si>
    <t>Deferred rent</t>
  </si>
  <si>
    <t>Defered income tax liability</t>
  </si>
  <si>
    <t>Other liabilities</t>
  </si>
  <si>
    <t>Long term debt</t>
  </si>
  <si>
    <t>Total non-current liabilities</t>
  </si>
  <si>
    <t>Total liabilities</t>
  </si>
  <si>
    <t xml:space="preserve">Common stock </t>
  </si>
  <si>
    <t>Additional paid in capital</t>
  </si>
  <si>
    <t>Treasury stock</t>
  </si>
  <si>
    <t>Accumulated other comprehensive loss</t>
  </si>
  <si>
    <t>Retained earnings</t>
  </si>
  <si>
    <t>Shareholders' equity</t>
  </si>
  <si>
    <t>TOTAL LIABILITIES + EQUITY</t>
  </si>
  <si>
    <t>Income Statement</t>
  </si>
  <si>
    <t>Year Ended December 31</t>
  </si>
  <si>
    <t>In thousands</t>
  </si>
  <si>
    <t>Revenue</t>
  </si>
  <si>
    <t>Restaurant operating costs (exclusive of depreciation and amortization)</t>
  </si>
  <si>
    <t>Food, beverage and packaging</t>
  </si>
  <si>
    <t>Labor</t>
  </si>
  <si>
    <t>Occupancy</t>
  </si>
  <si>
    <t>Other operating costs</t>
  </si>
  <si>
    <t>General and administrative expenses</t>
  </si>
  <si>
    <t>Depreciation and amortization</t>
  </si>
  <si>
    <t>Pre-opening costs</t>
  </si>
  <si>
    <t>Loss on disposal of assets</t>
  </si>
  <si>
    <t>Total operating expenses</t>
  </si>
  <si>
    <t>Income from operations</t>
  </si>
  <si>
    <t>Interest and other income (expense), net</t>
  </si>
  <si>
    <t>Total non-operating income (expense)</t>
  </si>
  <si>
    <t>Income (loss) before income taxes</t>
  </si>
  <si>
    <t>Provision for income taxes</t>
  </si>
  <si>
    <t xml:space="preserve">Net income (loss) </t>
  </si>
  <si>
    <t>Other coprehensive income (loss), net of income taxes:</t>
  </si>
  <si>
    <t>Foreign currency translation adjustments</t>
  </si>
  <si>
    <t>Unrealized loss on investments, net of income taxes</t>
  </si>
  <si>
    <t>Other comprehensive income (loss), net of income taxes</t>
  </si>
  <si>
    <t xml:space="preserve">Comprehensive income </t>
  </si>
  <si>
    <t>UTILIDAD OPERATIVA</t>
  </si>
  <si>
    <t>EBITDA</t>
  </si>
  <si>
    <t>Deuda: se puede deducir intereses e impuestos</t>
  </si>
  <si>
    <t>Rotacion de Inventarios</t>
  </si>
  <si>
    <t>Dias de Inventario</t>
  </si>
  <si>
    <t>Periodo promedio de cobro</t>
  </si>
  <si>
    <t>Periodo promedio de pago</t>
  </si>
  <si>
    <t>Rotacion de activos fijos</t>
  </si>
  <si>
    <t>Rotacion de activos totales</t>
  </si>
  <si>
    <t>Cirulante</t>
  </si>
  <si>
    <t>Prueba acida</t>
  </si>
  <si>
    <t>Endeudamiento</t>
  </si>
  <si>
    <t>Razon de Deuda</t>
  </si>
  <si>
    <t>Deuda a Capital</t>
  </si>
  <si>
    <t>Apalancamiento</t>
  </si>
  <si>
    <t>Deuda a EBITDA</t>
  </si>
  <si>
    <t>Razon de cobertura de intereses</t>
  </si>
  <si>
    <t>Razon de cobertura de cargos fijos</t>
  </si>
  <si>
    <t>ROA</t>
  </si>
  <si>
    <t>ROE</t>
  </si>
  <si>
    <t>Razones Financieras</t>
  </si>
  <si>
    <t>NA</t>
  </si>
  <si>
    <t>EBITDA Earnings before interest, taxes, depreciation, and amortization</t>
  </si>
  <si>
    <t>Net operating profit after tax (NOPAT) = EBIT - Tax = Utilidad Operativa*(1- tasa de impuesto)</t>
  </si>
  <si>
    <t>Activos Circulantes</t>
  </si>
  <si>
    <t>Activos no circulantes</t>
  </si>
  <si>
    <t>Capital</t>
  </si>
  <si>
    <t>Pasivos</t>
  </si>
  <si>
    <t>Food, beverage and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</si>
</sst>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3" fontId="2" fillId="0" borderId="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0" xfId="0" applyNumberFormat="1" applyFont="1"/>
    <xf numFmtId="0" fontId="2" fillId="0" borderId="4" xfId="0" applyFont="1" applyBorder="1"/>
    <xf numFmtId="3" fontId="1" fillId="0" borderId="0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1" fillId="0" borderId="0" xfId="0" applyNumberFormat="1" applyFont="1"/>
    <xf numFmtId="0" fontId="1" fillId="2" borderId="4" xfId="0" applyFont="1" applyFill="1" applyBorder="1"/>
    <xf numFmtId="3" fontId="1" fillId="2" borderId="0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/>
    <xf numFmtId="3" fontId="1" fillId="2" borderId="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4" xfId="0" applyFont="1" applyBorder="1" applyAlignment="1">
      <alignment horizontal="left" indent="2"/>
    </xf>
    <xf numFmtId="9" fontId="2" fillId="0" borderId="0" xfId="0" applyNumberFormat="1" applyFont="1"/>
    <xf numFmtId="9" fontId="1" fillId="0" borderId="0" xfId="0" applyNumberFormat="1" applyFont="1"/>
    <xf numFmtId="3" fontId="2" fillId="0" borderId="0" xfId="0" applyNumberFormat="1" applyFont="1" applyAlignment="1">
      <alignment horizontal="center"/>
    </xf>
    <xf numFmtId="0" fontId="2" fillId="0" borderId="9" xfId="0" applyFont="1" applyBorder="1"/>
    <xf numFmtId="3" fontId="2" fillId="0" borderId="10" xfId="0" applyNumberFormat="1" applyFont="1" applyBorder="1" applyAlignment="1">
      <alignment horizontal="center"/>
    </xf>
    <xf numFmtId="0" fontId="1" fillId="0" borderId="6" xfId="0" applyFont="1" applyBorder="1"/>
    <xf numFmtId="3" fontId="1" fillId="0" borderId="7" xfId="0" applyNumberFormat="1" applyFont="1" applyBorder="1" applyAlignment="1">
      <alignment horizontal="center"/>
    </xf>
    <xf numFmtId="9" fontId="2" fillId="0" borderId="0" xfId="1" applyFont="1"/>
    <xf numFmtId="9" fontId="2" fillId="0" borderId="0" xfId="1" applyFont="1" applyAlignment="1">
      <alignment horizontal="center"/>
    </xf>
    <xf numFmtId="9" fontId="2" fillId="3" borderId="0" xfId="1" applyFont="1" applyFill="1"/>
    <xf numFmtId="0" fontId="2" fillId="4" borderId="0" xfId="0" applyFont="1" applyFill="1"/>
    <xf numFmtId="0" fontId="2" fillId="5" borderId="0" xfId="0" applyFont="1" applyFill="1"/>
    <xf numFmtId="3" fontId="2" fillId="5" borderId="0" xfId="0" applyNumberFormat="1" applyFont="1" applyFill="1" applyAlignment="1">
      <alignment horizontal="center"/>
    </xf>
    <xf numFmtId="0" fontId="2" fillId="0" borderId="11" xfId="0" applyFont="1" applyBorder="1"/>
    <xf numFmtId="15" fontId="2" fillId="0" borderId="11" xfId="0" applyNumberFormat="1" applyFont="1" applyBorder="1"/>
    <xf numFmtId="4" fontId="2" fillId="0" borderId="11" xfId="0" applyNumberFormat="1" applyFont="1" applyBorder="1" applyAlignment="1">
      <alignment horizontal="center"/>
    </xf>
    <xf numFmtId="0" fontId="2" fillId="6" borderId="11" xfId="0" applyFont="1" applyFill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topLeftCell="A54" workbookViewId="0">
      <selection activeCell="C68" sqref="C68"/>
    </sheetView>
  </sheetViews>
  <sheetFormatPr baseColWidth="10" defaultColWidth="9.140625" defaultRowHeight="13.5" x14ac:dyDescent="0.25"/>
  <cols>
    <col min="1" max="1" width="9.140625" style="2"/>
    <col min="2" max="2" width="37.7109375" style="2" customWidth="1"/>
    <col min="3" max="3" width="9.7109375" style="3" bestFit="1" customWidth="1"/>
    <col min="4" max="6" width="9.140625" style="3"/>
    <col min="7" max="7" width="9.140625" style="2"/>
    <col min="8" max="8" width="20.85546875" style="2" customWidth="1"/>
    <col min="9" max="9" width="5.42578125" style="3" bestFit="1" customWidth="1"/>
    <col min="10" max="10" width="9.140625" style="3"/>
    <col min="11" max="11" width="9.140625" style="2"/>
    <col min="12" max="12" width="19.28515625" style="2" bestFit="1" customWidth="1"/>
    <col min="13" max="13" width="9.140625" style="2"/>
    <col min="14" max="14" width="87.42578125" style="2" bestFit="1" customWidth="1"/>
    <col min="15" max="16384" width="9.140625" style="2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 t="s">
        <v>2</v>
      </c>
    </row>
    <row r="4" spans="1:11" ht="14.25" thickBot="1" x14ac:dyDescent="0.3">
      <c r="B4" s="4"/>
      <c r="C4" s="5">
        <v>2015</v>
      </c>
      <c r="D4" s="5">
        <v>2014</v>
      </c>
      <c r="E4" s="5">
        <v>2013</v>
      </c>
      <c r="F4" s="6">
        <v>2012</v>
      </c>
      <c r="G4" s="7"/>
      <c r="H4" s="5">
        <v>2015</v>
      </c>
      <c r="I4" s="5">
        <v>2014</v>
      </c>
      <c r="J4" s="5">
        <v>2013</v>
      </c>
      <c r="K4" s="6">
        <v>2012</v>
      </c>
    </row>
    <row r="5" spans="1:11" x14ac:dyDescent="0.25">
      <c r="B5" s="8" t="s">
        <v>3</v>
      </c>
      <c r="C5" s="9"/>
      <c r="D5" s="9"/>
      <c r="E5" s="9"/>
      <c r="F5" s="10"/>
      <c r="G5" s="11"/>
    </row>
    <row r="6" spans="1:11" x14ac:dyDescent="0.25">
      <c r="B6" s="12" t="s">
        <v>4</v>
      </c>
      <c r="C6" s="9">
        <v>248005</v>
      </c>
      <c r="D6" s="9">
        <v>419465</v>
      </c>
      <c r="E6" s="9">
        <v>323203</v>
      </c>
      <c r="F6" s="10">
        <v>322553</v>
      </c>
      <c r="G6" s="11"/>
      <c r="H6" s="34">
        <f>C6/$C$22</f>
        <v>9.1008804924357797E-2</v>
      </c>
      <c r="I6" s="35">
        <f>D6/$D$22</f>
        <v>0.16597245220920051</v>
      </c>
      <c r="J6" s="35">
        <f>E6/$E$22</f>
        <v>0.16085513218665393</v>
      </c>
      <c r="K6" s="34">
        <f>F6/$F$22</f>
        <v>0.19329980157814591</v>
      </c>
    </row>
    <row r="7" spans="1:11" x14ac:dyDescent="0.25">
      <c r="B7" s="12" t="s">
        <v>5</v>
      </c>
      <c r="C7" s="9">
        <v>38283</v>
      </c>
      <c r="D7" s="9">
        <v>34839</v>
      </c>
      <c r="E7" s="9">
        <v>24016</v>
      </c>
      <c r="F7" s="10">
        <v>16800</v>
      </c>
      <c r="G7" s="11"/>
      <c r="H7" s="34">
        <f t="shared" ref="H7:H22" si="0">C7/$C$22</f>
        <v>1.404846708299909E-2</v>
      </c>
      <c r="I7" s="35">
        <f t="shared" ref="I7:I22" si="1">D7/$D$22</f>
        <v>1.3784974342355946E-2</v>
      </c>
      <c r="J7" s="35">
        <f t="shared" ref="J7:J22" si="2">E7/$E$22</f>
        <v>1.1952540213409779E-2</v>
      </c>
      <c r="K7" s="34">
        <f t="shared" ref="K7:K22" si="3">F7/$F$22</f>
        <v>1.0067916486632744E-2</v>
      </c>
    </row>
    <row r="8" spans="1:11" x14ac:dyDescent="0.25">
      <c r="B8" s="12" t="s">
        <v>6</v>
      </c>
      <c r="C8" s="9">
        <v>15043</v>
      </c>
      <c r="D8" s="9">
        <v>15332</v>
      </c>
      <c r="E8" s="9">
        <v>13044</v>
      </c>
      <c r="F8" s="10">
        <v>11096</v>
      </c>
      <c r="G8" s="11"/>
      <c r="H8" s="34">
        <f t="shared" si="0"/>
        <v>5.5202332714143435E-3</v>
      </c>
      <c r="I8" s="35">
        <f t="shared" si="1"/>
        <v>6.0665124319584764E-3</v>
      </c>
      <c r="J8" s="35">
        <f t="shared" si="2"/>
        <v>6.4918776875298612E-3</v>
      </c>
      <c r="K8" s="34">
        <f t="shared" si="3"/>
        <v>6.6496191271236266E-3</v>
      </c>
    </row>
    <row r="9" spans="1:11" x14ac:dyDescent="0.25">
      <c r="B9" s="12" t="s">
        <v>7</v>
      </c>
      <c r="C9" s="9"/>
      <c r="D9" s="9"/>
      <c r="E9" s="9">
        <v>13212</v>
      </c>
      <c r="F9" s="10">
        <v>8862</v>
      </c>
      <c r="G9" s="11"/>
      <c r="H9" s="34">
        <f t="shared" si="0"/>
        <v>0</v>
      </c>
      <c r="I9" s="35">
        <f t="shared" si="1"/>
        <v>0</v>
      </c>
      <c r="J9" s="35">
        <f t="shared" si="2"/>
        <v>6.5754897276636406E-3</v>
      </c>
      <c r="K9" s="34">
        <f t="shared" si="3"/>
        <v>5.3108259466987722E-3</v>
      </c>
    </row>
    <row r="10" spans="1:11" x14ac:dyDescent="0.25">
      <c r="B10" s="12" t="s">
        <v>8</v>
      </c>
      <c r="C10" s="9">
        <v>39965</v>
      </c>
      <c r="D10" s="9">
        <v>34795</v>
      </c>
      <c r="E10" s="9">
        <v>34204</v>
      </c>
      <c r="F10" s="10">
        <v>27378</v>
      </c>
      <c r="G10" s="11"/>
      <c r="H10" s="34">
        <f t="shared" si="0"/>
        <v>1.4665699839930482E-2</v>
      </c>
      <c r="I10" s="35">
        <f t="shared" si="1"/>
        <v>1.3767564575397547E-2</v>
      </c>
      <c r="J10" s="35">
        <f t="shared" si="2"/>
        <v>1.7023013218665391E-2</v>
      </c>
      <c r="K10" s="34">
        <f t="shared" si="3"/>
        <v>1.6407108188751861E-2</v>
      </c>
    </row>
    <row r="11" spans="1:11" x14ac:dyDescent="0.25">
      <c r="B11" s="12" t="s">
        <v>9</v>
      </c>
      <c r="C11" s="9">
        <v>58152</v>
      </c>
      <c r="D11" s="9">
        <v>16488</v>
      </c>
      <c r="E11" s="9">
        <v>3657</v>
      </c>
      <c r="F11" s="10">
        <v>9612</v>
      </c>
      <c r="G11" s="11"/>
      <c r="H11" s="34">
        <f t="shared" si="0"/>
        <v>2.1339666635597082E-2</v>
      </c>
      <c r="I11" s="35">
        <f t="shared" si="1"/>
        <v>6.5239144911382304E-3</v>
      </c>
      <c r="J11" s="35">
        <f t="shared" si="2"/>
        <v>1.8200549450549451E-3</v>
      </c>
      <c r="K11" s="34">
        <f t="shared" si="3"/>
        <v>5.760286504137734E-3</v>
      </c>
    </row>
    <row r="12" spans="1:11" x14ac:dyDescent="0.25">
      <c r="B12" s="12" t="s">
        <v>10</v>
      </c>
      <c r="C12" s="9">
        <v>415199</v>
      </c>
      <c r="D12" s="9">
        <v>338592</v>
      </c>
      <c r="E12" s="9">
        <v>254971</v>
      </c>
      <c r="F12" s="10">
        <v>150306</v>
      </c>
      <c r="G12" s="11"/>
      <c r="H12" s="34">
        <f t="shared" si="0"/>
        <v>0.15236291524682338</v>
      </c>
      <c r="I12" s="35">
        <f t="shared" si="1"/>
        <v>0.13397290486314142</v>
      </c>
      <c r="J12" s="35">
        <f t="shared" si="2"/>
        <v>0.12689669931517758</v>
      </c>
      <c r="K12" s="34">
        <f t="shared" si="3"/>
        <v>9.0075491395227442E-2</v>
      </c>
    </row>
    <row r="13" spans="1:11" x14ac:dyDescent="0.25">
      <c r="B13" s="8" t="s">
        <v>11</v>
      </c>
      <c r="C13" s="13">
        <f>SUM(C6:C12)</f>
        <v>814647</v>
      </c>
      <c r="D13" s="13">
        <f>SUM(D6:D12)</f>
        <v>859511</v>
      </c>
      <c r="E13" s="13">
        <f>SUM(E6:E12)</f>
        <v>666307</v>
      </c>
      <c r="F13" s="14">
        <f>SUM(F6:F12)</f>
        <v>546607</v>
      </c>
      <c r="G13" s="11"/>
      <c r="H13" s="34">
        <f t="shared" si="0"/>
        <v>0.29894578700112218</v>
      </c>
      <c r="I13" s="35">
        <f t="shared" si="1"/>
        <v>0.34008832291319213</v>
      </c>
      <c r="J13" s="35">
        <f t="shared" si="2"/>
        <v>0.3316148072941551</v>
      </c>
      <c r="K13" s="34">
        <f t="shared" si="3"/>
        <v>0.32757104922671809</v>
      </c>
    </row>
    <row r="14" spans="1:11" x14ac:dyDescent="0.25">
      <c r="B14" s="12"/>
      <c r="C14" s="15"/>
      <c r="D14" s="15"/>
      <c r="E14" s="15"/>
      <c r="F14" s="16"/>
      <c r="H14" s="34">
        <f t="shared" si="0"/>
        <v>0</v>
      </c>
      <c r="I14" s="35">
        <f t="shared" si="1"/>
        <v>0</v>
      </c>
      <c r="J14" s="35">
        <f t="shared" si="2"/>
        <v>0</v>
      </c>
      <c r="K14" s="34">
        <f t="shared" si="3"/>
        <v>0</v>
      </c>
    </row>
    <row r="15" spans="1:11" x14ac:dyDescent="0.25">
      <c r="B15" s="8" t="s">
        <v>12</v>
      </c>
      <c r="C15" s="15"/>
      <c r="D15" s="15"/>
      <c r="E15" s="15"/>
      <c r="F15" s="16"/>
      <c r="H15" s="34">
        <f t="shared" si="0"/>
        <v>0</v>
      </c>
      <c r="I15" s="35">
        <f t="shared" si="1"/>
        <v>0</v>
      </c>
      <c r="J15" s="35">
        <f t="shared" si="2"/>
        <v>0</v>
      </c>
      <c r="K15" s="34">
        <f t="shared" si="3"/>
        <v>0</v>
      </c>
    </row>
    <row r="16" spans="1:11" x14ac:dyDescent="0.25">
      <c r="B16" s="12" t="s">
        <v>13</v>
      </c>
      <c r="C16" s="9">
        <v>1217220</v>
      </c>
      <c r="D16" s="9">
        <v>1106984</v>
      </c>
      <c r="E16" s="9">
        <v>963238</v>
      </c>
      <c r="F16" s="10">
        <v>866703</v>
      </c>
      <c r="G16" s="11"/>
      <c r="H16" s="34">
        <f t="shared" si="0"/>
        <v>0.44667541997147958</v>
      </c>
      <c r="I16" s="35">
        <f t="shared" si="1"/>
        <v>0.43800757878809821</v>
      </c>
      <c r="J16" s="35">
        <f t="shared" si="2"/>
        <v>0.47939460901417424</v>
      </c>
      <c r="K16" s="34">
        <f t="shared" si="3"/>
        <v>0.51939841801869391</v>
      </c>
    </row>
    <row r="17" spans="1:11" x14ac:dyDescent="0.25">
      <c r="B17" s="12" t="s">
        <v>14</v>
      </c>
      <c r="C17" s="9">
        <v>622939</v>
      </c>
      <c r="D17" s="9">
        <v>496106</v>
      </c>
      <c r="E17" s="9">
        <v>313863</v>
      </c>
      <c r="F17" s="10">
        <v>190868</v>
      </c>
      <c r="G17" s="11"/>
      <c r="H17" s="34">
        <f t="shared" si="0"/>
        <v>0.22859593125450905</v>
      </c>
      <c r="I17" s="35">
        <f t="shared" si="1"/>
        <v>0.19629749651507902</v>
      </c>
      <c r="J17" s="35">
        <f t="shared" si="2"/>
        <v>0.15620670090778788</v>
      </c>
      <c r="K17" s="34">
        <f t="shared" si="3"/>
        <v>0.114383516903013</v>
      </c>
    </row>
    <row r="18" spans="1:11" x14ac:dyDescent="0.25">
      <c r="B18" s="12" t="s">
        <v>15</v>
      </c>
      <c r="C18" s="9">
        <v>48321</v>
      </c>
      <c r="D18" s="9">
        <v>42777</v>
      </c>
      <c r="E18" s="9">
        <v>43933</v>
      </c>
      <c r="F18" s="10">
        <v>42550</v>
      </c>
      <c r="G18" s="11"/>
      <c r="H18" s="34">
        <f t="shared" si="0"/>
        <v>1.7732047590773948E-2</v>
      </c>
      <c r="I18" s="35">
        <f t="shared" si="1"/>
        <v>1.692585457225983E-2</v>
      </c>
      <c r="J18" s="35">
        <f t="shared" si="2"/>
        <v>2.1865046185698359E-2</v>
      </c>
      <c r="K18" s="34">
        <f t="shared" si="3"/>
        <v>2.549939562537043E-2</v>
      </c>
    </row>
    <row r="19" spans="1:11" x14ac:dyDescent="0.25">
      <c r="B19" s="12" t="s">
        <v>16</v>
      </c>
      <c r="C19" s="9">
        <v>21939</v>
      </c>
      <c r="D19" s="9">
        <v>21939</v>
      </c>
      <c r="E19" s="9">
        <v>21939</v>
      </c>
      <c r="F19" s="10">
        <v>21939</v>
      </c>
      <c r="G19" s="11"/>
      <c r="H19" s="34">
        <f t="shared" si="0"/>
        <v>8.0508141821152221E-3</v>
      </c>
      <c r="I19" s="35">
        <f t="shared" si="1"/>
        <v>8.6807472113707932E-3</v>
      </c>
      <c r="J19" s="35">
        <f t="shared" si="2"/>
        <v>1.0918836598184425E-2</v>
      </c>
      <c r="K19" s="34">
        <f t="shared" si="3"/>
        <v>1.3147620226204509E-2</v>
      </c>
    </row>
    <row r="20" spans="1:11" x14ac:dyDescent="0.25">
      <c r="B20" s="8" t="s">
        <v>17</v>
      </c>
      <c r="C20" s="13">
        <f>SUM(C16:C19)</f>
        <v>1910419</v>
      </c>
      <c r="D20" s="13">
        <f>SUM(D16:D19)</f>
        <v>1667806</v>
      </c>
      <c r="E20" s="13">
        <f>SUM(E16:E19)</f>
        <v>1342973</v>
      </c>
      <c r="F20" s="14">
        <f>SUM(F16:F19)</f>
        <v>1122060</v>
      </c>
      <c r="G20" s="17"/>
      <c r="H20" s="34">
        <f t="shared" si="0"/>
        <v>0.70105421299887782</v>
      </c>
      <c r="I20" s="35">
        <f t="shared" si="1"/>
        <v>0.65991167708680787</v>
      </c>
      <c r="J20" s="35">
        <f t="shared" si="2"/>
        <v>0.66838519270584484</v>
      </c>
      <c r="K20" s="34">
        <f t="shared" si="3"/>
        <v>0.67242895077328191</v>
      </c>
    </row>
    <row r="21" spans="1:11" s="3" customFormat="1" x14ac:dyDescent="0.25">
      <c r="A21" s="2"/>
      <c r="B21" s="12"/>
      <c r="C21" s="9"/>
      <c r="D21" s="9"/>
      <c r="E21" s="9"/>
      <c r="F21" s="10"/>
      <c r="G21" s="11"/>
      <c r="H21" s="34">
        <f t="shared" si="0"/>
        <v>0</v>
      </c>
      <c r="I21" s="35">
        <f t="shared" si="1"/>
        <v>0</v>
      </c>
      <c r="J21" s="35">
        <f t="shared" si="2"/>
        <v>0</v>
      </c>
      <c r="K21" s="34">
        <f t="shared" si="3"/>
        <v>0</v>
      </c>
    </row>
    <row r="22" spans="1:11" s="3" customFormat="1" x14ac:dyDescent="0.25">
      <c r="A22" s="2"/>
      <c r="B22" s="18" t="s">
        <v>18</v>
      </c>
      <c r="C22" s="19">
        <f>SUM(C20,C13)</f>
        <v>2725066</v>
      </c>
      <c r="D22" s="19">
        <f>SUM(D20,D13)</f>
        <v>2527317</v>
      </c>
      <c r="E22" s="19">
        <f>SUM(E20,E13)</f>
        <v>2009280</v>
      </c>
      <c r="F22" s="20">
        <f>SUM(F20,F13)</f>
        <v>1668667</v>
      </c>
      <c r="G22" s="17"/>
      <c r="H22" s="34">
        <f t="shared" si="0"/>
        <v>1</v>
      </c>
      <c r="I22" s="35">
        <f t="shared" si="1"/>
        <v>1</v>
      </c>
      <c r="J22" s="35">
        <f t="shared" si="2"/>
        <v>1</v>
      </c>
      <c r="K22" s="34">
        <f t="shared" si="3"/>
        <v>1</v>
      </c>
    </row>
    <row r="23" spans="1:11" x14ac:dyDescent="0.25">
      <c r="B23" s="12"/>
      <c r="C23" s="15"/>
      <c r="D23" s="15"/>
      <c r="E23" s="15"/>
      <c r="F23" s="16"/>
    </row>
    <row r="24" spans="1:11" s="3" customFormat="1" x14ac:dyDescent="0.25">
      <c r="A24" s="2"/>
      <c r="B24" s="8" t="s">
        <v>19</v>
      </c>
      <c r="C24" s="15"/>
      <c r="D24" s="15"/>
      <c r="E24" s="15"/>
      <c r="F24" s="16"/>
      <c r="H24" s="2"/>
      <c r="K24" s="2"/>
    </row>
    <row r="25" spans="1:11" s="3" customFormat="1" x14ac:dyDescent="0.25">
      <c r="A25" s="2"/>
      <c r="B25" s="12" t="s">
        <v>20</v>
      </c>
      <c r="C25" s="9">
        <v>85709</v>
      </c>
      <c r="D25" s="9">
        <v>69613</v>
      </c>
      <c r="E25" s="9">
        <v>59022</v>
      </c>
      <c r="F25" s="10">
        <v>58700</v>
      </c>
      <c r="G25" s="11"/>
      <c r="H25" s="34">
        <f>C25/$C$45</f>
        <v>3.1452082261493847E-2</v>
      </c>
      <c r="I25" s="35">
        <f>D25/$D$45</f>
        <v>2.7544229710796075E-2</v>
      </c>
      <c r="J25" s="35">
        <f>E25/$E$45</f>
        <v>2.937470138557095E-2</v>
      </c>
      <c r="K25" s="34">
        <f>F25/$F$45</f>
        <v>3.5177779628889405E-2</v>
      </c>
    </row>
    <row r="26" spans="1:11" s="3" customFormat="1" x14ac:dyDescent="0.25">
      <c r="A26" s="2"/>
      <c r="B26" s="12" t="s">
        <v>21</v>
      </c>
      <c r="C26" s="9">
        <v>64958</v>
      </c>
      <c r="D26" s="9">
        <v>73894</v>
      </c>
      <c r="E26" s="9">
        <v>67195</v>
      </c>
      <c r="F26" s="10">
        <v>71731</v>
      </c>
      <c r="G26" s="11"/>
      <c r="H26" s="34">
        <f t="shared" ref="H26:H45" si="4">C26/$C$45</f>
        <v>2.3837220823275471E-2</v>
      </c>
      <c r="I26" s="35">
        <f t="shared" ref="I26:I45" si="5">D26/$D$45</f>
        <v>2.9238120900543937E-2</v>
      </c>
      <c r="J26" s="35">
        <f t="shared" ref="J26:J45" si="6">E26/$E$45</f>
        <v>3.3442327599936296E-2</v>
      </c>
      <c r="K26" s="34">
        <f t="shared" ref="K26:K45" si="7">F26/$F$45</f>
        <v>4.2987006994205552E-2</v>
      </c>
    </row>
    <row r="27" spans="1:11" s="3" customFormat="1" x14ac:dyDescent="0.25">
      <c r="A27" s="2"/>
      <c r="B27" s="12" t="s">
        <v>22</v>
      </c>
      <c r="C27" s="9">
        <v>129275</v>
      </c>
      <c r="D27" s="9">
        <v>102203</v>
      </c>
      <c r="E27" s="9">
        <v>73011</v>
      </c>
      <c r="F27" s="10">
        <v>56421</v>
      </c>
      <c r="G27" s="11"/>
      <c r="H27" s="34">
        <f t="shared" si="4"/>
        <v>4.7439217985913003E-2</v>
      </c>
      <c r="I27" s="35">
        <f t="shared" si="5"/>
        <v>4.0439327555664761E-2</v>
      </c>
      <c r="J27" s="35">
        <f t="shared" si="6"/>
        <v>3.6336896798853317E-2</v>
      </c>
      <c r="K27" s="34">
        <f t="shared" si="7"/>
        <v>3.3812018815018212E-2</v>
      </c>
    </row>
    <row r="28" spans="1:11" s="3" customFormat="1" x14ac:dyDescent="0.25">
      <c r="A28" s="2"/>
      <c r="B28" s="8" t="s">
        <v>23</v>
      </c>
      <c r="C28" s="13">
        <f>SUM(C25:C27)</f>
        <v>279942</v>
      </c>
      <c r="D28" s="13">
        <f>SUM(D25:D27)</f>
        <v>245710</v>
      </c>
      <c r="E28" s="13">
        <f>SUM(E25:E27)</f>
        <v>199228</v>
      </c>
      <c r="F28" s="14">
        <f t="shared" ref="F28" si="8">SUM(F25:F27)</f>
        <v>186852</v>
      </c>
      <c r="G28" s="2"/>
      <c r="H28" s="34">
        <f t="shared" si="4"/>
        <v>0.10272852107068232</v>
      </c>
      <c r="I28" s="35">
        <f t="shared" si="5"/>
        <v>9.7221678167004777E-2</v>
      </c>
      <c r="J28" s="35">
        <f t="shared" si="6"/>
        <v>9.9153925784360566E-2</v>
      </c>
      <c r="K28" s="34">
        <f t="shared" si="7"/>
        <v>0.11197680543811318</v>
      </c>
    </row>
    <row r="29" spans="1:11" s="3" customFormat="1" x14ac:dyDescent="0.25">
      <c r="A29" s="2"/>
      <c r="B29" s="12"/>
      <c r="C29" s="9"/>
      <c r="D29" s="9"/>
      <c r="E29" s="9"/>
      <c r="F29" s="10"/>
      <c r="G29" s="2"/>
      <c r="H29" s="34">
        <f t="shared" si="4"/>
        <v>0</v>
      </c>
      <c r="I29" s="35">
        <f t="shared" si="5"/>
        <v>0</v>
      </c>
      <c r="J29" s="35">
        <f t="shared" si="6"/>
        <v>0</v>
      </c>
      <c r="K29" s="34">
        <f t="shared" si="7"/>
        <v>0</v>
      </c>
    </row>
    <row r="30" spans="1:11" s="3" customFormat="1" x14ac:dyDescent="0.25">
      <c r="A30" s="2"/>
      <c r="B30" s="8" t="s">
        <v>24</v>
      </c>
      <c r="C30" s="9"/>
      <c r="D30" s="9"/>
      <c r="E30" s="9"/>
      <c r="F30" s="10"/>
      <c r="G30" s="2"/>
      <c r="H30" s="34">
        <f t="shared" si="4"/>
        <v>0</v>
      </c>
      <c r="I30" s="35">
        <f t="shared" si="5"/>
        <v>0</v>
      </c>
      <c r="J30" s="35">
        <f t="shared" si="6"/>
        <v>0</v>
      </c>
      <c r="K30" s="34">
        <f t="shared" si="7"/>
        <v>0</v>
      </c>
    </row>
    <row r="31" spans="1:11" s="3" customFormat="1" x14ac:dyDescent="0.25">
      <c r="A31" s="2"/>
      <c r="B31" s="12" t="s">
        <v>25</v>
      </c>
      <c r="C31" s="9">
        <v>251962</v>
      </c>
      <c r="D31" s="9">
        <v>219414</v>
      </c>
      <c r="E31" s="9">
        <v>192739</v>
      </c>
      <c r="F31" s="10">
        <v>167057</v>
      </c>
      <c r="G31" s="2"/>
      <c r="H31" s="34">
        <f t="shared" si="4"/>
        <v>9.2460879846579858E-2</v>
      </c>
      <c r="I31" s="35">
        <f t="shared" si="5"/>
        <v>8.68169683502307E-2</v>
      </c>
      <c r="J31" s="35">
        <f t="shared" si="6"/>
        <v>9.5924410734193347E-2</v>
      </c>
      <c r="K31" s="34">
        <f t="shared" si="7"/>
        <v>0.10011404312544085</v>
      </c>
    </row>
    <row r="32" spans="1:11" s="3" customFormat="1" x14ac:dyDescent="0.25">
      <c r="A32" s="2"/>
      <c r="B32" s="12" t="s">
        <v>26</v>
      </c>
      <c r="C32" s="9">
        <v>32305</v>
      </c>
      <c r="D32" s="9">
        <v>21561</v>
      </c>
      <c r="E32" s="9">
        <v>55434</v>
      </c>
      <c r="F32" s="10">
        <v>48947</v>
      </c>
      <c r="G32" s="2"/>
      <c r="H32" s="34">
        <f t="shared" si="4"/>
        <v>1.1854758747127592E-2</v>
      </c>
      <c r="I32" s="35">
        <f t="shared" si="5"/>
        <v>8.5311814861372751E-3</v>
      </c>
      <c r="J32" s="35">
        <f t="shared" si="6"/>
        <v>2.7588987099856663E-2</v>
      </c>
      <c r="K32" s="34">
        <f t="shared" si="7"/>
        <v>2.9332994539953149E-2</v>
      </c>
    </row>
    <row r="33" spans="1:11" s="3" customFormat="1" x14ac:dyDescent="0.25">
      <c r="A33" s="2"/>
      <c r="B33" s="12" t="s">
        <v>27</v>
      </c>
      <c r="C33" s="9">
        <v>32883</v>
      </c>
      <c r="D33" s="9">
        <v>28263</v>
      </c>
      <c r="E33" s="9">
        <v>23591</v>
      </c>
      <c r="F33" s="10">
        <v>19885</v>
      </c>
      <c r="G33" s="2"/>
      <c r="H33" s="34">
        <f t="shared" si="4"/>
        <v>1.2066863701649794E-2</v>
      </c>
      <c r="I33" s="35">
        <f t="shared" si="5"/>
        <v>1.1183005535118863E-2</v>
      </c>
      <c r="J33" s="35">
        <f t="shared" si="6"/>
        <v>1.1741021659499921E-2</v>
      </c>
      <c r="K33" s="34">
        <f t="shared" si="7"/>
        <v>1.1916697579565006E-2</v>
      </c>
    </row>
    <row r="34" spans="1:11" s="3" customFormat="1" x14ac:dyDescent="0.25">
      <c r="A34" s="2"/>
      <c r="B34" s="12" t="s">
        <v>28</v>
      </c>
      <c r="C34" s="9"/>
      <c r="D34" s="9"/>
      <c r="E34" s="9"/>
      <c r="F34" s="10"/>
      <c r="G34" s="2"/>
      <c r="H34" s="34">
        <f t="shared" si="4"/>
        <v>0</v>
      </c>
      <c r="I34" s="35">
        <f t="shared" si="5"/>
        <v>0</v>
      </c>
      <c r="J34" s="35">
        <f t="shared" si="6"/>
        <v>0</v>
      </c>
      <c r="K34" s="34">
        <f t="shared" si="7"/>
        <v>0</v>
      </c>
    </row>
    <row r="35" spans="1:11" s="3" customFormat="1" x14ac:dyDescent="0.25">
      <c r="A35" s="2"/>
      <c r="B35" s="8" t="s">
        <v>29</v>
      </c>
      <c r="C35" s="13">
        <f>SUM(C31:C34)</f>
        <v>317150</v>
      </c>
      <c r="D35" s="13">
        <f t="shared" ref="D35:F35" si="9">SUM(D31:D34)</f>
        <v>269238</v>
      </c>
      <c r="E35" s="13">
        <f t="shared" si="9"/>
        <v>271764</v>
      </c>
      <c r="F35" s="14">
        <f t="shared" si="9"/>
        <v>235889</v>
      </c>
      <c r="G35" s="2"/>
      <c r="H35" s="34">
        <f t="shared" si="4"/>
        <v>0.11638250229535725</v>
      </c>
      <c r="I35" s="35">
        <f t="shared" si="5"/>
        <v>0.10653115537148684</v>
      </c>
      <c r="J35" s="35">
        <f t="shared" si="6"/>
        <v>0.13525441949354994</v>
      </c>
      <c r="K35" s="34">
        <f t="shared" si="7"/>
        <v>0.14136373524495899</v>
      </c>
    </row>
    <row r="36" spans="1:11" s="3" customFormat="1" x14ac:dyDescent="0.25">
      <c r="A36" s="2"/>
      <c r="B36" s="8" t="s">
        <v>30</v>
      </c>
      <c r="C36" s="13">
        <f>C28+C35</f>
        <v>597092</v>
      </c>
      <c r="D36" s="13">
        <f>D28+D35</f>
        <v>514948</v>
      </c>
      <c r="E36" s="13">
        <f>E28+E35</f>
        <v>470992</v>
      </c>
      <c r="F36" s="14">
        <f>F28+F35</f>
        <v>422741</v>
      </c>
      <c r="G36" s="2"/>
      <c r="H36" s="34">
        <f t="shared" si="4"/>
        <v>0.21911102336603958</v>
      </c>
      <c r="I36" s="35">
        <f t="shared" si="5"/>
        <v>0.20375283353849161</v>
      </c>
      <c r="J36" s="35">
        <f t="shared" si="6"/>
        <v>0.23440834527791049</v>
      </c>
      <c r="K36" s="34">
        <f t="shared" si="7"/>
        <v>0.25334054068307216</v>
      </c>
    </row>
    <row r="37" spans="1:11" s="3" customFormat="1" x14ac:dyDescent="0.25">
      <c r="A37" s="2"/>
      <c r="B37" s="8"/>
      <c r="C37" s="9"/>
      <c r="D37" s="9"/>
      <c r="E37" s="9"/>
      <c r="F37" s="10"/>
      <c r="G37" s="2"/>
      <c r="H37" s="34">
        <f t="shared" si="4"/>
        <v>0</v>
      </c>
      <c r="I37" s="35">
        <f t="shared" si="5"/>
        <v>0</v>
      </c>
      <c r="J37" s="35">
        <f t="shared" si="6"/>
        <v>0</v>
      </c>
      <c r="K37" s="34">
        <f t="shared" si="7"/>
        <v>0</v>
      </c>
    </row>
    <row r="38" spans="1:11" s="3" customFormat="1" x14ac:dyDescent="0.25">
      <c r="A38" s="2"/>
      <c r="B38" s="12" t="s">
        <v>31</v>
      </c>
      <c r="C38" s="9">
        <v>358</v>
      </c>
      <c r="D38" s="9">
        <v>354</v>
      </c>
      <c r="E38" s="9">
        <v>352</v>
      </c>
      <c r="F38" s="10">
        <v>349</v>
      </c>
      <c r="G38" s="2"/>
      <c r="H38" s="34">
        <f t="shared" si="4"/>
        <v>1.3137296491167553E-4</v>
      </c>
      <c r="I38" s="35">
        <f t="shared" si="5"/>
        <v>1.4006948871075531E-4</v>
      </c>
      <c r="J38" s="35">
        <f t="shared" si="6"/>
        <v>1.7518713170887085E-4</v>
      </c>
      <c r="K38" s="34">
        <f t="shared" si="7"/>
        <v>2.0914897939493021E-4</v>
      </c>
    </row>
    <row r="39" spans="1:11" s="3" customFormat="1" x14ac:dyDescent="0.25">
      <c r="A39" s="2"/>
      <c r="B39" s="12" t="s">
        <v>32</v>
      </c>
      <c r="C39" s="9">
        <v>1172628</v>
      </c>
      <c r="D39" s="9">
        <v>1038932</v>
      </c>
      <c r="E39" s="9">
        <v>919840</v>
      </c>
      <c r="F39" s="10">
        <v>816612</v>
      </c>
      <c r="G39" s="2"/>
      <c r="H39" s="34">
        <f t="shared" si="4"/>
        <v>0.43031177960460409</v>
      </c>
      <c r="I39" s="35">
        <f t="shared" si="5"/>
        <v>0.41108100012780352</v>
      </c>
      <c r="J39" s="35">
        <f t="shared" si="6"/>
        <v>0.45779582736104474</v>
      </c>
      <c r="K39" s="34">
        <f t="shared" si="7"/>
        <v>0.4893798463084606</v>
      </c>
    </row>
    <row r="40" spans="1:11" x14ac:dyDescent="0.25">
      <c r="B40" s="12" t="s">
        <v>33</v>
      </c>
      <c r="C40" s="9">
        <v>-1234612</v>
      </c>
      <c r="D40" s="9">
        <v>-748759</v>
      </c>
      <c r="E40" s="9">
        <v>-660421</v>
      </c>
      <c r="F40" s="10">
        <v>-521518</v>
      </c>
      <c r="H40" s="34">
        <f t="shared" si="4"/>
        <v>-0.4530576507137809</v>
      </c>
      <c r="I40" s="35">
        <f t="shared" si="5"/>
        <v>-0.29626635677281482</v>
      </c>
      <c r="J40" s="35">
        <f t="shared" si="6"/>
        <v>-0.32868539974518235</v>
      </c>
      <c r="K40" s="34">
        <f t="shared" si="7"/>
        <v>-0.31253569465926995</v>
      </c>
    </row>
    <row r="41" spans="1:11" x14ac:dyDescent="0.25">
      <c r="B41" s="12" t="s">
        <v>34</v>
      </c>
      <c r="C41" s="9">
        <v>-8273</v>
      </c>
      <c r="D41" s="9">
        <v>-429</v>
      </c>
      <c r="E41" s="9">
        <v>1620</v>
      </c>
      <c r="F41" s="10">
        <v>1024</v>
      </c>
      <c r="H41" s="34">
        <f t="shared" si="4"/>
        <v>-3.0358897729449489E-3</v>
      </c>
      <c r="I41" s="35">
        <f t="shared" si="5"/>
        <v>-1.6974522784438993E-4</v>
      </c>
      <c r="J41" s="35">
        <f t="shared" si="6"/>
        <v>8.062589584328715E-4</v>
      </c>
      <c r="K41" s="34">
        <f t="shared" si="7"/>
        <v>6.1366348108999583E-4</v>
      </c>
    </row>
    <row r="42" spans="1:11" x14ac:dyDescent="0.25">
      <c r="B42" s="12" t="s">
        <v>35</v>
      </c>
      <c r="C42" s="9">
        <v>2197873</v>
      </c>
      <c r="D42" s="9">
        <v>1722271</v>
      </c>
      <c r="E42" s="9">
        <v>1276897</v>
      </c>
      <c r="F42" s="10">
        <v>949459</v>
      </c>
      <c r="H42" s="34">
        <f>C42/$C$45</f>
        <v>0.80653936455117048</v>
      </c>
      <c r="I42" s="35">
        <f t="shared" si="5"/>
        <v>0.68146219884565329</v>
      </c>
      <c r="J42" s="35">
        <f t="shared" si="6"/>
        <v>0.6354997810160854</v>
      </c>
      <c r="K42" s="34">
        <f t="shared" si="7"/>
        <v>0.56899249520725226</v>
      </c>
    </row>
    <row r="43" spans="1:11" x14ac:dyDescent="0.25">
      <c r="B43" s="8" t="s">
        <v>36</v>
      </c>
      <c r="C43" s="13">
        <f>SUM(C38:C42)</f>
        <v>2127974</v>
      </c>
      <c r="D43" s="13">
        <f>SUM(D38:D42)</f>
        <v>2012369</v>
      </c>
      <c r="E43" s="13">
        <f t="shared" ref="E43:F43" si="10">SUM(E38:E42)</f>
        <v>1538288</v>
      </c>
      <c r="F43" s="14">
        <f t="shared" si="10"/>
        <v>1245926</v>
      </c>
      <c r="G43" s="3"/>
      <c r="H43" s="34">
        <f t="shared" si="4"/>
        <v>0.7808889766339604</v>
      </c>
      <c r="I43" s="35">
        <f t="shared" si="5"/>
        <v>0.79624716646150839</v>
      </c>
      <c r="J43" s="35">
        <f t="shared" si="6"/>
        <v>0.76559165472208945</v>
      </c>
      <c r="K43" s="34">
        <f t="shared" si="7"/>
        <v>0.74665945931692779</v>
      </c>
    </row>
    <row r="44" spans="1:11" x14ac:dyDescent="0.25">
      <c r="B44" s="12"/>
      <c r="C44" s="9"/>
      <c r="D44" s="9"/>
      <c r="E44" s="9"/>
      <c r="F44" s="10"/>
      <c r="G44" s="3"/>
      <c r="H44" s="34">
        <f t="shared" si="4"/>
        <v>0</v>
      </c>
      <c r="I44" s="35">
        <f t="shared" si="5"/>
        <v>0</v>
      </c>
      <c r="J44" s="35">
        <f t="shared" si="6"/>
        <v>0</v>
      </c>
      <c r="K44" s="34">
        <f t="shared" si="7"/>
        <v>0</v>
      </c>
    </row>
    <row r="45" spans="1:11" x14ac:dyDescent="0.25">
      <c r="B45" s="21" t="s">
        <v>37</v>
      </c>
      <c r="C45" s="22">
        <f>SUM(C28,C35,C43)</f>
        <v>2725066</v>
      </c>
      <c r="D45" s="22">
        <f>SUM(D28,D35,D43)</f>
        <v>2527317</v>
      </c>
      <c r="E45" s="22">
        <f>SUM(E28,E35,E43)</f>
        <v>2009280</v>
      </c>
      <c r="F45" s="23">
        <f>SUM(F28,F35,F43)</f>
        <v>1668667</v>
      </c>
      <c r="G45" s="3"/>
      <c r="H45" s="34">
        <f t="shared" si="4"/>
        <v>1</v>
      </c>
      <c r="I45" s="35">
        <f t="shared" si="5"/>
        <v>1</v>
      </c>
      <c r="J45" s="35">
        <f t="shared" si="6"/>
        <v>1</v>
      </c>
      <c r="K45" s="34">
        <f t="shared" si="7"/>
        <v>1</v>
      </c>
    </row>
    <row r="46" spans="1:11" x14ac:dyDescent="0.25">
      <c r="C46" s="24">
        <f>C22-C45</f>
        <v>0</v>
      </c>
      <c r="D46" s="24">
        <f t="shared" ref="D46:F46" si="11">D22-D45</f>
        <v>0</v>
      </c>
      <c r="E46" s="24">
        <f t="shared" si="11"/>
        <v>0</v>
      </c>
      <c r="F46" s="24">
        <f t="shared" si="11"/>
        <v>0</v>
      </c>
    </row>
    <row r="50" spans="1:14" x14ac:dyDescent="0.25">
      <c r="A50" s="1" t="s">
        <v>38</v>
      </c>
    </row>
    <row r="51" spans="1:14" x14ac:dyDescent="0.25">
      <c r="A51" s="1" t="s">
        <v>39</v>
      </c>
    </row>
    <row r="52" spans="1:14" x14ac:dyDescent="0.25">
      <c r="A52" s="1" t="s">
        <v>40</v>
      </c>
    </row>
    <row r="53" spans="1:14" ht="14.25" thickBot="1" x14ac:dyDescent="0.3">
      <c r="B53" s="4"/>
      <c r="C53" s="5">
        <v>2015</v>
      </c>
      <c r="D53" s="5">
        <v>2014</v>
      </c>
      <c r="E53" s="5">
        <v>2013</v>
      </c>
      <c r="F53" s="6">
        <v>2012</v>
      </c>
      <c r="G53" s="7"/>
      <c r="H53" s="5">
        <v>2015</v>
      </c>
      <c r="I53" s="5">
        <v>2014</v>
      </c>
      <c r="J53" s="5">
        <v>2013</v>
      </c>
      <c r="K53" s="6">
        <v>2012</v>
      </c>
    </row>
    <row r="54" spans="1:14" x14ac:dyDescent="0.25">
      <c r="B54" s="8" t="s">
        <v>41</v>
      </c>
      <c r="C54" s="13">
        <v>4501223</v>
      </c>
      <c r="D54" s="13">
        <v>4108269</v>
      </c>
      <c r="E54" s="13">
        <v>3214591</v>
      </c>
      <c r="F54" s="14">
        <v>2731224</v>
      </c>
      <c r="G54" s="25"/>
      <c r="H54" s="34">
        <f>C54/$C$54</f>
        <v>1</v>
      </c>
      <c r="I54" s="34">
        <f>D54/$D$54</f>
        <v>1</v>
      </c>
      <c r="J54" s="34">
        <f>E54/$E$54</f>
        <v>1</v>
      </c>
      <c r="K54" s="34">
        <f>F54/$F$54</f>
        <v>1</v>
      </c>
    </row>
    <row r="55" spans="1:14" x14ac:dyDescent="0.25">
      <c r="B55" s="12"/>
      <c r="C55" s="9"/>
      <c r="D55" s="9"/>
      <c r="E55" s="9"/>
      <c r="F55" s="10"/>
      <c r="G55" s="11"/>
      <c r="H55" s="34">
        <f t="shared" ref="H55:H75" si="12">C55/$C$54</f>
        <v>0</v>
      </c>
      <c r="I55" s="34">
        <f t="shared" ref="I55:I75" si="13">D55/$D$54</f>
        <v>0</v>
      </c>
      <c r="J55" s="34">
        <f t="shared" ref="J55:J75" si="14">E55/$E$54</f>
        <v>0</v>
      </c>
      <c r="K55" s="34">
        <f t="shared" ref="K55:K75" si="15">F55/$F$54</f>
        <v>0</v>
      </c>
    </row>
    <row r="56" spans="1:14" x14ac:dyDescent="0.25">
      <c r="B56" s="12" t="s">
        <v>42</v>
      </c>
      <c r="C56" s="9"/>
      <c r="D56" s="9"/>
      <c r="E56" s="9"/>
      <c r="F56" s="10"/>
      <c r="G56" s="11"/>
      <c r="H56" s="34">
        <f t="shared" si="12"/>
        <v>0</v>
      </c>
      <c r="I56" s="34">
        <f t="shared" si="13"/>
        <v>0</v>
      </c>
      <c r="J56" s="34">
        <f t="shared" si="14"/>
        <v>0</v>
      </c>
      <c r="K56" s="34">
        <f t="shared" si="15"/>
        <v>0</v>
      </c>
    </row>
    <row r="57" spans="1:14" x14ac:dyDescent="0.25">
      <c r="B57" s="26" t="s">
        <v>91</v>
      </c>
      <c r="C57" s="9">
        <v>1503835</v>
      </c>
      <c r="D57" s="9">
        <v>1420994</v>
      </c>
      <c r="E57" s="9">
        <v>1073514</v>
      </c>
      <c r="F57" s="10">
        <v>891003</v>
      </c>
      <c r="G57" s="11"/>
      <c r="H57" s="34">
        <f t="shared" si="12"/>
        <v>0.33409475602519584</v>
      </c>
      <c r="I57" s="34">
        <f t="shared" si="13"/>
        <v>0.34588630880791887</v>
      </c>
      <c r="J57" s="34">
        <f t="shared" si="14"/>
        <v>0.3339504154649845</v>
      </c>
      <c r="K57" s="34">
        <f t="shared" si="15"/>
        <v>0.32622846020685231</v>
      </c>
    </row>
    <row r="58" spans="1:14" x14ac:dyDescent="0.25">
      <c r="B58" s="26" t="s">
        <v>44</v>
      </c>
      <c r="C58" s="9">
        <v>1045726</v>
      </c>
      <c r="D58" s="9">
        <v>904407</v>
      </c>
      <c r="E58" s="9">
        <v>739800</v>
      </c>
      <c r="F58" s="10">
        <v>641836</v>
      </c>
      <c r="G58" s="27"/>
      <c r="H58" s="34">
        <f t="shared" si="12"/>
        <v>0.23232041602915474</v>
      </c>
      <c r="I58" s="34">
        <f t="shared" si="13"/>
        <v>0.22014308215942044</v>
      </c>
      <c r="J58" s="34">
        <f t="shared" si="14"/>
        <v>0.23013814199069182</v>
      </c>
      <c r="K58" s="34">
        <f t="shared" si="15"/>
        <v>0.23499939953661803</v>
      </c>
    </row>
    <row r="59" spans="1:14" x14ac:dyDescent="0.25">
      <c r="B59" s="26" t="s">
        <v>45</v>
      </c>
      <c r="C59" s="9">
        <v>262412</v>
      </c>
      <c r="D59" s="9">
        <v>230868</v>
      </c>
      <c r="E59" s="9">
        <v>199107</v>
      </c>
      <c r="F59" s="10">
        <v>171435</v>
      </c>
      <c r="G59" s="11"/>
      <c r="H59" s="34">
        <f t="shared" si="12"/>
        <v>5.829793369490914E-2</v>
      </c>
      <c r="I59" s="34">
        <f t="shared" si="13"/>
        <v>5.6195930694898505E-2</v>
      </c>
      <c r="J59" s="34">
        <f t="shared" si="14"/>
        <v>6.1938517217275856E-2</v>
      </c>
      <c r="K59" s="34">
        <f t="shared" si="15"/>
        <v>6.2768560908955107E-2</v>
      </c>
    </row>
    <row r="60" spans="1:14" x14ac:dyDescent="0.25">
      <c r="B60" s="26" t="s">
        <v>46</v>
      </c>
      <c r="C60" s="9">
        <v>514963</v>
      </c>
      <c r="D60" s="9">
        <v>434244</v>
      </c>
      <c r="E60" s="9">
        <v>347401</v>
      </c>
      <c r="F60" s="10">
        <v>286610</v>
      </c>
      <c r="G60" s="11"/>
      <c r="H60" s="34">
        <f t="shared" si="12"/>
        <v>0.11440512945037382</v>
      </c>
      <c r="I60" s="34">
        <f t="shared" si="13"/>
        <v>0.1056999918943964</v>
      </c>
      <c r="J60" s="34">
        <f t="shared" si="14"/>
        <v>0.10807004685821618</v>
      </c>
      <c r="K60" s="34">
        <f t="shared" si="15"/>
        <v>0.1049382987261389</v>
      </c>
    </row>
    <row r="61" spans="1:14" x14ac:dyDescent="0.25">
      <c r="B61" s="12" t="s">
        <v>47</v>
      </c>
      <c r="C61" s="9">
        <v>250214</v>
      </c>
      <c r="D61" s="9">
        <v>273897</v>
      </c>
      <c r="E61" s="9">
        <v>203733</v>
      </c>
      <c r="F61" s="10">
        <v>183409</v>
      </c>
      <c r="G61" s="11"/>
      <c r="H61" s="34">
        <f t="shared" si="12"/>
        <v>5.5588003527041428E-2</v>
      </c>
      <c r="I61" s="34">
        <f t="shared" si="13"/>
        <v>6.6669684969509049E-2</v>
      </c>
      <c r="J61" s="34">
        <f t="shared" si="14"/>
        <v>6.3377580538239539E-2</v>
      </c>
      <c r="K61" s="34">
        <f t="shared" si="15"/>
        <v>6.715267586986641E-2</v>
      </c>
      <c r="N61" s="43" t="s">
        <v>85</v>
      </c>
    </row>
    <row r="62" spans="1:14" x14ac:dyDescent="0.25">
      <c r="B62" s="12" t="s">
        <v>48</v>
      </c>
      <c r="C62" s="9">
        <v>130368</v>
      </c>
      <c r="D62" s="9">
        <v>110474</v>
      </c>
      <c r="E62" s="9">
        <v>96054</v>
      </c>
      <c r="F62" s="10">
        <v>84130</v>
      </c>
      <c r="G62" s="11"/>
      <c r="H62" s="34">
        <f t="shared" si="12"/>
        <v>2.8962795222542852E-2</v>
      </c>
      <c r="I62" s="34">
        <f t="shared" si="13"/>
        <v>2.689064421049352E-2</v>
      </c>
      <c r="J62" s="34">
        <f t="shared" si="14"/>
        <v>2.9880628670956897E-2</v>
      </c>
      <c r="K62" s="34">
        <f t="shared" si="15"/>
        <v>3.0803039223439747E-2</v>
      </c>
      <c r="N62" s="43" t="s">
        <v>86</v>
      </c>
    </row>
    <row r="63" spans="1:14" x14ac:dyDescent="0.25">
      <c r="B63" s="12" t="s">
        <v>49</v>
      </c>
      <c r="C63" s="9">
        <v>16922</v>
      </c>
      <c r="D63" s="9">
        <v>15609</v>
      </c>
      <c r="E63" s="9">
        <v>15511</v>
      </c>
      <c r="F63" s="10">
        <v>11909</v>
      </c>
      <c r="G63" s="11"/>
      <c r="H63" s="34">
        <f t="shared" si="12"/>
        <v>3.7594227168927202E-3</v>
      </c>
      <c r="I63" s="34">
        <f t="shared" si="13"/>
        <v>3.7994104086173518E-3</v>
      </c>
      <c r="J63" s="34">
        <f t="shared" si="14"/>
        <v>4.8251861589857E-3</v>
      </c>
      <c r="K63" s="34">
        <f t="shared" si="15"/>
        <v>4.3603161073569943E-3</v>
      </c>
    </row>
    <row r="64" spans="1:14" x14ac:dyDescent="0.25">
      <c r="B64" s="12" t="s">
        <v>50</v>
      </c>
      <c r="C64" s="9">
        <v>13194</v>
      </c>
      <c r="D64" s="9">
        <v>6976</v>
      </c>
      <c r="E64" s="9">
        <v>6751</v>
      </c>
      <c r="F64" s="10">
        <v>5027</v>
      </c>
      <c r="G64" s="11"/>
      <c r="H64" s="34">
        <f t="shared" si="12"/>
        <v>2.9312033640635001E-3</v>
      </c>
      <c r="I64" s="34">
        <f t="shared" si="13"/>
        <v>1.6980387603635497E-3</v>
      </c>
      <c r="J64" s="34">
        <f t="shared" si="14"/>
        <v>2.1001116471737772E-3</v>
      </c>
      <c r="K64" s="34">
        <f t="shared" si="15"/>
        <v>1.8405667202690075E-3</v>
      </c>
    </row>
    <row r="65" spans="1:14" x14ac:dyDescent="0.25">
      <c r="B65" s="8" t="s">
        <v>51</v>
      </c>
      <c r="C65" s="13">
        <f>SUM(C57:C64)</f>
        <v>3737634</v>
      </c>
      <c r="D65" s="13">
        <f>SUM(D57:D64)</f>
        <v>3397469</v>
      </c>
      <c r="E65" s="13">
        <f>SUM(E57:E64)</f>
        <v>2681871</v>
      </c>
      <c r="F65" s="14">
        <f>SUM(F57:F64)</f>
        <v>2275359</v>
      </c>
      <c r="G65" s="17"/>
      <c r="H65" s="34">
        <f t="shared" si="12"/>
        <v>0.83035966003017403</v>
      </c>
      <c r="I65" s="34">
        <f t="shared" si="13"/>
        <v>0.8269830919056177</v>
      </c>
      <c r="J65" s="34">
        <f t="shared" si="14"/>
        <v>0.83428062854652429</v>
      </c>
      <c r="K65" s="34">
        <f t="shared" si="15"/>
        <v>0.83309131729949648</v>
      </c>
    </row>
    <row r="66" spans="1:14" x14ac:dyDescent="0.25">
      <c r="B66" s="12"/>
      <c r="C66" s="9"/>
      <c r="D66" s="9"/>
      <c r="E66" s="9"/>
      <c r="F66" s="10"/>
      <c r="G66" s="11"/>
      <c r="H66" s="34">
        <f>C66/$C$54</f>
        <v>0</v>
      </c>
      <c r="I66" s="34">
        <f t="shared" si="13"/>
        <v>0</v>
      </c>
      <c r="J66" s="34">
        <f t="shared" si="14"/>
        <v>0</v>
      </c>
      <c r="K66" s="34">
        <f t="shared" si="15"/>
        <v>0</v>
      </c>
    </row>
    <row r="67" spans="1:14" x14ac:dyDescent="0.25">
      <c r="B67" s="8" t="s">
        <v>52</v>
      </c>
      <c r="C67" s="13">
        <f>C54-C65</f>
        <v>763589</v>
      </c>
      <c r="D67" s="13">
        <f>D54-D65</f>
        <v>710800</v>
      </c>
      <c r="E67" s="13">
        <f>E54-E65</f>
        <v>532720</v>
      </c>
      <c r="F67" s="14">
        <f>F54-F65</f>
        <v>455865</v>
      </c>
      <c r="G67" s="25"/>
      <c r="H67" s="36">
        <f t="shared" si="12"/>
        <v>0.16964033996982597</v>
      </c>
      <c r="I67" s="36">
        <f t="shared" si="13"/>
        <v>0.17301690809438233</v>
      </c>
      <c r="J67" s="36">
        <f t="shared" si="14"/>
        <v>0.16571937145347573</v>
      </c>
      <c r="K67" s="36">
        <f t="shared" si="15"/>
        <v>0.16690868270050352</v>
      </c>
      <c r="L67" s="37" t="s">
        <v>63</v>
      </c>
    </row>
    <row r="68" spans="1:14" x14ac:dyDescent="0.25">
      <c r="B68" s="12"/>
      <c r="C68" s="9"/>
      <c r="D68" s="9"/>
      <c r="E68" s="9"/>
      <c r="F68" s="10"/>
      <c r="G68" s="11"/>
      <c r="H68" s="34">
        <f t="shared" si="12"/>
        <v>0</v>
      </c>
      <c r="I68" s="34">
        <f t="shared" si="13"/>
        <v>0</v>
      </c>
      <c r="J68" s="34">
        <f t="shared" si="14"/>
        <v>0</v>
      </c>
      <c r="K68" s="34">
        <f t="shared" si="15"/>
        <v>0</v>
      </c>
    </row>
    <row r="69" spans="1:14" x14ac:dyDescent="0.25">
      <c r="B69" s="12" t="s">
        <v>53</v>
      </c>
      <c r="C69" s="9">
        <v>6278</v>
      </c>
      <c r="D69" s="9">
        <v>3503</v>
      </c>
      <c r="E69" s="9">
        <v>1751</v>
      </c>
      <c r="F69" s="10">
        <v>1820</v>
      </c>
      <c r="G69" s="11"/>
      <c r="H69" s="34">
        <f t="shared" si="12"/>
        <v>1.3947320539328977E-3</v>
      </c>
      <c r="I69" s="34">
        <f t="shared" si="13"/>
        <v>8.5267055297498777E-4</v>
      </c>
      <c r="J69" s="34">
        <f t="shared" si="14"/>
        <v>5.4470382079710921E-4</v>
      </c>
      <c r="K69" s="34">
        <f t="shared" si="15"/>
        <v>6.6636789952050806E-4</v>
      </c>
    </row>
    <row r="70" spans="1:14" x14ac:dyDescent="0.25">
      <c r="B70" s="8" t="s">
        <v>54</v>
      </c>
      <c r="C70" s="13">
        <f>SUM(C69:C69)</f>
        <v>6278</v>
      </c>
      <c r="D70" s="13">
        <f>SUM(D69:D69)</f>
        <v>3503</v>
      </c>
      <c r="E70" s="13">
        <f>SUM(E69:E69)</f>
        <v>1751</v>
      </c>
      <c r="F70" s="14">
        <f>SUM(F69:F69)</f>
        <v>1820</v>
      </c>
      <c r="G70" s="17"/>
      <c r="H70" s="34">
        <f t="shared" si="12"/>
        <v>1.3947320539328977E-3</v>
      </c>
      <c r="I70" s="34">
        <f t="shared" si="13"/>
        <v>8.5267055297498777E-4</v>
      </c>
      <c r="J70" s="34">
        <f t="shared" si="14"/>
        <v>5.4470382079710921E-4</v>
      </c>
      <c r="K70" s="34">
        <f t="shared" si="15"/>
        <v>6.6636789952050806E-4</v>
      </c>
    </row>
    <row r="71" spans="1:14" x14ac:dyDescent="0.25">
      <c r="B71" s="12"/>
      <c r="C71" s="9"/>
      <c r="D71" s="9"/>
      <c r="E71" s="9"/>
      <c r="F71" s="10"/>
      <c r="G71" s="11"/>
      <c r="H71" s="34">
        <f>C71/$C$54</f>
        <v>0</v>
      </c>
      <c r="I71" s="34">
        <f t="shared" si="13"/>
        <v>0</v>
      </c>
      <c r="J71" s="34">
        <f t="shared" si="14"/>
        <v>0</v>
      </c>
      <c r="K71" s="34">
        <f t="shared" si="15"/>
        <v>0</v>
      </c>
    </row>
    <row r="72" spans="1:14" x14ac:dyDescent="0.25">
      <c r="B72" s="8" t="s">
        <v>55</v>
      </c>
      <c r="C72" s="13">
        <f>C67+C70</f>
        <v>769867</v>
      </c>
      <c r="D72" s="13">
        <f>D67+D70</f>
        <v>714303</v>
      </c>
      <c r="E72" s="13">
        <f>E67+E70</f>
        <v>534471</v>
      </c>
      <c r="F72" s="14">
        <f>F67+F70</f>
        <v>457685</v>
      </c>
      <c r="G72" s="17"/>
      <c r="H72" s="34">
        <f t="shared" si="12"/>
        <v>0.17103507202375887</v>
      </c>
      <c r="I72" s="34">
        <f t="shared" si="13"/>
        <v>0.17386957864735733</v>
      </c>
      <c r="J72" s="34">
        <f t="shared" si="14"/>
        <v>0.16626407527427284</v>
      </c>
      <c r="K72" s="34">
        <f t="shared" si="15"/>
        <v>0.16757505060002401</v>
      </c>
    </row>
    <row r="73" spans="1:14" x14ac:dyDescent="0.25">
      <c r="B73" s="12"/>
      <c r="C73" s="9"/>
      <c r="D73" s="9"/>
      <c r="E73" s="9"/>
      <c r="F73" s="10"/>
      <c r="G73" s="11"/>
      <c r="H73" s="34">
        <f t="shared" si="12"/>
        <v>0</v>
      </c>
      <c r="I73" s="34">
        <f t="shared" si="13"/>
        <v>0</v>
      </c>
      <c r="J73" s="34">
        <f t="shared" si="14"/>
        <v>0</v>
      </c>
      <c r="K73" s="34">
        <f t="shared" si="15"/>
        <v>0</v>
      </c>
    </row>
    <row r="74" spans="1:14" x14ac:dyDescent="0.25">
      <c r="B74" s="12" t="s">
        <v>56</v>
      </c>
      <c r="C74" s="9">
        <v>-294265</v>
      </c>
      <c r="D74" s="9">
        <v>-268929</v>
      </c>
      <c r="E74" s="9">
        <v>-207033</v>
      </c>
      <c r="F74" s="10">
        <v>-179685</v>
      </c>
      <c r="G74" s="11"/>
      <c r="H74" s="34">
        <f t="shared" si="12"/>
        <v>-6.537445489814657E-2</v>
      </c>
      <c r="I74" s="34">
        <f t="shared" si="13"/>
        <v>-6.5460416540396943E-2</v>
      </c>
      <c r="J74" s="34">
        <f t="shared" si="14"/>
        <v>-6.4404149703648148E-2</v>
      </c>
      <c r="K74" s="34">
        <f t="shared" si="15"/>
        <v>-6.5789184629309064E-2</v>
      </c>
    </row>
    <row r="75" spans="1:14" x14ac:dyDescent="0.25">
      <c r="B75" s="21" t="s">
        <v>57</v>
      </c>
      <c r="C75" s="22">
        <f>SUM(C72:C74)</f>
        <v>475602</v>
      </c>
      <c r="D75" s="22">
        <f>SUM(D72:D74)</f>
        <v>445374</v>
      </c>
      <c r="E75" s="22">
        <f>SUM(E72:E74)</f>
        <v>327438</v>
      </c>
      <c r="F75" s="23">
        <f>SUM(F72:F74)</f>
        <v>278000</v>
      </c>
      <c r="G75" s="28"/>
      <c r="H75" s="34">
        <f t="shared" si="12"/>
        <v>0.10566061712561231</v>
      </c>
      <c r="I75" s="34">
        <f t="shared" si="13"/>
        <v>0.10840916210696037</v>
      </c>
      <c r="J75" s="34">
        <f t="shared" si="14"/>
        <v>0.10185992557062469</v>
      </c>
      <c r="K75" s="34">
        <f t="shared" si="15"/>
        <v>0.10178586597071496</v>
      </c>
    </row>
    <row r="76" spans="1:14" x14ac:dyDescent="0.25">
      <c r="C76" s="29"/>
      <c r="D76" s="29"/>
      <c r="E76" s="29"/>
      <c r="F76" s="29"/>
      <c r="G76" s="11"/>
    </row>
    <row r="77" spans="1:14" x14ac:dyDescent="0.25">
      <c r="B77" s="38" t="s">
        <v>64</v>
      </c>
      <c r="C77" s="39">
        <f>C67+C62</f>
        <v>893957</v>
      </c>
      <c r="D77" s="39">
        <f t="shared" ref="D77:E77" si="16">D67+D62</f>
        <v>821274</v>
      </c>
      <c r="E77" s="39">
        <f t="shared" si="16"/>
        <v>628774</v>
      </c>
      <c r="F77" s="39">
        <f>F67+F62</f>
        <v>539995</v>
      </c>
      <c r="G77" s="11"/>
      <c r="H77" s="2" t="s">
        <v>65</v>
      </c>
      <c r="N77" s="3"/>
    </row>
    <row r="78" spans="1:14" s="3" customFormat="1" x14ac:dyDescent="0.25">
      <c r="A78" s="2"/>
      <c r="B78" s="2"/>
      <c r="C78" s="29"/>
      <c r="D78" s="29"/>
      <c r="E78" s="29"/>
      <c r="F78" s="29"/>
      <c r="G78" s="11"/>
      <c r="H78" s="2"/>
      <c r="K78" s="2"/>
    </row>
    <row r="79" spans="1:14" s="3" customFormat="1" x14ac:dyDescent="0.25">
      <c r="A79" s="2"/>
      <c r="B79" s="44" t="s">
        <v>83</v>
      </c>
      <c r="C79" s="44"/>
      <c r="D79" s="29"/>
      <c r="E79" s="29"/>
      <c r="F79" s="29"/>
      <c r="G79" s="11"/>
      <c r="H79" s="45" t="s">
        <v>87</v>
      </c>
      <c r="I79" s="45"/>
      <c r="J79" s="45" t="s">
        <v>90</v>
      </c>
      <c r="K79" s="45"/>
    </row>
    <row r="80" spans="1:14" s="3" customFormat="1" x14ac:dyDescent="0.25">
      <c r="A80" s="2"/>
      <c r="B80" s="41" t="s">
        <v>66</v>
      </c>
      <c r="C80" s="42">
        <f>C57/C8</f>
        <v>99.969088612643759</v>
      </c>
      <c r="D80" s="42">
        <f>D57/D8</f>
        <v>92.681581007044088</v>
      </c>
      <c r="E80" s="42">
        <f t="shared" ref="E80:F80" si="17">E57/E8</f>
        <v>82.299448022079119</v>
      </c>
      <c r="F80" s="42">
        <f t="shared" si="17"/>
        <v>80.299477289113199</v>
      </c>
      <c r="G80" s="11"/>
      <c r="H80" s="45"/>
      <c r="I80" s="45"/>
      <c r="J80" s="45"/>
      <c r="K80" s="45"/>
    </row>
    <row r="81" spans="1:11" s="3" customFormat="1" x14ac:dyDescent="0.25">
      <c r="A81" s="2"/>
      <c r="B81" s="40" t="s">
        <v>67</v>
      </c>
      <c r="C81" s="42">
        <f>365/C80</f>
        <v>3.6511286145089055</v>
      </c>
      <c r="D81" s="42">
        <f>365/D80</f>
        <v>3.938215080429615</v>
      </c>
      <c r="E81" s="42">
        <f t="shared" ref="E81:F81" si="18">365/E80</f>
        <v>4.4350236699288503</v>
      </c>
      <c r="F81" s="42">
        <f t="shared" si="18"/>
        <v>4.5454841341723871</v>
      </c>
      <c r="G81" s="11"/>
      <c r="H81" s="45"/>
      <c r="I81" s="45"/>
      <c r="J81" s="45" t="s">
        <v>89</v>
      </c>
      <c r="K81" s="45"/>
    </row>
    <row r="82" spans="1:11" s="3" customFormat="1" x14ac:dyDescent="0.25">
      <c r="A82" s="2"/>
      <c r="B82" s="40" t="s">
        <v>68</v>
      </c>
      <c r="C82" s="42" t="s">
        <v>84</v>
      </c>
      <c r="D82" s="42" t="s">
        <v>84</v>
      </c>
      <c r="E82" s="42" t="s">
        <v>84</v>
      </c>
      <c r="F82" s="42" t="s">
        <v>84</v>
      </c>
      <c r="G82" s="11"/>
      <c r="H82" s="45" t="s">
        <v>88</v>
      </c>
      <c r="I82" s="45"/>
      <c r="J82" s="45"/>
      <c r="K82" s="45"/>
    </row>
    <row r="83" spans="1:11" s="3" customFormat="1" x14ac:dyDescent="0.25">
      <c r="A83" s="2"/>
      <c r="B83" s="40" t="s">
        <v>69</v>
      </c>
      <c r="C83" s="42" t="s">
        <v>84</v>
      </c>
      <c r="D83" s="42" t="s">
        <v>84</v>
      </c>
      <c r="E83" s="42" t="s">
        <v>84</v>
      </c>
      <c r="F83" s="42" t="s">
        <v>84</v>
      </c>
      <c r="G83" s="11"/>
      <c r="H83" s="45"/>
      <c r="I83" s="45"/>
      <c r="J83" s="45"/>
      <c r="K83" s="45"/>
    </row>
    <row r="84" spans="1:11" s="3" customFormat="1" x14ac:dyDescent="0.25">
      <c r="A84" s="2"/>
      <c r="B84" s="40" t="s">
        <v>70</v>
      </c>
      <c r="C84" s="42">
        <f>C54/C20</f>
        <v>2.3561443850799222</v>
      </c>
      <c r="D84" s="42">
        <f t="shared" ref="D84:F84" si="19">D54/D20</f>
        <v>2.4632775034986083</v>
      </c>
      <c r="E84" s="42">
        <f t="shared" si="19"/>
        <v>2.3936378467772621</v>
      </c>
      <c r="F84" s="42">
        <f t="shared" si="19"/>
        <v>2.4341158226832791</v>
      </c>
      <c r="G84" s="11"/>
      <c r="H84" s="45"/>
      <c r="I84" s="45"/>
      <c r="J84" s="45"/>
      <c r="K84" s="45"/>
    </row>
    <row r="85" spans="1:11" s="3" customFormat="1" x14ac:dyDescent="0.25">
      <c r="A85" s="2"/>
      <c r="B85" s="40" t="s">
        <v>71</v>
      </c>
      <c r="C85" s="42">
        <f>C54/C22</f>
        <v>1.6517849475939299</v>
      </c>
      <c r="D85" s="42">
        <f t="shared" ref="D85:F85" si="20">D54/D22</f>
        <v>1.6255455884639718</v>
      </c>
      <c r="E85" s="42">
        <f t="shared" si="20"/>
        <v>1.5998720934862238</v>
      </c>
      <c r="F85" s="42">
        <f t="shared" si="20"/>
        <v>1.6367699487075611</v>
      </c>
      <c r="G85" s="11"/>
      <c r="H85" s="45"/>
      <c r="I85" s="45"/>
      <c r="J85" s="45"/>
      <c r="K85" s="45"/>
    </row>
    <row r="86" spans="1:11" s="3" customFormat="1" x14ac:dyDescent="0.25">
      <c r="A86" s="2"/>
      <c r="B86" s="40" t="s">
        <v>72</v>
      </c>
      <c r="C86" s="42">
        <f>C13/C28</f>
        <v>2.9100563688192556</v>
      </c>
      <c r="D86" s="42">
        <f t="shared" ref="D86:F86" si="21">D13/D28</f>
        <v>3.4980708965854057</v>
      </c>
      <c r="E86" s="42">
        <f t="shared" si="21"/>
        <v>3.3444445559861062</v>
      </c>
      <c r="F86" s="42">
        <f t="shared" si="21"/>
        <v>2.9253473337186651</v>
      </c>
      <c r="G86" s="11"/>
      <c r="H86" s="2"/>
      <c r="K86" s="2"/>
    </row>
    <row r="87" spans="1:11" s="3" customFormat="1" x14ac:dyDescent="0.25">
      <c r="A87" s="2"/>
      <c r="B87" s="40" t="s">
        <v>73</v>
      </c>
      <c r="C87" s="42">
        <f>(C13-C8)/C28</f>
        <v>2.8563202377635366</v>
      </c>
      <c r="D87" s="42">
        <f t="shared" ref="D87:F87" si="22">(D13-D8)/D28</f>
        <v>3.4356721338162877</v>
      </c>
      <c r="E87" s="42">
        <f t="shared" si="22"/>
        <v>3.2789718312686973</v>
      </c>
      <c r="F87" s="42">
        <f t="shared" si="22"/>
        <v>2.8659634363025281</v>
      </c>
      <c r="G87" s="11"/>
      <c r="H87" s="2"/>
      <c r="K87" s="2"/>
    </row>
    <row r="88" spans="1:11" s="3" customFormat="1" x14ac:dyDescent="0.25">
      <c r="A88" s="2"/>
      <c r="B88" s="40" t="s">
        <v>74</v>
      </c>
      <c r="C88" s="42"/>
      <c r="D88" s="42"/>
      <c r="E88" s="42"/>
      <c r="F88" s="42"/>
      <c r="G88" s="11"/>
      <c r="H88" s="2"/>
      <c r="K88" s="2"/>
    </row>
    <row r="89" spans="1:11" s="3" customFormat="1" x14ac:dyDescent="0.25">
      <c r="A89" s="2"/>
      <c r="B89" s="40" t="s">
        <v>75</v>
      </c>
      <c r="D89" s="42"/>
      <c r="E89" s="42"/>
      <c r="F89" s="42"/>
      <c r="G89" s="11"/>
      <c r="H89" s="2"/>
      <c r="K89" s="2"/>
    </row>
    <row r="90" spans="1:11" s="3" customFormat="1" x14ac:dyDescent="0.25">
      <c r="A90" s="2"/>
      <c r="B90" s="40" t="s">
        <v>76</v>
      </c>
      <c r="C90" s="42"/>
      <c r="D90" s="42"/>
      <c r="E90" s="42"/>
      <c r="F90" s="42"/>
      <c r="G90" s="11"/>
      <c r="H90" s="2"/>
      <c r="K90" s="2"/>
    </row>
    <row r="91" spans="1:11" s="3" customFormat="1" x14ac:dyDescent="0.25">
      <c r="A91" s="2"/>
      <c r="B91" s="40" t="s">
        <v>77</v>
      </c>
      <c r="C91" s="42">
        <f>C22/C43</f>
        <v>1.2805917741476165</v>
      </c>
      <c r="D91" s="42">
        <f t="shared" ref="D91:F91" si="23">D22/D43</f>
        <v>1.2558914393930736</v>
      </c>
      <c r="E91" s="42">
        <f t="shared" si="23"/>
        <v>1.306179337029217</v>
      </c>
      <c r="F91" s="42">
        <f t="shared" si="23"/>
        <v>1.3392986421344446</v>
      </c>
      <c r="G91" s="11"/>
      <c r="H91" s="2"/>
      <c r="K91" s="2"/>
    </row>
    <row r="92" spans="1:11" s="3" customFormat="1" x14ac:dyDescent="0.25">
      <c r="A92" s="2"/>
      <c r="B92" s="40" t="s">
        <v>78</v>
      </c>
      <c r="C92" s="42"/>
      <c r="D92" s="42"/>
      <c r="E92" s="42"/>
      <c r="F92" s="42"/>
      <c r="G92" s="11"/>
      <c r="H92" s="2"/>
      <c r="K92" s="2"/>
    </row>
    <row r="93" spans="1:11" s="3" customFormat="1" x14ac:dyDescent="0.25">
      <c r="A93" s="2"/>
      <c r="B93" s="40" t="s">
        <v>79</v>
      </c>
      <c r="C93" s="42"/>
      <c r="D93" s="42"/>
      <c r="E93" s="42"/>
      <c r="F93" s="42"/>
      <c r="G93" s="11"/>
      <c r="H93" s="2"/>
      <c r="K93" s="2"/>
    </row>
    <row r="94" spans="1:11" s="3" customFormat="1" x14ac:dyDescent="0.25">
      <c r="A94" s="2"/>
      <c r="B94" s="40" t="s">
        <v>80</v>
      </c>
      <c r="C94" s="42"/>
      <c r="D94" s="42"/>
      <c r="E94" s="42"/>
      <c r="F94" s="42"/>
      <c r="G94" s="11"/>
      <c r="H94" s="2"/>
      <c r="K94" s="2"/>
    </row>
    <row r="95" spans="1:11" s="3" customFormat="1" x14ac:dyDescent="0.25">
      <c r="A95" s="2"/>
      <c r="B95" s="40" t="s">
        <v>81</v>
      </c>
      <c r="C95" s="42">
        <f>C75/C22</f>
        <v>0.17452861692157182</v>
      </c>
      <c r="D95" s="42">
        <f t="shared" ref="D95:F95" si="24">D75/D22</f>
        <v>0.17622403521204502</v>
      </c>
      <c r="E95" s="42">
        <f t="shared" si="24"/>
        <v>0.16296285236502628</v>
      </c>
      <c r="F95" s="42">
        <f t="shared" si="24"/>
        <v>0.16660004662404182</v>
      </c>
      <c r="G95" s="11"/>
      <c r="H95" s="2"/>
      <c r="K95" s="2"/>
    </row>
    <row r="96" spans="1:11" s="3" customFormat="1" x14ac:dyDescent="0.25">
      <c r="A96" s="2"/>
      <c r="B96" s="40" t="s">
        <v>82</v>
      </c>
      <c r="C96" s="42">
        <f>C75/C43</f>
        <v>0.22349991118312537</v>
      </c>
      <c r="D96" s="42">
        <f t="shared" ref="D96:F96" si="25">D75/D43</f>
        <v>0.22131825723811091</v>
      </c>
      <c r="E96" s="42">
        <f t="shared" si="25"/>
        <v>0.21285871046254018</v>
      </c>
      <c r="F96" s="42">
        <f t="shared" si="25"/>
        <v>0.22312721622311438</v>
      </c>
      <c r="G96" s="11"/>
      <c r="H96" s="2"/>
      <c r="K96" s="2"/>
    </row>
    <row r="97" spans="1:11" s="3" customFormat="1" x14ac:dyDescent="0.25">
      <c r="A97" s="2"/>
      <c r="B97" s="2"/>
      <c r="C97" s="29"/>
      <c r="D97" s="29"/>
      <c r="E97" s="29"/>
      <c r="F97" s="29"/>
      <c r="G97" s="11"/>
      <c r="H97" s="2"/>
      <c r="K97" s="2"/>
    </row>
    <row r="98" spans="1:11" s="3" customFormat="1" x14ac:dyDescent="0.25">
      <c r="A98" s="2"/>
      <c r="B98" s="2"/>
      <c r="C98" s="29"/>
      <c r="D98" s="29"/>
      <c r="E98" s="29"/>
      <c r="F98" s="29"/>
      <c r="G98" s="11"/>
      <c r="H98" s="2"/>
      <c r="K98" s="2"/>
    </row>
    <row r="99" spans="1:11" s="3" customFormat="1" x14ac:dyDescent="0.25">
      <c r="A99" s="2"/>
      <c r="B99" s="2"/>
      <c r="C99" s="29"/>
      <c r="D99" s="29"/>
      <c r="E99" s="29"/>
      <c r="F99" s="29"/>
      <c r="G99" s="11"/>
      <c r="H99" s="2"/>
      <c r="K99" s="2"/>
    </row>
    <row r="100" spans="1:11" s="3" customFormat="1" x14ac:dyDescent="0.25">
      <c r="A100" s="2"/>
      <c r="B100" s="2"/>
      <c r="C100" s="29"/>
      <c r="D100" s="29"/>
      <c r="E100" s="29"/>
      <c r="F100" s="29"/>
      <c r="G100" s="11"/>
      <c r="H100" s="2"/>
      <c r="K100" s="2"/>
    </row>
    <row r="101" spans="1:11" s="3" customFormat="1" x14ac:dyDescent="0.25">
      <c r="A101" s="2"/>
      <c r="B101" s="2"/>
      <c r="C101" s="29"/>
      <c r="D101" s="29"/>
      <c r="E101" s="29"/>
      <c r="F101" s="29"/>
      <c r="G101" s="11"/>
      <c r="H101" s="2"/>
      <c r="K101" s="2"/>
    </row>
    <row r="102" spans="1:11" s="3" customFormat="1" x14ac:dyDescent="0.25">
      <c r="A102" s="2"/>
      <c r="B102" s="2"/>
      <c r="C102" s="29"/>
      <c r="D102" s="29"/>
      <c r="E102" s="29"/>
      <c r="F102" s="29"/>
      <c r="G102" s="11"/>
      <c r="H102" s="2"/>
      <c r="K102" s="2"/>
    </row>
    <row r="103" spans="1:11" s="3" customFormat="1" x14ac:dyDescent="0.25">
      <c r="A103" s="2"/>
      <c r="B103" s="2"/>
      <c r="C103" s="29"/>
      <c r="D103" s="29"/>
      <c r="E103" s="29"/>
      <c r="F103" s="29"/>
      <c r="G103" s="11"/>
      <c r="H103" s="2"/>
      <c r="K103" s="2"/>
    </row>
    <row r="104" spans="1:11" s="3" customFormat="1" x14ac:dyDescent="0.25">
      <c r="A104" s="2"/>
      <c r="B104" s="2"/>
      <c r="C104" s="29"/>
      <c r="D104" s="29"/>
      <c r="E104" s="29"/>
      <c r="F104" s="29"/>
      <c r="G104" s="11"/>
      <c r="H104" s="2"/>
      <c r="K104" s="2"/>
    </row>
    <row r="105" spans="1:11" s="3" customFormat="1" x14ac:dyDescent="0.25">
      <c r="A105" s="2"/>
      <c r="B105" s="2"/>
      <c r="C105" s="29"/>
      <c r="D105" s="29"/>
      <c r="E105" s="29"/>
      <c r="F105" s="29"/>
      <c r="G105" s="11"/>
      <c r="H105" s="2"/>
      <c r="K105" s="2"/>
    </row>
    <row r="106" spans="1:11" s="3" customFormat="1" x14ac:dyDescent="0.25">
      <c r="A106" s="2"/>
      <c r="B106" s="2"/>
      <c r="C106" s="29"/>
      <c r="D106" s="29"/>
      <c r="E106" s="29"/>
      <c r="F106" s="29"/>
      <c r="G106" s="11"/>
      <c r="H106" s="2"/>
      <c r="K106" s="2"/>
    </row>
    <row r="107" spans="1:11" s="3" customFormat="1" x14ac:dyDescent="0.25">
      <c r="A107" s="2"/>
      <c r="B107" s="2"/>
      <c r="C107" s="29"/>
      <c r="D107" s="29"/>
      <c r="E107" s="29"/>
      <c r="F107" s="29"/>
      <c r="G107" s="11"/>
      <c r="H107" s="2"/>
      <c r="K107" s="2"/>
    </row>
    <row r="108" spans="1:11" s="3" customFormat="1" x14ac:dyDescent="0.25">
      <c r="A108" s="2"/>
      <c r="B108" s="2"/>
      <c r="C108" s="29"/>
      <c r="D108" s="29"/>
      <c r="E108" s="29"/>
      <c r="F108" s="29"/>
      <c r="G108" s="11"/>
      <c r="H108" s="2"/>
      <c r="K108" s="2"/>
    </row>
    <row r="109" spans="1:11" s="3" customFormat="1" x14ac:dyDescent="0.25">
      <c r="A109" s="2"/>
      <c r="B109" s="2"/>
      <c r="C109" s="29"/>
      <c r="D109" s="29"/>
      <c r="E109" s="29"/>
      <c r="F109" s="29"/>
      <c r="G109" s="11"/>
      <c r="H109" s="2"/>
      <c r="K109" s="2"/>
    </row>
    <row r="110" spans="1:11" s="3" customFormat="1" x14ac:dyDescent="0.25">
      <c r="A110" s="2"/>
      <c r="B110" s="2"/>
      <c r="C110" s="29"/>
      <c r="D110" s="29"/>
      <c r="E110" s="29"/>
      <c r="F110" s="29"/>
      <c r="G110" s="11"/>
      <c r="H110" s="2"/>
      <c r="K110" s="2"/>
    </row>
    <row r="111" spans="1:11" s="3" customFormat="1" x14ac:dyDescent="0.25">
      <c r="A111" s="2"/>
      <c r="B111" s="2"/>
      <c r="C111" s="29"/>
      <c r="D111" s="29"/>
      <c r="E111" s="29"/>
      <c r="F111" s="29"/>
      <c r="G111" s="11"/>
      <c r="H111" s="2"/>
      <c r="K111" s="2"/>
    </row>
    <row r="112" spans="1:11" s="3" customFormat="1" x14ac:dyDescent="0.25">
      <c r="A112" s="2"/>
      <c r="B112" s="2"/>
      <c r="C112" s="29"/>
      <c r="D112" s="29"/>
      <c r="E112" s="29"/>
      <c r="F112" s="29"/>
      <c r="G112" s="11"/>
      <c r="H112" s="2"/>
      <c r="K112" s="2"/>
    </row>
    <row r="113" spans="1:11" s="3" customFormat="1" x14ac:dyDescent="0.25">
      <c r="A113" s="2"/>
      <c r="B113" s="2"/>
      <c r="C113" s="29"/>
      <c r="D113" s="29"/>
      <c r="E113" s="29"/>
      <c r="F113" s="29"/>
      <c r="G113" s="11"/>
      <c r="H113" s="2"/>
      <c r="K113" s="2"/>
    </row>
    <row r="114" spans="1:11" s="3" customFormat="1" x14ac:dyDescent="0.25">
      <c r="A114" s="2"/>
      <c r="B114" s="2"/>
      <c r="C114" s="29"/>
      <c r="D114" s="29"/>
      <c r="E114" s="29"/>
      <c r="F114" s="29"/>
      <c r="G114" s="11"/>
      <c r="H114" s="2"/>
      <c r="K114" s="2"/>
    </row>
    <row r="115" spans="1:11" s="3" customFormat="1" x14ac:dyDescent="0.25">
      <c r="A115" s="2"/>
      <c r="B115" s="2"/>
      <c r="C115" s="29"/>
      <c r="D115" s="29"/>
      <c r="E115" s="29"/>
      <c r="F115" s="29"/>
      <c r="G115" s="11"/>
      <c r="H115" s="2"/>
      <c r="K115" s="2"/>
    </row>
    <row r="116" spans="1:11" s="3" customFormat="1" x14ac:dyDescent="0.25">
      <c r="A116" s="2"/>
      <c r="B116" s="2"/>
      <c r="C116" s="29"/>
      <c r="D116" s="29"/>
      <c r="E116" s="29"/>
      <c r="F116" s="29"/>
      <c r="G116" s="11"/>
      <c r="H116" s="2"/>
      <c r="K116" s="2"/>
    </row>
    <row r="117" spans="1:11" s="3" customFormat="1" x14ac:dyDescent="0.25">
      <c r="A117" s="2"/>
      <c r="B117" s="2"/>
      <c r="C117" s="29"/>
      <c r="D117" s="29"/>
      <c r="E117" s="29"/>
      <c r="F117" s="29"/>
      <c r="G117" s="11"/>
      <c r="H117" s="2"/>
      <c r="K117" s="2"/>
    </row>
    <row r="118" spans="1:11" s="3" customFormat="1" x14ac:dyDescent="0.25">
      <c r="A118" s="2"/>
      <c r="B118" s="2"/>
      <c r="C118" s="29"/>
      <c r="D118" s="29"/>
      <c r="E118" s="29"/>
      <c r="F118" s="29"/>
      <c r="G118" s="11"/>
      <c r="H118" s="2"/>
      <c r="K118" s="2"/>
    </row>
    <row r="119" spans="1:11" s="3" customFormat="1" x14ac:dyDescent="0.25">
      <c r="A119" s="2"/>
      <c r="B119" s="2"/>
      <c r="C119" s="29"/>
      <c r="D119" s="29"/>
      <c r="E119" s="29"/>
      <c r="F119" s="29"/>
      <c r="G119" s="11"/>
      <c r="H119" s="2"/>
      <c r="K119" s="2"/>
    </row>
    <row r="120" spans="1:11" s="3" customFormat="1" x14ac:dyDescent="0.25">
      <c r="A120" s="2"/>
      <c r="B120" s="2"/>
      <c r="C120" s="29"/>
      <c r="D120" s="29"/>
      <c r="E120" s="29"/>
      <c r="F120" s="29"/>
      <c r="G120" s="11"/>
      <c r="H120" s="2"/>
      <c r="K120" s="2"/>
    </row>
    <row r="121" spans="1:11" s="3" customFormat="1" x14ac:dyDescent="0.25">
      <c r="A121" s="2"/>
      <c r="B121" s="2"/>
      <c r="C121" s="29"/>
      <c r="D121" s="29"/>
      <c r="E121" s="29"/>
      <c r="F121" s="29"/>
      <c r="G121" s="11"/>
      <c r="H121" s="2"/>
      <c r="K121" s="2"/>
    </row>
    <row r="122" spans="1:11" s="3" customFormat="1" x14ac:dyDescent="0.25">
      <c r="A122" s="2"/>
      <c r="B122" s="2"/>
      <c r="C122" s="29"/>
      <c r="D122" s="29"/>
      <c r="E122" s="29"/>
      <c r="F122" s="29"/>
      <c r="G122" s="11"/>
      <c r="H122" s="2"/>
      <c r="K122" s="2"/>
    </row>
    <row r="123" spans="1:11" s="3" customFormat="1" x14ac:dyDescent="0.25">
      <c r="A123" s="2"/>
      <c r="B123" s="2"/>
      <c r="C123" s="29"/>
      <c r="D123" s="29"/>
      <c r="E123" s="29"/>
      <c r="F123" s="29"/>
      <c r="G123" s="11"/>
      <c r="H123" s="2"/>
      <c r="K123" s="2"/>
    </row>
    <row r="124" spans="1:11" s="3" customFormat="1" x14ac:dyDescent="0.25">
      <c r="A124" s="2"/>
      <c r="B124" s="2"/>
      <c r="C124" s="29"/>
      <c r="D124" s="29"/>
      <c r="E124" s="29"/>
      <c r="F124" s="29"/>
      <c r="G124" s="11"/>
      <c r="H124" s="2"/>
      <c r="K124" s="2"/>
    </row>
    <row r="125" spans="1:11" s="3" customFormat="1" x14ac:dyDescent="0.25">
      <c r="A125" s="2"/>
      <c r="B125" s="2"/>
      <c r="C125" s="29"/>
      <c r="D125" s="29"/>
      <c r="E125" s="29"/>
      <c r="F125" s="29"/>
      <c r="G125" s="11"/>
      <c r="H125" s="2"/>
      <c r="K125" s="2"/>
    </row>
    <row r="126" spans="1:11" s="3" customFormat="1" x14ac:dyDescent="0.25">
      <c r="A126" s="2"/>
      <c r="B126" s="2"/>
      <c r="C126" s="29"/>
      <c r="D126" s="29"/>
      <c r="E126" s="29"/>
      <c r="F126" s="29"/>
      <c r="G126" s="11"/>
      <c r="H126" s="2"/>
      <c r="K126" s="2"/>
    </row>
    <row r="127" spans="1:11" s="3" customFormat="1" x14ac:dyDescent="0.25">
      <c r="A127" s="2"/>
      <c r="B127" s="2"/>
      <c r="C127" s="29"/>
      <c r="D127" s="29"/>
      <c r="E127" s="29"/>
      <c r="F127" s="29"/>
      <c r="G127" s="11"/>
      <c r="H127" s="2"/>
      <c r="K127" s="2"/>
    </row>
    <row r="128" spans="1:11" s="3" customFormat="1" x14ac:dyDescent="0.25">
      <c r="A128" s="2"/>
      <c r="B128" s="2"/>
      <c r="C128" s="29"/>
      <c r="D128" s="29"/>
      <c r="E128" s="29"/>
      <c r="F128" s="29"/>
      <c r="G128" s="11"/>
      <c r="H128" s="2"/>
      <c r="K128" s="2"/>
    </row>
    <row r="129" spans="1:11" s="3" customFormat="1" x14ac:dyDescent="0.25">
      <c r="A129" s="2"/>
      <c r="B129" s="2"/>
      <c r="C129" s="29"/>
      <c r="D129" s="29"/>
      <c r="E129" s="29"/>
      <c r="F129" s="29"/>
      <c r="G129" s="11"/>
      <c r="H129" s="2"/>
      <c r="K129" s="2"/>
    </row>
    <row r="130" spans="1:11" s="3" customFormat="1" x14ac:dyDescent="0.25">
      <c r="A130" s="2"/>
      <c r="B130" s="2"/>
      <c r="C130" s="29"/>
      <c r="D130" s="29"/>
      <c r="E130" s="29"/>
      <c r="F130" s="29"/>
      <c r="G130" s="11"/>
      <c r="H130" s="2"/>
      <c r="K130" s="2"/>
    </row>
    <row r="131" spans="1:11" s="3" customFormat="1" x14ac:dyDescent="0.25">
      <c r="A131" s="2"/>
      <c r="B131" s="2"/>
      <c r="C131" s="29"/>
      <c r="D131" s="29"/>
      <c r="E131" s="29"/>
      <c r="F131" s="29"/>
      <c r="G131" s="11"/>
      <c r="H131" s="2"/>
      <c r="K131" s="2"/>
    </row>
    <row r="132" spans="1:11" s="3" customFormat="1" x14ac:dyDescent="0.25">
      <c r="A132" s="2"/>
      <c r="B132" s="2"/>
      <c r="C132" s="29"/>
      <c r="D132" s="29"/>
      <c r="E132" s="29"/>
      <c r="F132" s="29"/>
      <c r="G132" s="11"/>
      <c r="H132" s="2"/>
      <c r="K132" s="2"/>
    </row>
    <row r="133" spans="1:11" s="3" customFormat="1" x14ac:dyDescent="0.25">
      <c r="A133" s="2"/>
      <c r="B133" s="2"/>
      <c r="C133" s="29"/>
      <c r="D133" s="29"/>
      <c r="E133" s="29"/>
      <c r="F133" s="29"/>
      <c r="G133" s="11"/>
      <c r="H133" s="2"/>
      <c r="K133" s="2"/>
    </row>
    <row r="134" spans="1:11" s="3" customFormat="1" x14ac:dyDescent="0.25">
      <c r="A134" s="2"/>
      <c r="B134" s="2"/>
      <c r="C134" s="29"/>
      <c r="D134" s="29"/>
      <c r="E134" s="29"/>
      <c r="F134" s="29"/>
      <c r="G134" s="11"/>
      <c r="H134" s="2"/>
      <c r="K134" s="2"/>
    </row>
    <row r="135" spans="1:11" s="3" customFormat="1" x14ac:dyDescent="0.25">
      <c r="A135" s="2"/>
      <c r="B135" s="2"/>
      <c r="C135" s="29"/>
      <c r="D135" s="29"/>
      <c r="E135" s="29"/>
      <c r="F135" s="29"/>
      <c r="G135" s="11"/>
      <c r="H135" s="2"/>
      <c r="K135" s="2"/>
    </row>
    <row r="136" spans="1:11" s="3" customFormat="1" x14ac:dyDescent="0.25">
      <c r="A136" s="2"/>
      <c r="B136" s="2"/>
      <c r="C136" s="29"/>
      <c r="D136" s="29"/>
      <c r="E136" s="29"/>
      <c r="F136" s="29"/>
      <c r="G136" s="11"/>
      <c r="H136" s="2"/>
      <c r="K136" s="2"/>
    </row>
    <row r="137" spans="1:11" s="3" customFormat="1" x14ac:dyDescent="0.25">
      <c r="A137" s="2"/>
      <c r="B137" s="2"/>
      <c r="C137" s="29"/>
      <c r="D137" s="29"/>
      <c r="E137" s="29"/>
      <c r="F137" s="29"/>
      <c r="G137" s="11"/>
      <c r="H137" s="2"/>
      <c r="K137" s="2"/>
    </row>
    <row r="138" spans="1:11" s="3" customFormat="1" x14ac:dyDescent="0.25">
      <c r="A138" s="2"/>
      <c r="B138" s="2"/>
      <c r="C138" s="29"/>
      <c r="D138" s="29"/>
      <c r="E138" s="29"/>
      <c r="F138" s="29"/>
      <c r="G138" s="11"/>
      <c r="H138" s="2"/>
      <c r="K138" s="2"/>
    </row>
    <row r="139" spans="1:11" s="3" customFormat="1" x14ac:dyDescent="0.25">
      <c r="A139" s="2"/>
      <c r="B139" s="2"/>
      <c r="C139" s="29"/>
      <c r="D139" s="29"/>
      <c r="E139" s="29"/>
      <c r="F139" s="29"/>
      <c r="G139" s="11"/>
      <c r="H139" s="2"/>
      <c r="K139" s="2"/>
    </row>
    <row r="140" spans="1:11" s="3" customFormat="1" x14ac:dyDescent="0.25">
      <c r="A140" s="2"/>
      <c r="B140" s="2"/>
      <c r="C140" s="29"/>
      <c r="D140" s="29"/>
      <c r="E140" s="29"/>
      <c r="F140" s="29"/>
      <c r="G140" s="11"/>
      <c r="H140" s="2"/>
      <c r="K140" s="2"/>
    </row>
    <row r="141" spans="1:11" s="3" customFormat="1" x14ac:dyDescent="0.25">
      <c r="A141" s="2"/>
      <c r="B141" s="2"/>
      <c r="C141" s="29"/>
      <c r="D141" s="29"/>
      <c r="E141" s="29"/>
      <c r="F141" s="29"/>
      <c r="G141" s="11"/>
      <c r="H141" s="2"/>
      <c r="K141" s="2"/>
    </row>
    <row r="142" spans="1:11" s="3" customFormat="1" x14ac:dyDescent="0.25">
      <c r="A142" s="2"/>
      <c r="B142" s="2"/>
      <c r="C142" s="29"/>
      <c r="D142" s="29"/>
      <c r="E142" s="29"/>
      <c r="F142" s="29"/>
      <c r="G142" s="11"/>
      <c r="H142" s="2"/>
      <c r="K142" s="2"/>
    </row>
    <row r="143" spans="1:11" s="3" customFormat="1" x14ac:dyDescent="0.25">
      <c r="A143" s="2"/>
      <c r="B143" s="2"/>
      <c r="C143" s="29"/>
      <c r="D143" s="29"/>
      <c r="E143" s="29"/>
      <c r="F143" s="29"/>
      <c r="G143" s="11"/>
      <c r="H143" s="2"/>
      <c r="K143" s="2"/>
    </row>
    <row r="144" spans="1:11" s="3" customFormat="1" x14ac:dyDescent="0.25">
      <c r="A144" s="2"/>
      <c r="B144" s="2"/>
      <c r="C144" s="29"/>
      <c r="D144" s="29"/>
      <c r="E144" s="29"/>
      <c r="F144" s="29"/>
      <c r="G144" s="11"/>
      <c r="H144" s="2"/>
      <c r="K144" s="2"/>
    </row>
    <row r="145" spans="1:14" s="3" customFormat="1" x14ac:dyDescent="0.25">
      <c r="A145" s="2"/>
      <c r="B145" s="2"/>
      <c r="C145" s="29"/>
      <c r="D145" s="29"/>
      <c r="E145" s="29"/>
      <c r="F145" s="29"/>
      <c r="G145" s="11"/>
      <c r="H145" s="2"/>
      <c r="K145" s="2"/>
    </row>
    <row r="146" spans="1:14" s="3" customFormat="1" x14ac:dyDescent="0.25">
      <c r="A146" s="2"/>
      <c r="B146" s="2"/>
      <c r="C146" s="29"/>
      <c r="D146" s="29"/>
      <c r="E146" s="29"/>
      <c r="F146" s="29"/>
      <c r="G146" s="11"/>
      <c r="H146" s="2"/>
      <c r="K146" s="2"/>
    </row>
    <row r="147" spans="1:14" s="3" customFormat="1" x14ac:dyDescent="0.25">
      <c r="A147" s="2"/>
      <c r="B147" s="2"/>
      <c r="C147" s="29"/>
      <c r="D147" s="29"/>
      <c r="E147" s="29"/>
      <c r="F147" s="29"/>
      <c r="G147" s="11"/>
      <c r="H147" s="2"/>
      <c r="K147" s="2"/>
    </row>
    <row r="148" spans="1:14" s="3" customFormat="1" x14ac:dyDescent="0.25">
      <c r="A148" s="2"/>
      <c r="B148" s="2"/>
      <c r="C148" s="29"/>
      <c r="D148" s="29"/>
      <c r="E148" s="29"/>
      <c r="F148" s="29"/>
      <c r="G148" s="11"/>
      <c r="H148" s="2"/>
      <c r="K148" s="2"/>
    </row>
    <row r="149" spans="1:14" s="3" customFormat="1" x14ac:dyDescent="0.25">
      <c r="A149" s="2"/>
      <c r="B149" s="2"/>
      <c r="C149" s="29"/>
      <c r="D149" s="29"/>
      <c r="E149" s="29"/>
      <c r="F149" s="29"/>
      <c r="G149" s="11"/>
      <c r="H149" s="2"/>
      <c r="K149" s="2"/>
    </row>
    <row r="150" spans="1:14" s="3" customFormat="1" x14ac:dyDescent="0.25">
      <c r="A150" s="2"/>
      <c r="B150" s="2"/>
      <c r="C150" s="29"/>
      <c r="D150" s="29"/>
      <c r="E150" s="29"/>
      <c r="F150" s="29"/>
      <c r="G150" s="11"/>
      <c r="H150" s="2"/>
      <c r="K150" s="2"/>
    </row>
    <row r="151" spans="1:14" s="3" customFormat="1" x14ac:dyDescent="0.25">
      <c r="A151" s="2"/>
      <c r="B151" s="2"/>
      <c r="C151" s="29"/>
      <c r="D151" s="29"/>
      <c r="E151" s="29"/>
      <c r="F151" s="29"/>
      <c r="G151" s="11"/>
      <c r="H151" s="2"/>
      <c r="K151" s="2"/>
    </row>
    <row r="152" spans="1:14" s="3" customFormat="1" x14ac:dyDescent="0.25">
      <c r="A152" s="2"/>
      <c r="B152" s="2"/>
      <c r="C152" s="29"/>
      <c r="D152" s="29"/>
      <c r="E152" s="29"/>
      <c r="F152" s="29"/>
      <c r="G152" s="11"/>
      <c r="H152" s="2"/>
      <c r="K152" s="2"/>
      <c r="N152" s="2"/>
    </row>
  </sheetData>
  <mergeCells count="5">
    <mergeCell ref="B79:C79"/>
    <mergeCell ref="H79:I81"/>
    <mergeCell ref="J79:K80"/>
    <mergeCell ref="J81:K85"/>
    <mergeCell ref="H82:I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7"/>
  <sheetViews>
    <sheetView workbookViewId="0">
      <selection activeCell="E79" sqref="E79"/>
    </sheetView>
  </sheetViews>
  <sheetFormatPr baseColWidth="10" defaultColWidth="9.140625" defaultRowHeight="13.5" x14ac:dyDescent="0.25"/>
  <cols>
    <col min="1" max="1" width="9.140625" style="2"/>
    <col min="2" max="2" width="67" style="2" customWidth="1"/>
    <col min="3" max="3" width="9.7109375" style="3" bestFit="1" customWidth="1"/>
    <col min="4" max="4" width="9.140625" style="2"/>
    <col min="5" max="6" width="9.140625" style="3"/>
    <col min="7" max="16384" width="9.140625" style="2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ht="14.25" thickBot="1" x14ac:dyDescent="0.3">
      <c r="B4" s="4"/>
      <c r="C4" s="5">
        <v>2016</v>
      </c>
      <c r="G4" s="7"/>
    </row>
    <row r="5" spans="1:7" x14ac:dyDescent="0.25">
      <c r="B5" s="8" t="s">
        <v>3</v>
      </c>
      <c r="C5" s="9"/>
    </row>
    <row r="6" spans="1:7" x14ac:dyDescent="0.25">
      <c r="B6" s="12" t="s">
        <v>4</v>
      </c>
      <c r="C6" s="9">
        <v>87880</v>
      </c>
      <c r="D6" s="34">
        <f>C6/$C$22</f>
        <v>4.3373905472722761E-2</v>
      </c>
    </row>
    <row r="7" spans="1:7" x14ac:dyDescent="0.25">
      <c r="B7" s="12" t="s">
        <v>5</v>
      </c>
      <c r="C7" s="9">
        <v>40451</v>
      </c>
      <c r="D7" s="34">
        <f t="shared" ref="D7:D22" si="0">C7/$C$22</f>
        <v>1.9964927745529226E-2</v>
      </c>
    </row>
    <row r="8" spans="1:7" x14ac:dyDescent="0.25">
      <c r="B8" s="12" t="s">
        <v>6</v>
      </c>
      <c r="C8" s="9">
        <v>15019</v>
      </c>
      <c r="D8" s="34">
        <f t="shared" si="0"/>
        <v>7.4127524612519697E-3</v>
      </c>
    </row>
    <row r="9" spans="1:7" x14ac:dyDescent="0.25">
      <c r="B9" s="12" t="s">
        <v>7</v>
      </c>
      <c r="C9" s="9"/>
      <c r="D9" s="34">
        <f t="shared" si="0"/>
        <v>0</v>
      </c>
    </row>
    <row r="10" spans="1:7" x14ac:dyDescent="0.25">
      <c r="B10" s="12" t="s">
        <v>8</v>
      </c>
      <c r="C10" s="9">
        <v>44080</v>
      </c>
      <c r="D10" s="34">
        <f t="shared" si="0"/>
        <v>2.1756050901657022E-2</v>
      </c>
    </row>
    <row r="11" spans="1:7" x14ac:dyDescent="0.25">
      <c r="B11" s="12" t="s">
        <v>9</v>
      </c>
      <c r="C11" s="9">
        <v>5108</v>
      </c>
      <c r="D11" s="34">
        <f t="shared" si="0"/>
        <v>2.5210959166439219E-3</v>
      </c>
    </row>
    <row r="12" spans="1:7" x14ac:dyDescent="0.25">
      <c r="B12" s="12" t="s">
        <v>10</v>
      </c>
      <c r="C12" s="9">
        <v>329836</v>
      </c>
      <c r="D12" s="34">
        <f t="shared" si="0"/>
        <v>0.16279330320324287</v>
      </c>
    </row>
    <row r="13" spans="1:7" x14ac:dyDescent="0.25">
      <c r="B13" s="8" t="s">
        <v>11</v>
      </c>
      <c r="C13" s="13">
        <f>SUM(C6:C12)</f>
        <v>522374</v>
      </c>
      <c r="D13" s="34">
        <f t="shared" si="0"/>
        <v>0.25782203570104778</v>
      </c>
    </row>
    <row r="14" spans="1:7" x14ac:dyDescent="0.25">
      <c r="B14" s="12"/>
      <c r="C14" s="15"/>
      <c r="D14" s="34">
        <f t="shared" si="0"/>
        <v>0</v>
      </c>
    </row>
    <row r="15" spans="1:7" x14ac:dyDescent="0.25">
      <c r="B15" s="8" t="s">
        <v>12</v>
      </c>
      <c r="C15" s="15"/>
      <c r="D15" s="34">
        <f t="shared" si="0"/>
        <v>0</v>
      </c>
    </row>
    <row r="16" spans="1:7" x14ac:dyDescent="0.25">
      <c r="B16" s="12" t="s">
        <v>13</v>
      </c>
      <c r="C16" s="9">
        <v>1303558</v>
      </c>
      <c r="D16" s="34">
        <f t="shared" si="0"/>
        <v>0.6433819011175641</v>
      </c>
    </row>
    <row r="17" spans="1:7" x14ac:dyDescent="0.25">
      <c r="B17" s="12" t="s">
        <v>14</v>
      </c>
      <c r="C17" s="9">
        <v>125055</v>
      </c>
      <c r="D17" s="34">
        <f t="shared" si="0"/>
        <v>6.1721936150333917E-2</v>
      </c>
    </row>
    <row r="18" spans="1:7" x14ac:dyDescent="0.25">
      <c r="B18" s="12" t="s">
        <v>15</v>
      </c>
      <c r="C18" s="9">
        <v>53177</v>
      </c>
      <c r="D18" s="34">
        <f t="shared" si="0"/>
        <v>2.6245950970903258E-2</v>
      </c>
    </row>
    <row r="19" spans="1:7" x14ac:dyDescent="0.25">
      <c r="B19" s="12" t="s">
        <v>16</v>
      </c>
      <c r="C19" s="9">
        <v>21939</v>
      </c>
      <c r="D19" s="34">
        <f t="shared" si="0"/>
        <v>1.082817606015094E-2</v>
      </c>
    </row>
    <row r="20" spans="1:7" x14ac:dyDescent="0.25">
      <c r="B20" s="8" t="s">
        <v>17</v>
      </c>
      <c r="C20" s="13">
        <f>SUM(C16:C19)</f>
        <v>1503729</v>
      </c>
      <c r="D20" s="34">
        <f t="shared" si="0"/>
        <v>0.74217796429895222</v>
      </c>
    </row>
    <row r="21" spans="1:7" s="3" customFormat="1" x14ac:dyDescent="0.25">
      <c r="A21" s="2"/>
      <c r="B21" s="12"/>
      <c r="C21" s="9"/>
      <c r="D21" s="34">
        <f t="shared" si="0"/>
        <v>0</v>
      </c>
      <c r="G21" s="2"/>
    </row>
    <row r="22" spans="1:7" s="3" customFormat="1" x14ac:dyDescent="0.25">
      <c r="A22" s="2"/>
      <c r="B22" s="18" t="s">
        <v>18</v>
      </c>
      <c r="C22" s="19">
        <f>SUM(C20,C13)</f>
        <v>2026103</v>
      </c>
      <c r="D22" s="34">
        <f t="shared" si="0"/>
        <v>1</v>
      </c>
      <c r="G22" s="2"/>
    </row>
    <row r="23" spans="1:7" x14ac:dyDescent="0.25">
      <c r="B23" s="12"/>
      <c r="C23" s="15"/>
    </row>
    <row r="24" spans="1:7" s="3" customFormat="1" x14ac:dyDescent="0.25">
      <c r="A24" s="2"/>
      <c r="B24" s="8" t="s">
        <v>19</v>
      </c>
      <c r="C24" s="15"/>
      <c r="D24" s="2"/>
      <c r="G24" s="2"/>
    </row>
    <row r="25" spans="1:7" s="3" customFormat="1" x14ac:dyDescent="0.25">
      <c r="A25" s="2"/>
      <c r="B25" s="12" t="s">
        <v>20</v>
      </c>
      <c r="C25" s="9">
        <v>78363</v>
      </c>
      <c r="D25" s="34">
        <f>C25/$C$45</f>
        <v>3.8676710907589597E-2</v>
      </c>
      <c r="G25" s="2"/>
    </row>
    <row r="26" spans="1:7" s="3" customFormat="1" x14ac:dyDescent="0.25">
      <c r="A26" s="2"/>
      <c r="B26" s="12" t="s">
        <v>21</v>
      </c>
      <c r="C26" s="9">
        <v>76301</v>
      </c>
      <c r="D26" s="34">
        <f t="shared" ref="D26:D45" si="1">C26/$C$45</f>
        <v>3.7658993644449468E-2</v>
      </c>
      <c r="G26" s="2"/>
    </row>
    <row r="27" spans="1:7" s="3" customFormat="1" x14ac:dyDescent="0.25">
      <c r="A27" s="2"/>
      <c r="B27" s="12" t="s">
        <v>22</v>
      </c>
      <c r="C27" s="9">
        <v>127129</v>
      </c>
      <c r="D27" s="34">
        <f t="shared" si="1"/>
        <v>6.274557611335653E-2</v>
      </c>
      <c r="G27" s="2"/>
    </row>
    <row r="28" spans="1:7" s="3" customFormat="1" x14ac:dyDescent="0.25">
      <c r="A28" s="2"/>
      <c r="B28" s="8" t="s">
        <v>23</v>
      </c>
      <c r="C28" s="13">
        <f>SUM(C25:C27)</f>
        <v>281793</v>
      </c>
      <c r="D28" s="34">
        <f t="shared" si="1"/>
        <v>0.1390812806653956</v>
      </c>
      <c r="G28" s="2"/>
    </row>
    <row r="29" spans="1:7" s="3" customFormat="1" x14ac:dyDescent="0.25">
      <c r="A29" s="2"/>
      <c r="B29" s="12"/>
      <c r="C29" s="9"/>
      <c r="D29" s="34">
        <f t="shared" si="1"/>
        <v>0</v>
      </c>
      <c r="G29" s="2"/>
    </row>
    <row r="30" spans="1:7" s="3" customFormat="1" x14ac:dyDescent="0.25">
      <c r="A30" s="2"/>
      <c r="B30" s="8" t="s">
        <v>24</v>
      </c>
      <c r="C30" s="9"/>
      <c r="D30" s="34">
        <f t="shared" si="1"/>
        <v>0</v>
      </c>
      <c r="G30" s="2"/>
    </row>
    <row r="31" spans="1:7" s="3" customFormat="1" x14ac:dyDescent="0.25">
      <c r="A31" s="2"/>
      <c r="B31" s="12" t="s">
        <v>25</v>
      </c>
      <c r="C31" s="9">
        <v>288927</v>
      </c>
      <c r="D31" s="34">
        <f t="shared" si="1"/>
        <v>0.14260232574553219</v>
      </c>
      <c r="G31" s="2"/>
    </row>
    <row r="32" spans="1:7" s="3" customFormat="1" x14ac:dyDescent="0.25">
      <c r="A32" s="2"/>
      <c r="B32" s="12" t="s">
        <v>26</v>
      </c>
      <c r="C32" s="9">
        <v>18944</v>
      </c>
      <c r="D32" s="34">
        <f t="shared" si="1"/>
        <v>9.3499688811477001E-3</v>
      </c>
      <c r="G32" s="2"/>
    </row>
    <row r="33" spans="1:7" s="3" customFormat="1" x14ac:dyDescent="0.25">
      <c r="A33" s="2"/>
      <c r="B33" s="12" t="s">
        <v>27</v>
      </c>
      <c r="C33" s="9">
        <v>33946</v>
      </c>
      <c r="D33" s="34">
        <f t="shared" si="1"/>
        <v>1.6754330850899484E-2</v>
      </c>
      <c r="G33" s="2"/>
    </row>
    <row r="34" spans="1:7" s="3" customFormat="1" x14ac:dyDescent="0.25">
      <c r="A34" s="2"/>
      <c r="B34" s="12" t="s">
        <v>28</v>
      </c>
      <c r="C34" s="9"/>
      <c r="D34" s="34">
        <f t="shared" si="1"/>
        <v>0</v>
      </c>
      <c r="G34" s="2"/>
    </row>
    <row r="35" spans="1:7" s="3" customFormat="1" x14ac:dyDescent="0.25">
      <c r="A35" s="2"/>
      <c r="B35" s="8" t="s">
        <v>29</v>
      </c>
      <c r="C35" s="13">
        <f>SUM(C31:C34)</f>
        <v>341817</v>
      </c>
      <c r="D35" s="34">
        <f t="shared" si="1"/>
        <v>0.16870662547757936</v>
      </c>
      <c r="G35" s="2"/>
    </row>
    <row r="36" spans="1:7" s="3" customFormat="1" x14ac:dyDescent="0.25">
      <c r="A36" s="2"/>
      <c r="B36" s="8" t="s">
        <v>30</v>
      </c>
      <c r="C36" s="13">
        <f>C28+C35</f>
        <v>623610</v>
      </c>
      <c r="D36" s="34">
        <f t="shared" si="1"/>
        <v>0.30778790614297497</v>
      </c>
      <c r="G36" s="2"/>
    </row>
    <row r="37" spans="1:7" s="3" customFormat="1" x14ac:dyDescent="0.25">
      <c r="A37" s="2"/>
      <c r="B37" s="8"/>
      <c r="C37" s="9"/>
      <c r="D37" s="34">
        <f t="shared" si="1"/>
        <v>0</v>
      </c>
      <c r="G37" s="2"/>
    </row>
    <row r="38" spans="1:7" s="3" customFormat="1" x14ac:dyDescent="0.25">
      <c r="A38" s="2"/>
      <c r="B38" s="12" t="s">
        <v>31</v>
      </c>
      <c r="C38" s="9">
        <v>358</v>
      </c>
      <c r="D38" s="34">
        <f t="shared" si="1"/>
        <v>1.7669387982743227E-4</v>
      </c>
      <c r="G38" s="2"/>
    </row>
    <row r="39" spans="1:7" s="3" customFormat="1" x14ac:dyDescent="0.25">
      <c r="A39" s="2"/>
      <c r="B39" s="12" t="s">
        <v>32</v>
      </c>
      <c r="C39" s="9">
        <v>1238875</v>
      </c>
      <c r="D39" s="34">
        <f t="shared" si="1"/>
        <v>0.61145706807600597</v>
      </c>
      <c r="G39" s="2"/>
    </row>
    <row r="40" spans="1:7" x14ac:dyDescent="0.25">
      <c r="B40" s="12" t="s">
        <v>33</v>
      </c>
      <c r="C40" s="9">
        <v>-2049389</v>
      </c>
      <c r="D40" s="34">
        <f t="shared" si="1"/>
        <v>-1.0114929991219597</v>
      </c>
    </row>
    <row r="41" spans="1:7" x14ac:dyDescent="0.25">
      <c r="B41" s="12" t="s">
        <v>34</v>
      </c>
      <c r="C41" s="9">
        <v>-8162</v>
      </c>
      <c r="D41" s="34">
        <f t="shared" si="1"/>
        <v>-4.0284230367360393E-3</v>
      </c>
    </row>
    <row r="42" spans="1:7" x14ac:dyDescent="0.25">
      <c r="B42" s="12" t="s">
        <v>35</v>
      </c>
      <c r="C42" s="9">
        <v>2220811</v>
      </c>
      <c r="D42" s="34">
        <f t="shared" si="1"/>
        <v>1.0960997540598874</v>
      </c>
    </row>
    <row r="43" spans="1:7" x14ac:dyDescent="0.25">
      <c r="B43" s="8" t="s">
        <v>36</v>
      </c>
      <c r="C43" s="13">
        <f>SUM(C38:C42)</f>
        <v>1402493</v>
      </c>
      <c r="D43" s="34">
        <f t="shared" si="1"/>
        <v>0.69221209385702509</v>
      </c>
    </row>
    <row r="44" spans="1:7" x14ac:dyDescent="0.25">
      <c r="B44" s="12"/>
      <c r="C44" s="9"/>
      <c r="D44" s="34">
        <f t="shared" si="1"/>
        <v>0</v>
      </c>
    </row>
    <row r="45" spans="1:7" x14ac:dyDescent="0.25">
      <c r="B45" s="21" t="s">
        <v>37</v>
      </c>
      <c r="C45" s="22">
        <f>SUM(C28,C35,C43)</f>
        <v>2026103</v>
      </c>
      <c r="D45" s="34">
        <f t="shared" si="1"/>
        <v>1</v>
      </c>
    </row>
    <row r="46" spans="1:7" x14ac:dyDescent="0.25">
      <c r="C46" s="24">
        <f>C22-C45</f>
        <v>0</v>
      </c>
    </row>
    <row r="50" spans="1:4" x14ac:dyDescent="0.25">
      <c r="A50" s="1" t="s">
        <v>38</v>
      </c>
    </row>
    <row r="51" spans="1:4" x14ac:dyDescent="0.25">
      <c r="A51" s="1" t="s">
        <v>39</v>
      </c>
    </row>
    <row r="52" spans="1:4" x14ac:dyDescent="0.25">
      <c r="A52" s="1" t="s">
        <v>40</v>
      </c>
    </row>
    <row r="53" spans="1:4" ht="14.25" thickBot="1" x14ac:dyDescent="0.3">
      <c r="B53" s="4"/>
      <c r="C53" s="5">
        <v>2016</v>
      </c>
    </row>
    <row r="54" spans="1:4" x14ac:dyDescent="0.25">
      <c r="B54" s="8" t="s">
        <v>41</v>
      </c>
      <c r="C54" s="13">
        <v>3904384</v>
      </c>
    </row>
    <row r="55" spans="1:4" x14ac:dyDescent="0.25">
      <c r="B55" s="12"/>
      <c r="C55" s="9"/>
    </row>
    <row r="56" spans="1:4" x14ac:dyDescent="0.25">
      <c r="B56" s="12" t="s">
        <v>42</v>
      </c>
      <c r="C56" s="9"/>
    </row>
    <row r="57" spans="1:4" x14ac:dyDescent="0.25">
      <c r="B57" s="26" t="s">
        <v>43</v>
      </c>
      <c r="C57" s="9">
        <v>1365580</v>
      </c>
      <c r="D57" s="34">
        <f>C57/$C$54</f>
        <v>0.34975555683047571</v>
      </c>
    </row>
    <row r="58" spans="1:4" x14ac:dyDescent="0.25">
      <c r="B58" s="26" t="s">
        <v>44</v>
      </c>
      <c r="C58" s="9">
        <v>1105001</v>
      </c>
      <c r="D58" s="34">
        <f t="shared" ref="D58:D81" si="2">C58/$C$54</f>
        <v>0.28301545134904765</v>
      </c>
    </row>
    <row r="59" spans="1:4" x14ac:dyDescent="0.25">
      <c r="B59" s="26" t="s">
        <v>45</v>
      </c>
      <c r="C59" s="9">
        <v>293636</v>
      </c>
      <c r="D59" s="34">
        <f t="shared" si="2"/>
        <v>7.5206741959807227E-2</v>
      </c>
    </row>
    <row r="60" spans="1:4" x14ac:dyDescent="0.25">
      <c r="B60" s="26" t="s">
        <v>46</v>
      </c>
      <c r="C60" s="9">
        <v>641953</v>
      </c>
      <c r="D60" s="34">
        <f t="shared" si="2"/>
        <v>0.1644185100645838</v>
      </c>
    </row>
    <row r="61" spans="1:4" x14ac:dyDescent="0.25">
      <c r="B61" s="12" t="s">
        <v>47</v>
      </c>
      <c r="C61" s="9">
        <v>276240</v>
      </c>
      <c r="D61" s="34">
        <f t="shared" si="2"/>
        <v>7.0751237583188534E-2</v>
      </c>
    </row>
    <row r="62" spans="1:4" x14ac:dyDescent="0.25">
      <c r="B62" s="12" t="s">
        <v>48</v>
      </c>
      <c r="C62" s="9">
        <v>146368</v>
      </c>
      <c r="D62" s="34">
        <f t="shared" si="2"/>
        <v>3.7488115923023965E-2</v>
      </c>
    </row>
    <row r="63" spans="1:4" x14ac:dyDescent="0.25">
      <c r="B63" s="12" t="s">
        <v>49</v>
      </c>
      <c r="C63" s="9">
        <v>17162</v>
      </c>
      <c r="D63" s="34">
        <f t="shared" si="2"/>
        <v>4.3955717470412744E-3</v>
      </c>
    </row>
    <row r="64" spans="1:4" x14ac:dyDescent="0.25">
      <c r="B64" s="12" t="s">
        <v>50</v>
      </c>
      <c r="C64" s="9">
        <v>23877</v>
      </c>
      <c r="D64" s="34">
        <f t="shared" si="2"/>
        <v>6.1154333180342916E-3</v>
      </c>
    </row>
    <row r="65" spans="2:4" x14ac:dyDescent="0.25">
      <c r="B65" s="8" t="s">
        <v>51</v>
      </c>
      <c r="C65" s="13">
        <f>SUM(C57:C64)</f>
        <v>3869817</v>
      </c>
      <c r="D65" s="34">
        <f t="shared" si="2"/>
        <v>0.99114661877520249</v>
      </c>
    </row>
    <row r="66" spans="2:4" x14ac:dyDescent="0.25">
      <c r="B66" s="12"/>
      <c r="C66" s="9"/>
      <c r="D66" s="34">
        <f t="shared" si="2"/>
        <v>0</v>
      </c>
    </row>
    <row r="67" spans="2:4" x14ac:dyDescent="0.25">
      <c r="B67" s="8" t="s">
        <v>52</v>
      </c>
      <c r="C67" s="13">
        <f>C54-C65</f>
        <v>34567</v>
      </c>
      <c r="D67" s="34">
        <f t="shared" si="2"/>
        <v>8.8533812247975612E-3</v>
      </c>
    </row>
    <row r="68" spans="2:4" x14ac:dyDescent="0.25">
      <c r="B68" s="12"/>
      <c r="C68" s="9"/>
      <c r="D68" s="34">
        <f t="shared" si="2"/>
        <v>0</v>
      </c>
    </row>
    <row r="69" spans="2:4" x14ac:dyDescent="0.25">
      <c r="B69" s="12" t="s">
        <v>53</v>
      </c>
      <c r="C69" s="9">
        <v>4172</v>
      </c>
      <c r="D69" s="34">
        <f t="shared" si="2"/>
        <v>1.0685424384486771E-3</v>
      </c>
    </row>
    <row r="70" spans="2:4" x14ac:dyDescent="0.25">
      <c r="B70" s="8" t="s">
        <v>54</v>
      </c>
      <c r="C70" s="13">
        <f>SUM(C69:C69)</f>
        <v>4172</v>
      </c>
      <c r="D70" s="34">
        <f t="shared" si="2"/>
        <v>1.0685424384486771E-3</v>
      </c>
    </row>
    <row r="71" spans="2:4" x14ac:dyDescent="0.25">
      <c r="B71" s="12"/>
      <c r="C71" s="9"/>
      <c r="D71" s="34">
        <f t="shared" si="2"/>
        <v>0</v>
      </c>
    </row>
    <row r="72" spans="2:4" x14ac:dyDescent="0.25">
      <c r="B72" s="8" t="s">
        <v>55</v>
      </c>
      <c r="C72" s="13">
        <f>C67+C70</f>
        <v>38739</v>
      </c>
      <c r="D72" s="34">
        <f t="shared" si="2"/>
        <v>9.9219236632462383E-3</v>
      </c>
    </row>
    <row r="73" spans="2:4" x14ac:dyDescent="0.25">
      <c r="B73" s="12"/>
      <c r="C73" s="9"/>
      <c r="D73" s="34">
        <f t="shared" si="2"/>
        <v>0</v>
      </c>
    </row>
    <row r="74" spans="2:4" x14ac:dyDescent="0.25">
      <c r="B74" s="12" t="s">
        <v>56</v>
      </c>
      <c r="C74" s="9">
        <v>-15801</v>
      </c>
      <c r="D74" s="34">
        <f t="shared" si="2"/>
        <v>-4.0469892305674852E-3</v>
      </c>
    </row>
    <row r="75" spans="2:4" x14ac:dyDescent="0.25">
      <c r="B75" s="21" t="s">
        <v>57</v>
      </c>
      <c r="C75" s="22">
        <f>SUM(C72:C74)</f>
        <v>22938</v>
      </c>
      <c r="D75" s="34">
        <f t="shared" si="2"/>
        <v>5.8749344326787531E-3</v>
      </c>
    </row>
    <row r="76" spans="2:4" x14ac:dyDescent="0.25">
      <c r="C76" s="29"/>
      <c r="D76" s="34">
        <f>C76/$C$54</f>
        <v>0</v>
      </c>
    </row>
    <row r="77" spans="2:4" x14ac:dyDescent="0.25">
      <c r="B77" s="30" t="s">
        <v>58</v>
      </c>
      <c r="C77" s="31"/>
      <c r="D77" s="34">
        <f t="shared" si="2"/>
        <v>0</v>
      </c>
    </row>
    <row r="78" spans="2:4" x14ac:dyDescent="0.25">
      <c r="B78" s="12" t="s">
        <v>59</v>
      </c>
      <c r="C78" s="9">
        <v>-1291</v>
      </c>
      <c r="D78" s="34">
        <f t="shared" si="2"/>
        <v>-3.3065395207028815E-4</v>
      </c>
    </row>
    <row r="79" spans="2:4" x14ac:dyDescent="0.25">
      <c r="B79" s="12" t="s">
        <v>60</v>
      </c>
      <c r="C79" s="9">
        <v>1402</v>
      </c>
      <c r="D79" s="34">
        <f t="shared" si="2"/>
        <v>3.5908353276726878E-4</v>
      </c>
    </row>
    <row r="80" spans="2:4" x14ac:dyDescent="0.25">
      <c r="B80" s="8" t="s">
        <v>61</v>
      </c>
      <c r="C80" s="13">
        <f>SUM(C78:C79)</f>
        <v>111</v>
      </c>
      <c r="D80" s="34">
        <f t="shared" si="2"/>
        <v>2.8429580696980625E-5</v>
      </c>
    </row>
    <row r="81" spans="1:7" x14ac:dyDescent="0.25">
      <c r="B81" s="32" t="s">
        <v>62</v>
      </c>
      <c r="C81" s="33">
        <f>C75+C80</f>
        <v>23049</v>
      </c>
      <c r="D81" s="34">
        <f t="shared" si="2"/>
        <v>5.9033640133757332E-3</v>
      </c>
    </row>
    <row r="82" spans="1:7" x14ac:dyDescent="0.25">
      <c r="C82" s="29"/>
    </row>
    <row r="83" spans="1:7" s="3" customFormat="1" x14ac:dyDescent="0.25">
      <c r="A83" s="2"/>
      <c r="B83" s="2"/>
      <c r="C83" s="29"/>
      <c r="D83" s="2"/>
      <c r="G83" s="2"/>
    </row>
    <row r="84" spans="1:7" s="3" customFormat="1" x14ac:dyDescent="0.25">
      <c r="A84" s="2"/>
      <c r="B84" s="2"/>
      <c r="C84" s="29"/>
      <c r="D84" s="2"/>
      <c r="G84" s="2"/>
    </row>
    <row r="85" spans="1:7" s="3" customFormat="1" x14ac:dyDescent="0.25">
      <c r="A85" s="2"/>
      <c r="B85" s="2"/>
      <c r="C85" s="29"/>
      <c r="D85" s="2"/>
      <c r="G85" s="2"/>
    </row>
    <row r="86" spans="1:7" s="3" customFormat="1" x14ac:dyDescent="0.25">
      <c r="A86" s="2"/>
      <c r="B86" s="2"/>
      <c r="C86" s="29"/>
      <c r="D86" s="2"/>
      <c r="G86" s="2"/>
    </row>
    <row r="87" spans="1:7" s="3" customFormat="1" x14ac:dyDescent="0.25">
      <c r="A87" s="2"/>
      <c r="B87" s="2"/>
      <c r="C87" s="29"/>
      <c r="D87" s="2"/>
      <c r="G87" s="2"/>
    </row>
    <row r="88" spans="1:7" s="3" customFormat="1" x14ac:dyDescent="0.25">
      <c r="A88" s="2"/>
      <c r="B88" s="2"/>
      <c r="C88" s="29"/>
      <c r="D88" s="2"/>
      <c r="G88" s="2"/>
    </row>
    <row r="89" spans="1:7" s="3" customFormat="1" x14ac:dyDescent="0.25">
      <c r="A89" s="2"/>
      <c r="B89" s="2"/>
      <c r="C89" s="29"/>
      <c r="D89" s="2"/>
      <c r="G89" s="2"/>
    </row>
    <row r="90" spans="1:7" s="3" customFormat="1" x14ac:dyDescent="0.25">
      <c r="A90" s="2"/>
      <c r="B90" s="2"/>
      <c r="C90" s="29"/>
      <c r="D90" s="2"/>
      <c r="G90" s="2"/>
    </row>
    <row r="91" spans="1:7" s="3" customFormat="1" x14ac:dyDescent="0.25">
      <c r="A91" s="2"/>
      <c r="B91" s="2"/>
      <c r="C91" s="29"/>
      <c r="D91" s="2"/>
      <c r="G91" s="2"/>
    </row>
    <row r="92" spans="1:7" s="3" customFormat="1" x14ac:dyDescent="0.25">
      <c r="A92" s="2"/>
      <c r="B92" s="2"/>
      <c r="C92" s="29"/>
      <c r="D92" s="2"/>
      <c r="G92" s="2"/>
    </row>
    <row r="93" spans="1:7" s="3" customFormat="1" x14ac:dyDescent="0.25">
      <c r="A93" s="2"/>
      <c r="B93" s="2"/>
      <c r="C93" s="29"/>
      <c r="D93" s="2"/>
      <c r="G93" s="2"/>
    </row>
    <row r="94" spans="1:7" s="3" customFormat="1" x14ac:dyDescent="0.25">
      <c r="A94" s="2"/>
      <c r="B94" s="2"/>
      <c r="C94" s="29"/>
      <c r="D94" s="2"/>
      <c r="G94" s="2"/>
    </row>
    <row r="95" spans="1:7" s="3" customFormat="1" x14ac:dyDescent="0.25">
      <c r="A95" s="2"/>
      <c r="B95" s="2"/>
      <c r="C95" s="29"/>
      <c r="D95" s="2"/>
      <c r="G95" s="2"/>
    </row>
    <row r="96" spans="1:7" s="3" customFormat="1" x14ac:dyDescent="0.25">
      <c r="A96" s="2"/>
      <c r="B96" s="2"/>
      <c r="C96" s="29"/>
      <c r="D96" s="2"/>
      <c r="G96" s="2"/>
    </row>
    <row r="97" spans="1:7" s="3" customFormat="1" x14ac:dyDescent="0.25">
      <c r="A97" s="2"/>
      <c r="B97" s="2"/>
      <c r="C97" s="29"/>
      <c r="D97" s="2"/>
      <c r="G97" s="2"/>
    </row>
    <row r="98" spans="1:7" s="3" customFormat="1" x14ac:dyDescent="0.25">
      <c r="A98" s="2"/>
      <c r="B98" s="2"/>
      <c r="C98" s="29"/>
      <c r="D98" s="2"/>
      <c r="G98" s="2"/>
    </row>
    <row r="99" spans="1:7" s="3" customFormat="1" x14ac:dyDescent="0.25">
      <c r="A99" s="2"/>
      <c r="B99" s="2"/>
      <c r="C99" s="29"/>
      <c r="D99" s="2"/>
      <c r="G99" s="2"/>
    </row>
    <row r="100" spans="1:7" s="3" customFormat="1" x14ac:dyDescent="0.25">
      <c r="A100" s="2"/>
      <c r="B100" s="2"/>
      <c r="C100" s="29"/>
      <c r="D100" s="2"/>
      <c r="G100" s="2"/>
    </row>
    <row r="101" spans="1:7" s="3" customFormat="1" x14ac:dyDescent="0.25">
      <c r="A101" s="2"/>
      <c r="B101" s="2"/>
      <c r="C101" s="29"/>
      <c r="D101" s="2"/>
      <c r="G101" s="2"/>
    </row>
    <row r="102" spans="1:7" s="3" customFormat="1" x14ac:dyDescent="0.25">
      <c r="A102" s="2"/>
      <c r="B102" s="2"/>
      <c r="C102" s="29"/>
      <c r="D102" s="2"/>
      <c r="G102" s="2"/>
    </row>
    <row r="103" spans="1:7" s="3" customFormat="1" x14ac:dyDescent="0.25">
      <c r="A103" s="2"/>
      <c r="B103" s="2"/>
      <c r="C103" s="29"/>
      <c r="D103" s="2"/>
      <c r="G103" s="2"/>
    </row>
    <row r="104" spans="1:7" s="3" customFormat="1" x14ac:dyDescent="0.25">
      <c r="A104" s="2"/>
      <c r="B104" s="2"/>
      <c r="C104" s="29"/>
      <c r="D104" s="2"/>
      <c r="G104" s="2"/>
    </row>
    <row r="105" spans="1:7" s="3" customFormat="1" x14ac:dyDescent="0.25">
      <c r="A105" s="2"/>
      <c r="B105" s="2"/>
      <c r="C105" s="29"/>
      <c r="D105" s="2"/>
      <c r="G105" s="2"/>
    </row>
    <row r="106" spans="1:7" s="3" customFormat="1" x14ac:dyDescent="0.25">
      <c r="A106" s="2"/>
      <c r="B106" s="2"/>
      <c r="C106" s="29"/>
      <c r="D106" s="2"/>
      <c r="G106" s="2"/>
    </row>
    <row r="107" spans="1:7" s="3" customFormat="1" x14ac:dyDescent="0.25">
      <c r="A107" s="2"/>
      <c r="B107" s="2"/>
      <c r="C107" s="29"/>
      <c r="D107" s="2"/>
      <c r="G107" s="2"/>
    </row>
    <row r="108" spans="1:7" s="3" customFormat="1" x14ac:dyDescent="0.25">
      <c r="A108" s="2"/>
      <c r="B108" s="2"/>
      <c r="C108" s="29"/>
      <c r="D108" s="2"/>
      <c r="G108" s="2"/>
    </row>
    <row r="109" spans="1:7" s="3" customFormat="1" x14ac:dyDescent="0.25">
      <c r="A109" s="2"/>
      <c r="B109" s="2"/>
      <c r="C109" s="29"/>
      <c r="D109" s="2"/>
      <c r="G109" s="2"/>
    </row>
    <row r="110" spans="1:7" s="3" customFormat="1" x14ac:dyDescent="0.25">
      <c r="A110" s="2"/>
      <c r="B110" s="2"/>
      <c r="C110" s="29"/>
      <c r="D110" s="2"/>
      <c r="G110" s="2"/>
    </row>
    <row r="111" spans="1:7" s="3" customFormat="1" x14ac:dyDescent="0.25">
      <c r="A111" s="2"/>
      <c r="B111" s="2"/>
      <c r="C111" s="29"/>
      <c r="D111" s="2"/>
      <c r="G111" s="2"/>
    </row>
    <row r="112" spans="1:7" s="3" customFormat="1" x14ac:dyDescent="0.25">
      <c r="A112" s="2"/>
      <c r="B112" s="2"/>
      <c r="C112" s="29"/>
      <c r="D112" s="2"/>
      <c r="G112" s="2"/>
    </row>
    <row r="113" spans="1:7" s="3" customFormat="1" x14ac:dyDescent="0.25">
      <c r="A113" s="2"/>
      <c r="B113" s="2"/>
      <c r="C113" s="29"/>
      <c r="D113" s="2"/>
      <c r="G113" s="2"/>
    </row>
    <row r="114" spans="1:7" s="3" customFormat="1" x14ac:dyDescent="0.25">
      <c r="A114" s="2"/>
      <c r="B114" s="2"/>
      <c r="C114" s="29"/>
      <c r="D114" s="2"/>
      <c r="G114" s="2"/>
    </row>
    <row r="115" spans="1:7" s="3" customFormat="1" x14ac:dyDescent="0.25">
      <c r="A115" s="2"/>
      <c r="B115" s="2"/>
      <c r="C115" s="29"/>
      <c r="D115" s="2"/>
      <c r="G115" s="2"/>
    </row>
    <row r="116" spans="1:7" s="3" customFormat="1" x14ac:dyDescent="0.25">
      <c r="A116" s="2"/>
      <c r="B116" s="2"/>
      <c r="C116" s="29"/>
      <c r="D116" s="2"/>
      <c r="G116" s="2"/>
    </row>
    <row r="117" spans="1:7" s="3" customFormat="1" x14ac:dyDescent="0.25">
      <c r="A117" s="2"/>
      <c r="B117" s="2"/>
      <c r="C117" s="29"/>
      <c r="D117" s="2"/>
      <c r="G117" s="2"/>
    </row>
    <row r="118" spans="1:7" s="3" customFormat="1" x14ac:dyDescent="0.25">
      <c r="A118" s="2"/>
      <c r="B118" s="2"/>
      <c r="C118" s="29"/>
      <c r="D118" s="2"/>
      <c r="G118" s="2"/>
    </row>
    <row r="119" spans="1:7" s="3" customFormat="1" x14ac:dyDescent="0.25">
      <c r="A119" s="2"/>
      <c r="B119" s="2"/>
      <c r="C119" s="29"/>
      <c r="D119" s="2"/>
      <c r="G119" s="2"/>
    </row>
    <row r="120" spans="1:7" s="3" customFormat="1" x14ac:dyDescent="0.25">
      <c r="A120" s="2"/>
      <c r="B120" s="2"/>
      <c r="C120" s="29"/>
      <c r="D120" s="2"/>
      <c r="G120" s="2"/>
    </row>
    <row r="121" spans="1:7" s="3" customFormat="1" x14ac:dyDescent="0.25">
      <c r="A121" s="2"/>
      <c r="B121" s="2"/>
      <c r="C121" s="29"/>
      <c r="D121" s="2"/>
      <c r="G121" s="2"/>
    </row>
    <row r="122" spans="1:7" s="3" customFormat="1" x14ac:dyDescent="0.25">
      <c r="A122" s="2"/>
      <c r="B122" s="2"/>
      <c r="C122" s="29"/>
      <c r="D122" s="2"/>
      <c r="G122" s="2"/>
    </row>
    <row r="123" spans="1:7" s="3" customFormat="1" x14ac:dyDescent="0.25">
      <c r="A123" s="2"/>
      <c r="B123" s="2"/>
      <c r="C123" s="29"/>
      <c r="D123" s="2"/>
      <c r="G123" s="2"/>
    </row>
    <row r="124" spans="1:7" s="3" customFormat="1" x14ac:dyDescent="0.25">
      <c r="A124" s="2"/>
      <c r="B124" s="2"/>
      <c r="C124" s="29"/>
      <c r="D124" s="2"/>
      <c r="G124" s="2"/>
    </row>
    <row r="125" spans="1:7" s="3" customFormat="1" x14ac:dyDescent="0.25">
      <c r="A125" s="2"/>
      <c r="B125" s="2"/>
      <c r="C125" s="29"/>
      <c r="D125" s="2"/>
      <c r="G125" s="2"/>
    </row>
    <row r="126" spans="1:7" s="3" customFormat="1" x14ac:dyDescent="0.25">
      <c r="A126" s="2"/>
      <c r="B126" s="2"/>
      <c r="C126" s="29"/>
      <c r="D126" s="2"/>
      <c r="G126" s="2"/>
    </row>
    <row r="127" spans="1:7" s="3" customFormat="1" x14ac:dyDescent="0.25">
      <c r="A127" s="2"/>
      <c r="B127" s="2"/>
      <c r="C127" s="29"/>
      <c r="D127" s="2"/>
      <c r="G127" s="2"/>
    </row>
    <row r="128" spans="1:7" s="3" customFormat="1" x14ac:dyDescent="0.25">
      <c r="A128" s="2"/>
      <c r="B128" s="2"/>
      <c r="C128" s="29"/>
      <c r="D128" s="2"/>
      <c r="G128" s="2"/>
    </row>
    <row r="129" spans="1:7" s="3" customFormat="1" x14ac:dyDescent="0.25">
      <c r="A129" s="2"/>
      <c r="B129" s="2"/>
      <c r="C129" s="29"/>
      <c r="D129" s="2"/>
      <c r="G129" s="2"/>
    </row>
    <row r="130" spans="1:7" s="3" customFormat="1" x14ac:dyDescent="0.25">
      <c r="A130" s="2"/>
      <c r="B130" s="2"/>
      <c r="C130" s="29"/>
      <c r="D130" s="2"/>
      <c r="G130" s="2"/>
    </row>
    <row r="131" spans="1:7" s="3" customFormat="1" x14ac:dyDescent="0.25">
      <c r="A131" s="2"/>
      <c r="B131" s="2"/>
      <c r="C131" s="29"/>
      <c r="D131" s="2"/>
      <c r="G131" s="2"/>
    </row>
    <row r="132" spans="1:7" s="3" customFormat="1" x14ac:dyDescent="0.25">
      <c r="A132" s="2"/>
      <c r="B132" s="2"/>
      <c r="C132" s="29"/>
      <c r="D132" s="2"/>
      <c r="G132" s="2"/>
    </row>
    <row r="133" spans="1:7" s="3" customFormat="1" x14ac:dyDescent="0.25">
      <c r="A133" s="2"/>
      <c r="B133" s="2"/>
      <c r="C133" s="29"/>
      <c r="D133" s="2"/>
      <c r="G133" s="2"/>
    </row>
    <row r="134" spans="1:7" s="3" customFormat="1" x14ac:dyDescent="0.25">
      <c r="A134" s="2"/>
      <c r="B134" s="2"/>
      <c r="C134" s="29"/>
      <c r="D134" s="2"/>
      <c r="G134" s="2"/>
    </row>
    <row r="135" spans="1:7" s="3" customFormat="1" x14ac:dyDescent="0.25">
      <c r="A135" s="2"/>
      <c r="B135" s="2"/>
      <c r="C135" s="29"/>
      <c r="D135" s="2"/>
      <c r="G135" s="2"/>
    </row>
    <row r="136" spans="1:7" s="3" customFormat="1" x14ac:dyDescent="0.25">
      <c r="A136" s="2"/>
      <c r="B136" s="2"/>
      <c r="C136" s="29"/>
      <c r="D136" s="2"/>
      <c r="G136" s="2"/>
    </row>
    <row r="137" spans="1:7" s="3" customFormat="1" x14ac:dyDescent="0.25">
      <c r="A137" s="2"/>
      <c r="B137" s="2"/>
      <c r="C137" s="29"/>
      <c r="D137" s="2"/>
      <c r="G137" s="2"/>
    </row>
    <row r="138" spans="1:7" s="3" customFormat="1" x14ac:dyDescent="0.25">
      <c r="A138" s="2"/>
      <c r="B138" s="2"/>
      <c r="C138" s="29"/>
      <c r="D138" s="2"/>
      <c r="G138" s="2"/>
    </row>
    <row r="139" spans="1:7" s="3" customFormat="1" x14ac:dyDescent="0.25">
      <c r="A139" s="2"/>
      <c r="B139" s="2"/>
      <c r="C139" s="29"/>
      <c r="D139" s="2"/>
      <c r="G139" s="2"/>
    </row>
    <row r="140" spans="1:7" s="3" customFormat="1" x14ac:dyDescent="0.25">
      <c r="A140" s="2"/>
      <c r="B140" s="2"/>
      <c r="C140" s="29"/>
      <c r="D140" s="2"/>
      <c r="G140" s="2"/>
    </row>
    <row r="141" spans="1:7" s="3" customFormat="1" x14ac:dyDescent="0.25">
      <c r="A141" s="2"/>
      <c r="B141" s="2"/>
      <c r="C141" s="29"/>
      <c r="D141" s="2"/>
      <c r="G141" s="2"/>
    </row>
    <row r="142" spans="1:7" s="3" customFormat="1" x14ac:dyDescent="0.25">
      <c r="A142" s="2"/>
      <c r="B142" s="2"/>
      <c r="C142" s="29"/>
      <c r="D142" s="2"/>
      <c r="G142" s="2"/>
    </row>
    <row r="143" spans="1:7" s="3" customFormat="1" x14ac:dyDescent="0.25">
      <c r="A143" s="2"/>
      <c r="B143" s="2"/>
      <c r="C143" s="29"/>
      <c r="D143" s="2"/>
      <c r="G143" s="2"/>
    </row>
    <row r="144" spans="1:7" s="3" customFormat="1" x14ac:dyDescent="0.25">
      <c r="A144" s="2"/>
      <c r="B144" s="2"/>
      <c r="C144" s="29"/>
      <c r="D144" s="2"/>
      <c r="G144" s="2"/>
    </row>
    <row r="145" spans="1:7" s="3" customFormat="1" x14ac:dyDescent="0.25">
      <c r="A145" s="2"/>
      <c r="B145" s="2"/>
      <c r="C145" s="29"/>
      <c r="D145" s="2"/>
      <c r="G145" s="2"/>
    </row>
    <row r="146" spans="1:7" s="3" customFormat="1" x14ac:dyDescent="0.25">
      <c r="A146" s="2"/>
      <c r="B146" s="2"/>
      <c r="C146" s="29"/>
      <c r="D146" s="2"/>
      <c r="G146" s="2"/>
    </row>
    <row r="147" spans="1:7" s="3" customFormat="1" x14ac:dyDescent="0.25">
      <c r="A147" s="2"/>
      <c r="B147" s="2"/>
      <c r="C147" s="29"/>
      <c r="D147" s="2"/>
      <c r="G147" s="2"/>
    </row>
    <row r="148" spans="1:7" s="3" customFormat="1" x14ac:dyDescent="0.25">
      <c r="A148" s="2"/>
      <c r="B148" s="2"/>
      <c r="C148" s="29"/>
      <c r="D148" s="2"/>
      <c r="G148" s="2"/>
    </row>
    <row r="149" spans="1:7" s="3" customFormat="1" x14ac:dyDescent="0.25">
      <c r="A149" s="2"/>
      <c r="B149" s="2"/>
      <c r="C149" s="29"/>
      <c r="D149" s="2"/>
      <c r="G149" s="2"/>
    </row>
    <row r="150" spans="1:7" s="3" customFormat="1" x14ac:dyDescent="0.25">
      <c r="A150" s="2"/>
      <c r="B150" s="2"/>
      <c r="C150" s="29"/>
      <c r="D150" s="2"/>
      <c r="G150" s="2"/>
    </row>
    <row r="151" spans="1:7" s="3" customFormat="1" x14ac:dyDescent="0.25">
      <c r="A151" s="2"/>
      <c r="B151" s="2"/>
      <c r="C151" s="29"/>
      <c r="D151" s="2"/>
      <c r="G151" s="2"/>
    </row>
    <row r="152" spans="1:7" s="3" customFormat="1" x14ac:dyDescent="0.25">
      <c r="A152" s="2"/>
      <c r="B152" s="2"/>
      <c r="C152" s="29"/>
      <c r="D152" s="2"/>
      <c r="G152" s="2"/>
    </row>
    <row r="153" spans="1:7" s="3" customFormat="1" x14ac:dyDescent="0.25">
      <c r="A153" s="2"/>
      <c r="B153" s="2"/>
      <c r="C153" s="29"/>
      <c r="D153" s="2"/>
      <c r="G153" s="2"/>
    </row>
    <row r="154" spans="1:7" s="3" customFormat="1" x14ac:dyDescent="0.25">
      <c r="A154" s="2"/>
      <c r="B154" s="2"/>
      <c r="C154" s="29"/>
      <c r="D154" s="2"/>
      <c r="G154" s="2"/>
    </row>
    <row r="155" spans="1:7" s="3" customFormat="1" x14ac:dyDescent="0.25">
      <c r="A155" s="2"/>
      <c r="B155" s="2"/>
      <c r="C155" s="29"/>
      <c r="D155" s="2"/>
      <c r="G155" s="2"/>
    </row>
    <row r="156" spans="1:7" s="3" customFormat="1" x14ac:dyDescent="0.25">
      <c r="A156" s="2"/>
      <c r="B156" s="2"/>
      <c r="C156" s="29"/>
      <c r="D156" s="2"/>
      <c r="G156" s="2"/>
    </row>
    <row r="157" spans="1:7" s="3" customFormat="1" x14ac:dyDescent="0.25">
      <c r="A157" s="2"/>
      <c r="B157" s="2"/>
      <c r="C157" s="29"/>
      <c r="D157" s="2"/>
      <c r="G15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Vinix</cp:lastModifiedBy>
  <dcterms:created xsi:type="dcterms:W3CDTF">2017-08-21T04:52:35Z</dcterms:created>
  <dcterms:modified xsi:type="dcterms:W3CDTF">2017-08-30T21:12:17Z</dcterms:modified>
</cp:coreProperties>
</file>