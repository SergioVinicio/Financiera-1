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abri\Documents\Gaby\UFM\Financiera I\Financiera I 2017\03 Ejercicios\"/>
    </mc:Choice>
  </mc:AlternateContent>
  <bookViews>
    <workbookView xWindow="0" yWindow="0" windowWidth="20490" windowHeight="6465" activeTab="4"/>
  </bookViews>
  <sheets>
    <sheet name="Pregunta 1" sheetId="3" r:id="rId1"/>
    <sheet name="Pregunta 2" sheetId="4" r:id="rId2"/>
    <sheet name="Pregunta 3" sheetId="5" r:id="rId3"/>
    <sheet name="Pregunta 4" sheetId="6" r:id="rId4"/>
    <sheet name="Pregunta 5" sheetId="7" r:id="rId5"/>
    <sheet name="Pregunta 6" sheetId="9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9" i="7" l="1"/>
  <c r="P9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104" i="7"/>
  <c r="J105" i="7"/>
  <c r="J106" i="7"/>
  <c r="J107" i="7"/>
  <c r="J108" i="7"/>
  <c r="J109" i="7"/>
  <c r="J110" i="7"/>
  <c r="J111" i="7"/>
  <c r="J112" i="7"/>
  <c r="J113" i="7"/>
  <c r="J114" i="7"/>
  <c r="J115" i="7"/>
  <c r="J116" i="7"/>
  <c r="J117" i="7"/>
  <c r="J118" i="7"/>
  <c r="J119" i="7"/>
  <c r="J120" i="7"/>
  <c r="J121" i="7"/>
  <c r="J122" i="7"/>
  <c r="J123" i="7"/>
  <c r="J124" i="7"/>
  <c r="J125" i="7"/>
  <c r="J126" i="7"/>
  <c r="J127" i="7"/>
  <c r="J128" i="7"/>
  <c r="J129" i="7"/>
  <c r="J130" i="7"/>
  <c r="J131" i="7"/>
  <c r="J132" i="7"/>
  <c r="J133" i="7"/>
  <c r="J134" i="7"/>
  <c r="J135" i="7"/>
  <c r="J136" i="7"/>
  <c r="J137" i="7"/>
  <c r="J138" i="7"/>
  <c r="J139" i="7"/>
  <c r="J140" i="7"/>
  <c r="J141" i="7"/>
  <c r="J142" i="7"/>
  <c r="J143" i="7"/>
  <c r="J144" i="7"/>
  <c r="J145" i="7"/>
  <c r="J146" i="7"/>
  <c r="J147" i="7"/>
  <c r="J148" i="7"/>
  <c r="J149" i="7"/>
  <c r="J150" i="7"/>
  <c r="J151" i="7"/>
  <c r="J152" i="7"/>
  <c r="J153" i="7"/>
  <c r="J154" i="7"/>
  <c r="J155" i="7"/>
  <c r="J156" i="7"/>
  <c r="J157" i="7"/>
  <c r="J158" i="7"/>
  <c r="J159" i="7"/>
  <c r="J160" i="7"/>
  <c r="J161" i="7"/>
  <c r="J162" i="7"/>
  <c r="J163" i="7"/>
  <c r="J164" i="7"/>
  <c r="J165" i="7"/>
  <c r="J166" i="7"/>
  <c r="J167" i="7"/>
  <c r="J168" i="7"/>
  <c r="J169" i="7"/>
  <c r="J170" i="7"/>
  <c r="J171" i="7"/>
  <c r="J172" i="7"/>
  <c r="J173" i="7"/>
  <c r="J174" i="7"/>
  <c r="J175" i="7"/>
  <c r="J176" i="7"/>
  <c r="J177" i="7"/>
  <c r="J178" i="7"/>
  <c r="J179" i="7"/>
  <c r="J180" i="7"/>
  <c r="J181" i="7"/>
  <c r="J182" i="7"/>
  <c r="J183" i="7"/>
  <c r="J184" i="7"/>
  <c r="J185" i="7"/>
  <c r="J186" i="7"/>
  <c r="J187" i="7"/>
  <c r="J188" i="7"/>
  <c r="J189" i="7"/>
  <c r="J190" i="7"/>
  <c r="J191" i="7"/>
  <c r="J192" i="7"/>
  <c r="J193" i="7"/>
  <c r="J194" i="7"/>
  <c r="J195" i="7"/>
  <c r="J196" i="7"/>
  <c r="J197" i="7"/>
  <c r="J198" i="7"/>
  <c r="J199" i="7"/>
  <c r="J200" i="7"/>
  <c r="J201" i="7"/>
  <c r="J202" i="7"/>
  <c r="J203" i="7"/>
  <c r="J204" i="7"/>
  <c r="J205" i="7"/>
  <c r="J206" i="7"/>
  <c r="J207" i="7"/>
  <c r="J208" i="7"/>
  <c r="J209" i="7"/>
  <c r="J210" i="7"/>
  <c r="J211" i="7"/>
  <c r="J212" i="7"/>
  <c r="J213" i="7"/>
  <c r="J214" i="7"/>
  <c r="J215" i="7"/>
  <c r="J216" i="7"/>
  <c r="J217" i="7"/>
  <c r="J218" i="7"/>
  <c r="J219" i="7"/>
  <c r="J220" i="7"/>
  <c r="J221" i="7"/>
  <c r="J222" i="7"/>
  <c r="J223" i="7"/>
  <c r="J224" i="7"/>
  <c r="J225" i="7"/>
  <c r="J226" i="7"/>
  <c r="J227" i="7"/>
  <c r="J228" i="7"/>
  <c r="J229" i="7"/>
  <c r="J230" i="7"/>
  <c r="J231" i="7"/>
  <c r="J232" i="7"/>
  <c r="J233" i="7"/>
  <c r="J234" i="7"/>
  <c r="J235" i="7"/>
  <c r="J236" i="7"/>
  <c r="J237" i="7"/>
  <c r="J238" i="7"/>
  <c r="J239" i="7"/>
  <c r="J240" i="7"/>
  <c r="J241" i="7"/>
  <c r="J242" i="7"/>
  <c r="J243" i="7"/>
  <c r="J244" i="7"/>
  <c r="J245" i="7"/>
  <c r="J246" i="7"/>
  <c r="J247" i="7"/>
  <c r="J248" i="7"/>
  <c r="J249" i="7"/>
  <c r="J250" i="7"/>
  <c r="J251" i="7"/>
  <c r="J252" i="7"/>
  <c r="J253" i="7"/>
  <c r="J254" i="7"/>
  <c r="J255" i="7"/>
  <c r="J256" i="7"/>
  <c r="J257" i="7"/>
  <c r="J258" i="7"/>
  <c r="J259" i="7"/>
  <c r="J260" i="7"/>
  <c r="J261" i="7"/>
  <c r="J262" i="7"/>
  <c r="J263" i="7"/>
  <c r="J264" i="7"/>
  <c r="J265" i="7"/>
  <c r="J266" i="7"/>
  <c r="J267" i="7"/>
  <c r="J268" i="7"/>
  <c r="J269" i="7"/>
  <c r="J270" i="7"/>
  <c r="J271" i="7"/>
  <c r="J272" i="7"/>
  <c r="J273" i="7"/>
  <c r="J274" i="7"/>
  <c r="J275" i="7"/>
  <c r="J276" i="7"/>
  <c r="J277" i="7"/>
  <c r="J278" i="7"/>
  <c r="J279" i="7"/>
  <c r="J280" i="7"/>
  <c r="J281" i="7"/>
  <c r="J282" i="7"/>
  <c r="J283" i="7"/>
  <c r="J284" i="7"/>
  <c r="J285" i="7"/>
  <c r="J286" i="7"/>
  <c r="J287" i="7"/>
  <c r="J288" i="7"/>
  <c r="J289" i="7"/>
  <c r="J290" i="7"/>
  <c r="J291" i="7"/>
  <c r="J292" i="7"/>
  <c r="J293" i="7"/>
  <c r="J294" i="7"/>
  <c r="J295" i="7"/>
  <c r="J296" i="7"/>
  <c r="J297" i="7"/>
  <c r="J298" i="7"/>
  <c r="J299" i="7"/>
  <c r="J300" i="7"/>
  <c r="J301" i="7"/>
  <c r="J302" i="7"/>
  <c r="J303" i="7"/>
  <c r="J304" i="7"/>
  <c r="J305" i="7"/>
  <c r="J306" i="7"/>
  <c r="J307" i="7"/>
  <c r="J308" i="7"/>
  <c r="J309" i="7"/>
  <c r="J310" i="7"/>
  <c r="J311" i="7"/>
  <c r="J312" i="7"/>
  <c r="J313" i="7"/>
  <c r="J314" i="7"/>
  <c r="J315" i="7"/>
  <c r="J316" i="7"/>
  <c r="J317" i="7"/>
  <c r="J318" i="7"/>
  <c r="J319" i="7"/>
  <c r="J320" i="7"/>
  <c r="J321" i="7"/>
  <c r="J322" i="7"/>
  <c r="J323" i="7"/>
  <c r="J324" i="7"/>
  <c r="J325" i="7"/>
  <c r="J326" i="7"/>
  <c r="J327" i="7"/>
  <c r="J328" i="7"/>
  <c r="J329" i="7"/>
  <c r="J330" i="7"/>
  <c r="J331" i="7"/>
  <c r="J332" i="7"/>
  <c r="J333" i="7"/>
  <c r="J334" i="7"/>
  <c r="J335" i="7"/>
  <c r="J336" i="7"/>
  <c r="J337" i="7"/>
  <c r="J338" i="7"/>
  <c r="J339" i="7"/>
  <c r="J340" i="7"/>
  <c r="J341" i="7"/>
  <c r="J342" i="7"/>
  <c r="J343" i="7"/>
  <c r="J344" i="7"/>
  <c r="J345" i="7"/>
  <c r="J346" i="7"/>
  <c r="J347" i="7"/>
  <c r="J348" i="7"/>
  <c r="J349" i="7"/>
  <c r="J350" i="7"/>
  <c r="J351" i="7"/>
  <c r="J352" i="7"/>
  <c r="J353" i="7"/>
  <c r="J354" i="7"/>
  <c r="J355" i="7"/>
  <c r="J356" i="7"/>
  <c r="J357" i="7"/>
  <c r="J358" i="7"/>
  <c r="J359" i="7"/>
  <c r="J360" i="7"/>
  <c r="J361" i="7"/>
  <c r="J362" i="7"/>
  <c r="J363" i="7"/>
  <c r="J364" i="7"/>
  <c r="J365" i="7"/>
  <c r="J366" i="7"/>
  <c r="J367" i="7"/>
  <c r="J368" i="7"/>
  <c r="J369" i="7"/>
  <c r="J370" i="7"/>
  <c r="J371" i="7"/>
  <c r="J372" i="7"/>
  <c r="J373" i="7"/>
  <c r="J374" i="7"/>
  <c r="J375" i="7"/>
  <c r="J376" i="7"/>
  <c r="J377" i="7"/>
  <c r="J378" i="7"/>
  <c r="J379" i="7"/>
  <c r="J380" i="7"/>
  <c r="J381" i="7"/>
  <c r="J382" i="7"/>
  <c r="J383" i="7"/>
  <c r="J384" i="7"/>
  <c r="J385" i="7"/>
  <c r="J386" i="7"/>
  <c r="J387" i="7"/>
  <c r="J388" i="7"/>
  <c r="J389" i="7"/>
  <c r="J390" i="7"/>
  <c r="J391" i="7"/>
  <c r="J392" i="7"/>
  <c r="J393" i="7"/>
  <c r="J394" i="7"/>
  <c r="J395" i="7"/>
  <c r="J396" i="7"/>
  <c r="J397" i="7"/>
  <c r="J398" i="7"/>
  <c r="J399" i="7"/>
  <c r="J400" i="7"/>
  <c r="J401" i="7"/>
  <c r="J402" i="7"/>
  <c r="J403" i="7"/>
  <c r="J404" i="7"/>
  <c r="J405" i="7"/>
  <c r="J406" i="7"/>
  <c r="J407" i="7"/>
  <c r="J408" i="7"/>
  <c r="J409" i="7"/>
  <c r="J410" i="7"/>
  <c r="J411" i="7"/>
  <c r="J412" i="7"/>
  <c r="J413" i="7"/>
  <c r="J414" i="7"/>
  <c r="J415" i="7"/>
  <c r="J416" i="7"/>
  <c r="J417" i="7"/>
  <c r="J418" i="7"/>
  <c r="J419" i="7"/>
  <c r="J420" i="7"/>
  <c r="J421" i="7"/>
  <c r="J422" i="7"/>
  <c r="J423" i="7"/>
  <c r="J424" i="7"/>
  <c r="J425" i="7"/>
  <c r="J426" i="7"/>
  <c r="J427" i="7"/>
  <c r="J428" i="7"/>
  <c r="J429" i="7"/>
  <c r="J430" i="7"/>
  <c r="J431" i="7"/>
  <c r="J432" i="7"/>
  <c r="J433" i="7"/>
  <c r="J434" i="7"/>
  <c r="J435" i="7"/>
  <c r="J436" i="7"/>
  <c r="J437" i="7"/>
  <c r="J438" i="7"/>
  <c r="J439" i="7"/>
  <c r="J440" i="7"/>
  <c r="J441" i="7"/>
  <c r="J442" i="7"/>
  <c r="J443" i="7"/>
  <c r="J444" i="7"/>
  <c r="J445" i="7"/>
  <c r="J446" i="7"/>
  <c r="J447" i="7"/>
  <c r="J448" i="7"/>
  <c r="J449" i="7"/>
  <c r="J450" i="7"/>
  <c r="J451" i="7"/>
  <c r="J452" i="7"/>
  <c r="J453" i="7"/>
  <c r="J454" i="7"/>
  <c r="J455" i="7"/>
  <c r="J456" i="7"/>
  <c r="J457" i="7"/>
  <c r="J458" i="7"/>
  <c r="J459" i="7"/>
  <c r="J460" i="7"/>
  <c r="J461" i="7"/>
  <c r="J462" i="7"/>
  <c r="J463" i="7"/>
  <c r="J464" i="7"/>
  <c r="J465" i="7"/>
  <c r="J466" i="7"/>
  <c r="J467" i="7"/>
  <c r="J468" i="7"/>
  <c r="J469" i="7"/>
  <c r="J470" i="7"/>
  <c r="J471" i="7"/>
  <c r="J472" i="7"/>
  <c r="J473" i="7"/>
  <c r="J474" i="7"/>
  <c r="J475" i="7"/>
  <c r="J476" i="7"/>
  <c r="J477" i="7"/>
  <c r="J478" i="7"/>
  <c r="J479" i="7"/>
  <c r="J480" i="7"/>
  <c r="J481" i="7"/>
  <c r="J482" i="7"/>
  <c r="J483" i="7"/>
  <c r="J484" i="7"/>
  <c r="J485" i="7"/>
  <c r="J486" i="7"/>
  <c r="J487" i="7"/>
  <c r="J488" i="7"/>
  <c r="J489" i="7"/>
  <c r="J490" i="7"/>
  <c r="J491" i="7"/>
  <c r="J492" i="7"/>
  <c r="J493" i="7"/>
  <c r="J494" i="7"/>
  <c r="J495" i="7"/>
  <c r="J496" i="7"/>
  <c r="J497" i="7"/>
  <c r="J498" i="7"/>
  <c r="J499" i="7"/>
  <c r="J500" i="7"/>
  <c r="J501" i="7"/>
  <c r="J502" i="7"/>
  <c r="J503" i="7"/>
  <c r="J504" i="7"/>
  <c r="J505" i="7"/>
  <c r="J506" i="7"/>
  <c r="J507" i="7"/>
  <c r="J508" i="7"/>
  <c r="J509" i="7"/>
  <c r="J510" i="7"/>
  <c r="J511" i="7"/>
  <c r="J512" i="7"/>
  <c r="J513" i="7"/>
  <c r="J514" i="7"/>
  <c r="J515" i="7"/>
  <c r="J516" i="7"/>
  <c r="J517" i="7"/>
  <c r="J518" i="7"/>
  <c r="J519" i="7"/>
  <c r="J520" i="7"/>
  <c r="J521" i="7"/>
  <c r="J522" i="7"/>
  <c r="J523" i="7"/>
  <c r="J524" i="7"/>
  <c r="J525" i="7"/>
  <c r="J526" i="7"/>
  <c r="J527" i="7"/>
  <c r="J528" i="7"/>
  <c r="J529" i="7"/>
  <c r="J530" i="7"/>
  <c r="J531" i="7"/>
  <c r="J532" i="7"/>
  <c r="J533" i="7"/>
  <c r="J534" i="7"/>
  <c r="J535" i="7"/>
  <c r="J536" i="7"/>
  <c r="J537" i="7"/>
  <c r="J538" i="7"/>
  <c r="J539" i="7"/>
  <c r="J540" i="7"/>
  <c r="J541" i="7"/>
  <c r="J542" i="7"/>
  <c r="J543" i="7"/>
  <c r="J544" i="7"/>
  <c r="J545" i="7"/>
  <c r="J546" i="7"/>
  <c r="J547" i="7"/>
  <c r="J548" i="7"/>
  <c r="J549" i="7"/>
  <c r="J550" i="7"/>
  <c r="J551" i="7"/>
  <c r="J552" i="7"/>
  <c r="J553" i="7"/>
  <c r="J554" i="7"/>
  <c r="J555" i="7"/>
  <c r="J556" i="7"/>
  <c r="J557" i="7"/>
  <c r="J558" i="7"/>
  <c r="J559" i="7"/>
  <c r="J560" i="7"/>
  <c r="J561" i="7"/>
  <c r="J562" i="7"/>
  <c r="J563" i="7"/>
  <c r="J564" i="7"/>
  <c r="J565" i="7"/>
  <c r="J566" i="7"/>
  <c r="J567" i="7"/>
  <c r="J568" i="7"/>
  <c r="J569" i="7"/>
  <c r="J570" i="7"/>
  <c r="J571" i="7"/>
  <c r="J572" i="7"/>
  <c r="J573" i="7"/>
  <c r="J574" i="7"/>
  <c r="J575" i="7"/>
  <c r="J576" i="7"/>
  <c r="J577" i="7"/>
  <c r="J578" i="7"/>
  <c r="J579" i="7"/>
  <c r="J580" i="7"/>
  <c r="J581" i="7"/>
  <c r="J582" i="7"/>
  <c r="J583" i="7"/>
  <c r="J584" i="7"/>
  <c r="J585" i="7"/>
  <c r="J586" i="7"/>
  <c r="J587" i="7"/>
  <c r="J588" i="7"/>
  <c r="J589" i="7"/>
  <c r="J590" i="7"/>
  <c r="J591" i="7"/>
  <c r="J592" i="7"/>
  <c r="J593" i="7"/>
  <c r="J594" i="7"/>
  <c r="J595" i="7"/>
  <c r="J596" i="7"/>
  <c r="J597" i="7"/>
  <c r="J598" i="7"/>
  <c r="J599" i="7"/>
  <c r="J600" i="7"/>
  <c r="J601" i="7"/>
  <c r="J602" i="7"/>
  <c r="J603" i="7"/>
  <c r="J604" i="7"/>
  <c r="J605" i="7"/>
  <c r="J606" i="7"/>
  <c r="J607" i="7"/>
  <c r="J608" i="7"/>
  <c r="J609" i="7"/>
  <c r="J610" i="7"/>
  <c r="J611" i="7"/>
  <c r="J612" i="7"/>
  <c r="J613" i="7"/>
  <c r="J614" i="7"/>
  <c r="J615" i="7"/>
  <c r="J616" i="7"/>
  <c r="J617" i="7"/>
  <c r="J618" i="7"/>
  <c r="J619" i="7"/>
  <c r="J10" i="7"/>
  <c r="D11" i="9"/>
  <c r="F18" i="6"/>
  <c r="F10" i="6"/>
  <c r="F22" i="6"/>
  <c r="F21" i="6"/>
  <c r="F20" i="6"/>
  <c r="F19" i="6"/>
  <c r="E18" i="6"/>
  <c r="E14" i="6"/>
  <c r="D14" i="6"/>
  <c r="D18" i="6" s="1"/>
  <c r="D12" i="6"/>
  <c r="G6" i="5"/>
  <c r="E12" i="5"/>
  <c r="E11" i="5"/>
  <c r="I10" i="5"/>
  <c r="I8" i="5"/>
  <c r="I7" i="5"/>
  <c r="I6" i="5"/>
  <c r="G8" i="5"/>
  <c r="G7" i="5"/>
  <c r="G9" i="5"/>
  <c r="G10" i="5" s="1"/>
  <c r="D9" i="5"/>
  <c r="E10" i="4"/>
  <c r="G8" i="4"/>
  <c r="G7" i="4"/>
  <c r="G6" i="4"/>
  <c r="G10" i="4" s="1"/>
  <c r="G6" i="3"/>
  <c r="H10" i="3"/>
  <c r="G10" i="3"/>
  <c r="H9" i="3"/>
  <c r="G9" i="3"/>
  <c r="H8" i="3"/>
  <c r="G8" i="3"/>
  <c r="H7" i="3"/>
  <c r="G7" i="3"/>
  <c r="H6" i="3"/>
  <c r="H11" i="3" s="1"/>
  <c r="H12" i="3" s="1"/>
  <c r="H15" i="3" s="1"/>
  <c r="G11" i="3"/>
  <c r="G12" i="3" s="1"/>
  <c r="G15" i="3" s="1"/>
  <c r="E15" i="3"/>
  <c r="D15" i="3"/>
  <c r="E14" i="3"/>
  <c r="D14" i="3"/>
  <c r="D13" i="3"/>
  <c r="H21" i="6" l="1"/>
  <c r="I21" i="6" s="1"/>
  <c r="H22" i="6"/>
  <c r="I22" i="6" s="1"/>
  <c r="H18" i="6"/>
  <c r="I18" i="6" s="1"/>
  <c r="H19" i="6"/>
  <c r="I19" i="6" s="1"/>
  <c r="H20" i="6"/>
  <c r="I20" i="6" s="1"/>
  <c r="C7" i="3"/>
  <c r="C8" i="3" s="1"/>
  <c r="C9" i="3" s="1"/>
  <c r="C10" i="3" s="1"/>
</calcChain>
</file>

<file path=xl/sharedStrings.xml><?xml version="1.0" encoding="utf-8"?>
<sst xmlns="http://schemas.openxmlformats.org/spreadsheetml/2006/main" count="67" uniqueCount="56">
  <si>
    <t>A</t>
  </si>
  <si>
    <t>B</t>
  </si>
  <si>
    <t>C</t>
  </si>
  <si>
    <t>Normal</t>
  </si>
  <si>
    <t>Expansión</t>
  </si>
  <si>
    <t>Recesión</t>
  </si>
  <si>
    <t>Año</t>
  </si>
  <si>
    <t>Calcule la tasa de rendimiento promedio para cada activo</t>
  </si>
  <si>
    <t>Calcule el riesgo histórico para cada activo</t>
  </si>
  <si>
    <t>Rendimiento promedio</t>
  </si>
  <si>
    <t>Desv. St</t>
  </si>
  <si>
    <t>Varianza</t>
  </si>
  <si>
    <t>n</t>
  </si>
  <si>
    <t>Estado</t>
  </si>
  <si>
    <t>Probabilidad</t>
  </si>
  <si>
    <t>Rendimiento</t>
  </si>
  <si>
    <t>Calcule el rendimiento esperado de un portafolio con las siguientes características</t>
  </si>
  <si>
    <t>Inversión</t>
  </si>
  <si>
    <t>Monto invertido</t>
  </si>
  <si>
    <t>Rendimiento esperado</t>
  </si>
  <si>
    <t>Calcule la tasa de rendimiento esperada para este activo</t>
  </si>
  <si>
    <t>Descargue el índice de S&amp;P de la página de Yahoo Finance y estime el rendimiento promedio del mercado de los últimos 50 años</t>
  </si>
  <si>
    <t>https://www.federalreserve.gov/datadownload/Chart.aspx?rel=H15&amp;series=bf17364827e38702b42a58cf8eaa3f78&amp;lastobs=&amp;from=&amp;to=&amp;filetype=spreadsheetml&amp;label=include&amp;layout=seriescolumn&amp;pp=Format</t>
  </si>
  <si>
    <t>Utilice esta fuente para obtener un dato de tasa libre de riesgo</t>
  </si>
  <si>
    <t>¿Qué rendimiento debería requerir como mínimo para esa inersión usando el modelo CAPM?</t>
  </si>
  <si>
    <t>Suponga que tiene una inversión con un Beta de 1.5, la tasa libre de riesgo es del 3% y el rendimiento del mercado 9%.</t>
  </si>
  <si>
    <t>Peso en portafolio</t>
  </si>
  <si>
    <t>Retorno esperado</t>
  </si>
  <si>
    <t>Desviación st</t>
  </si>
  <si>
    <t>Calcule el rendimiento esperado del portafolio</t>
  </si>
  <si>
    <t>Calcule la desviación del portafolio, asumiendo coeficientes de correlación de 1, 0.5, 0, -0.5 y -1</t>
  </si>
  <si>
    <t>Promedio</t>
  </si>
  <si>
    <t>Cálculo manual</t>
  </si>
  <si>
    <t>Rendimiento portafolio</t>
  </si>
  <si>
    <t>Var.</t>
  </si>
  <si>
    <t>P</t>
  </si>
  <si>
    <t>=</t>
  </si>
  <si>
    <t>xa^2 *σa^2</t>
  </si>
  <si>
    <t>xb^2 *σb^2</t>
  </si>
  <si>
    <r>
      <t>2*xa*xb*</t>
    </r>
    <r>
      <rPr>
        <sz val="10"/>
        <color theme="1"/>
        <rFont val="Calibri"/>
        <family val="2"/>
      </rPr>
      <t>ρ</t>
    </r>
    <r>
      <rPr>
        <sz val="10"/>
        <color theme="1"/>
        <rFont val="Century Gothic"/>
        <family val="2"/>
      </rPr>
      <t>*σa*σb</t>
    </r>
  </si>
  <si>
    <t>σ^2(P)</t>
  </si>
  <si>
    <t>rf</t>
  </si>
  <si>
    <t>rm</t>
  </si>
  <si>
    <t>Beta</t>
  </si>
  <si>
    <t>CAPM</t>
  </si>
  <si>
    <t>+</t>
  </si>
  <si>
    <t>ϐ(rm - rf)</t>
  </si>
  <si>
    <t>Date</t>
  </si>
  <si>
    <t>Open</t>
  </si>
  <si>
    <t>High</t>
  </si>
  <si>
    <t>Low</t>
  </si>
  <si>
    <t>Close</t>
  </si>
  <si>
    <t>Adj Close</t>
  </si>
  <si>
    <t>Volume</t>
  </si>
  <si>
    <t>Tasa libre de riesgo</t>
  </si>
  <si>
    <t>30 year Treasury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</si>
</sst>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-* #,##0.00_-;\-* #,##0.00_-;_-* &quot;-&quot;??_-;_-@_-"/>
    <numFmt numFmtId="164" formatCode="0.0%"/>
    <numFmt numFmtId="165" formatCode="0.000%"/>
    <numFmt numFmtId="166" formatCode="0.0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sz val="10"/>
      <color theme="1"/>
      <name val="Century Gothic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9" fontId="1" fillId="0" borderId="0" xfId="0" applyNumberFormat="1" applyFont="1"/>
    <xf numFmtId="10" fontId="1" fillId="0" borderId="0" xfId="0" applyNumberFormat="1" applyFont="1"/>
    <xf numFmtId="0" fontId="1" fillId="0" borderId="1" xfId="0" applyFont="1" applyBorder="1"/>
    <xf numFmtId="9" fontId="1" fillId="0" borderId="1" xfId="0" applyNumberFormat="1" applyFont="1" applyBorder="1"/>
    <xf numFmtId="0" fontId="1" fillId="0" borderId="1" xfId="0" applyFont="1" applyBorder="1" applyAlignment="1">
      <alignment horizontal="center"/>
    </xf>
    <xf numFmtId="9" fontId="1" fillId="0" borderId="1" xfId="0" applyNumberFormat="1" applyFont="1" applyBorder="1" applyAlignment="1">
      <alignment horizontal="center"/>
    </xf>
    <xf numFmtId="10" fontId="1" fillId="0" borderId="1" xfId="0" applyNumberFormat="1" applyFont="1" applyBorder="1" applyAlignment="1">
      <alignment horizontal="center"/>
    </xf>
    <xf numFmtId="164" fontId="1" fillId="0" borderId="0" xfId="0" applyNumberFormat="1" applyFont="1"/>
    <xf numFmtId="165" fontId="1" fillId="0" borderId="0" xfId="0" applyNumberFormat="1" applyFont="1"/>
    <xf numFmtId="4" fontId="1" fillId="0" borderId="0" xfId="0" applyNumberFormat="1" applyFont="1"/>
    <xf numFmtId="4" fontId="1" fillId="0" borderId="1" xfId="0" applyNumberFormat="1" applyFont="1" applyBorder="1"/>
    <xf numFmtId="9" fontId="2" fillId="0" borderId="0" xfId="0" applyNumberFormat="1" applyFont="1"/>
    <xf numFmtId="165" fontId="1" fillId="0" borderId="0" xfId="1" applyNumberFormat="1" applyFont="1"/>
    <xf numFmtId="43" fontId="1" fillId="0" borderId="0" xfId="1" applyFont="1"/>
    <xf numFmtId="0" fontId="1" fillId="2" borderId="0" xfId="0" applyFont="1" applyFill="1"/>
    <xf numFmtId="10" fontId="1" fillId="2" borderId="0" xfId="0" applyNumberFormat="1" applyFont="1" applyFill="1"/>
    <xf numFmtId="164" fontId="1" fillId="2" borderId="0" xfId="0" applyNumberFormat="1" applyFont="1" applyFill="1"/>
    <xf numFmtId="2" fontId="1" fillId="0" borderId="0" xfId="0" applyNumberFormat="1" applyFont="1"/>
    <xf numFmtId="10" fontId="2" fillId="0" borderId="0" xfId="0" applyNumberFormat="1" applyFont="1"/>
    <xf numFmtId="166" fontId="2" fillId="0" borderId="0" xfId="0" applyNumberFormat="1" applyFont="1"/>
    <xf numFmtId="0" fontId="2" fillId="0" borderId="0" xfId="0" quotePrefix="1" applyFont="1"/>
    <xf numFmtId="9" fontId="2" fillId="2" borderId="0" xfId="0" applyNumberFormat="1" applyFont="1" applyFill="1"/>
    <xf numFmtId="9" fontId="0" fillId="0" borderId="0" xfId="0" applyNumberFormat="1"/>
    <xf numFmtId="0" fontId="0" fillId="0" borderId="0" xfId="0" quotePrefix="1"/>
    <xf numFmtId="0" fontId="5" fillId="0" borderId="0" xfId="0" applyFont="1"/>
    <xf numFmtId="14" fontId="0" fillId="0" borderId="0" xfId="0" applyNumberFormat="1"/>
    <xf numFmtId="10" fontId="0" fillId="0" borderId="0" xfId="0" applyNumberFormat="1"/>
    <xf numFmtId="11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5"/>
  <sheetViews>
    <sheetView workbookViewId="0">
      <selection activeCell="I16" sqref="I16"/>
    </sheetView>
  </sheetViews>
  <sheetFormatPr defaultRowHeight="16.5" x14ac:dyDescent="0.3"/>
  <cols>
    <col min="1" max="16384" width="9.140625" style="1"/>
  </cols>
  <sheetData>
    <row r="2" spans="1:9" x14ac:dyDescent="0.3">
      <c r="A2" s="1">
        <v>1</v>
      </c>
      <c r="B2" s="1" t="s">
        <v>7</v>
      </c>
    </row>
    <row r="3" spans="1:9" x14ac:dyDescent="0.3">
      <c r="A3" s="1">
        <v>2</v>
      </c>
      <c r="B3" s="1" t="s">
        <v>8</v>
      </c>
    </row>
    <row r="5" spans="1:9" x14ac:dyDescent="0.3">
      <c r="C5" s="8" t="s">
        <v>6</v>
      </c>
      <c r="D5" s="8" t="s">
        <v>0</v>
      </c>
      <c r="E5" s="8" t="s">
        <v>1</v>
      </c>
    </row>
    <row r="6" spans="1:9" x14ac:dyDescent="0.3">
      <c r="C6" s="8">
        <v>2004</v>
      </c>
      <c r="D6" s="9">
        <v>-0.1</v>
      </c>
      <c r="E6" s="9">
        <v>-0.03</v>
      </c>
      <c r="G6" s="12">
        <f>(D6-D$14)^2</f>
        <v>8.3521000000000026E-2</v>
      </c>
      <c r="H6" s="12">
        <f>(E6-E$14)^2</f>
        <v>4.7969760399999985E-2</v>
      </c>
    </row>
    <row r="7" spans="1:9" x14ac:dyDescent="0.3">
      <c r="C7" s="8">
        <f>C6+1</f>
        <v>2005</v>
      </c>
      <c r="D7" s="10">
        <v>0.185</v>
      </c>
      <c r="E7" s="10">
        <v>0.21290000000000001</v>
      </c>
      <c r="G7" s="12">
        <f>(D7-D$14)^2</f>
        <v>1.600000000000003E-5</v>
      </c>
      <c r="H7" s="12">
        <f>(E7-E$14)^2</f>
        <v>5.7025440000000194E-4</v>
      </c>
    </row>
    <row r="8" spans="1:9" x14ac:dyDescent="0.3">
      <c r="C8" s="8">
        <f t="shared" ref="C8:C10" si="0">C7+1</f>
        <v>2006</v>
      </c>
      <c r="D8" s="10">
        <v>0.38669999999999999</v>
      </c>
      <c r="E8" s="10">
        <v>0.4425</v>
      </c>
      <c r="G8" s="12">
        <f>(D8-D$14)^2</f>
        <v>3.9085289999999995E-2</v>
      </c>
      <c r="H8" s="12">
        <f>(E8-E$14)^2</f>
        <v>6.425211040000002E-2</v>
      </c>
    </row>
    <row r="9" spans="1:9" x14ac:dyDescent="0.3">
      <c r="C9" s="8">
        <f t="shared" si="0"/>
        <v>2007</v>
      </c>
      <c r="D9" s="10">
        <v>0.14330000000000001</v>
      </c>
      <c r="E9" s="10">
        <v>3.6700000000000003E-2</v>
      </c>
      <c r="G9" s="12">
        <f>(D9-D$14)^2</f>
        <v>2.0884899999999993E-3</v>
      </c>
      <c r="H9" s="12">
        <f>(E9-E$14)^2</f>
        <v>2.3201382399999988E-2</v>
      </c>
    </row>
    <row r="10" spans="1:9" x14ac:dyDescent="0.3">
      <c r="C10" s="8">
        <f t="shared" si="0"/>
        <v>2008</v>
      </c>
      <c r="D10" s="9">
        <v>0.33</v>
      </c>
      <c r="E10" s="10">
        <v>0.28299999999999997</v>
      </c>
      <c r="G10" s="12">
        <f>(D10-D$14)^2</f>
        <v>1.9881000000000003E-2</v>
      </c>
      <c r="H10" s="12">
        <f>(E10-E$14)^2</f>
        <v>8.8322404000000018E-3</v>
      </c>
    </row>
    <row r="11" spans="1:9" x14ac:dyDescent="0.3">
      <c r="G11" s="16">
        <f>SUM(G6:G10)</f>
        <v>0.14459178000000003</v>
      </c>
      <c r="H11" s="16">
        <f>SUM(H6:H10)</f>
        <v>0.144825748</v>
      </c>
    </row>
    <row r="12" spans="1:9" x14ac:dyDescent="0.3">
      <c r="G12" s="17">
        <f>G11/(D13-1)</f>
        <v>3.6147945000000008E-2</v>
      </c>
      <c r="H12" s="17">
        <f>H11/(D13-1)</f>
        <v>3.6206437000000001E-2</v>
      </c>
    </row>
    <row r="13" spans="1:9" x14ac:dyDescent="0.3">
      <c r="C13" s="1" t="s">
        <v>12</v>
      </c>
      <c r="D13" s="1">
        <f>COUNT(D6:D10)</f>
        <v>5</v>
      </c>
      <c r="G13" s="17"/>
    </row>
    <row r="14" spans="1:9" x14ac:dyDescent="0.3">
      <c r="C14" s="18" t="s">
        <v>31</v>
      </c>
      <c r="D14" s="19">
        <f>AVERAGE(D6:D10)</f>
        <v>0.189</v>
      </c>
      <c r="E14" s="19">
        <f>AVERAGE(E6:E10)</f>
        <v>0.18901999999999997</v>
      </c>
    </row>
    <row r="15" spans="1:9" x14ac:dyDescent="0.3">
      <c r="C15" s="18" t="s">
        <v>10</v>
      </c>
      <c r="D15" s="19">
        <f>_xlfn.STDEV.S(D6:D10)</f>
        <v>0.19012612918796828</v>
      </c>
      <c r="E15" s="19">
        <f>_xlfn.STDEV.S(E6:E10)</f>
        <v>0.19027989121291827</v>
      </c>
      <c r="G15" s="5">
        <f>SQRT(G12)</f>
        <v>0.19012612918796828</v>
      </c>
      <c r="H15" s="5">
        <f>SQRT(H12)</f>
        <v>0.19027989121291825</v>
      </c>
      <c r="I15" s="1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10"/>
  <sheetViews>
    <sheetView workbookViewId="0">
      <selection activeCell="E10" sqref="E10"/>
    </sheetView>
  </sheetViews>
  <sheetFormatPr defaultColWidth="12.7109375" defaultRowHeight="16.5" x14ac:dyDescent="0.3"/>
  <cols>
    <col min="1" max="3" width="12.7109375" style="1"/>
    <col min="4" max="4" width="14.42578125" style="1" bestFit="1" customWidth="1"/>
    <col min="5" max="5" width="12.85546875" style="1" customWidth="1"/>
    <col min="6" max="16384" width="12.7109375" style="1"/>
  </cols>
  <sheetData>
    <row r="3" spans="1:7" x14ac:dyDescent="0.3">
      <c r="A3" s="1">
        <v>1</v>
      </c>
      <c r="B3" s="1" t="s">
        <v>20</v>
      </c>
    </row>
    <row r="5" spans="1:7" x14ac:dyDescent="0.3">
      <c r="C5" s="6" t="s">
        <v>13</v>
      </c>
      <c r="D5" s="6" t="s">
        <v>14</v>
      </c>
      <c r="E5" s="6" t="s">
        <v>15</v>
      </c>
    </row>
    <row r="6" spans="1:7" x14ac:dyDescent="0.3">
      <c r="C6" s="6" t="s">
        <v>4</v>
      </c>
      <c r="D6" s="6">
        <v>0.2</v>
      </c>
      <c r="E6" s="7">
        <v>-0.05</v>
      </c>
      <c r="G6" s="1">
        <f>D6*E6</f>
        <v>-1.0000000000000002E-2</v>
      </c>
    </row>
    <row r="7" spans="1:7" x14ac:dyDescent="0.3">
      <c r="C7" s="6" t="s">
        <v>3</v>
      </c>
      <c r="D7" s="6">
        <v>0.4</v>
      </c>
      <c r="E7" s="7">
        <v>0.1</v>
      </c>
      <c r="G7" s="1">
        <f>D7*E7</f>
        <v>4.0000000000000008E-2</v>
      </c>
    </row>
    <row r="8" spans="1:7" x14ac:dyDescent="0.3">
      <c r="C8" s="6" t="s">
        <v>5</v>
      </c>
      <c r="D8" s="6">
        <v>0.5</v>
      </c>
      <c r="E8" s="7">
        <v>0.3</v>
      </c>
      <c r="G8" s="1">
        <f>D8*E8</f>
        <v>0.15</v>
      </c>
    </row>
    <row r="10" spans="1:7" x14ac:dyDescent="0.3">
      <c r="E10" s="20">
        <f>SUMPRODUCT(D6:D8,E6:E8)</f>
        <v>0.18</v>
      </c>
      <c r="G10" s="4">
        <f>SUM(G6:G8)</f>
        <v>0.18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I12"/>
  <sheetViews>
    <sheetView workbookViewId="0">
      <selection activeCell="J10" sqref="J10"/>
    </sheetView>
  </sheetViews>
  <sheetFormatPr defaultRowHeight="16.5" x14ac:dyDescent="0.3"/>
  <cols>
    <col min="1" max="2" width="9.140625" style="1"/>
    <col min="3" max="3" width="10.5703125" style="1" bestFit="1" customWidth="1"/>
    <col min="4" max="4" width="18.140625" style="1" bestFit="1" customWidth="1"/>
    <col min="5" max="5" width="24.5703125" style="1" bestFit="1" customWidth="1"/>
    <col min="6" max="16384" width="9.140625" style="1"/>
  </cols>
  <sheetData>
    <row r="3" spans="2:9" x14ac:dyDescent="0.3">
      <c r="B3" s="1" t="s">
        <v>16</v>
      </c>
    </row>
    <row r="5" spans="2:9" x14ac:dyDescent="0.3">
      <c r="C5" s="6" t="s">
        <v>17</v>
      </c>
      <c r="D5" s="6" t="s">
        <v>18</v>
      </c>
      <c r="E5" s="6" t="s">
        <v>19</v>
      </c>
    </row>
    <row r="6" spans="2:9" x14ac:dyDescent="0.3">
      <c r="C6" s="6" t="s">
        <v>0</v>
      </c>
      <c r="D6" s="14">
        <v>10000</v>
      </c>
      <c r="E6" s="7">
        <v>0.3</v>
      </c>
      <c r="G6" s="1">
        <f>D6*E6</f>
        <v>3000</v>
      </c>
      <c r="I6" s="21">
        <f>D6/$D$9</f>
        <v>0.1</v>
      </c>
    </row>
    <row r="7" spans="2:9" x14ac:dyDescent="0.3">
      <c r="C7" s="6" t="s">
        <v>1</v>
      </c>
      <c r="D7" s="14">
        <v>50000</v>
      </c>
      <c r="E7" s="7">
        <v>0.16</v>
      </c>
      <c r="G7" s="1">
        <f>D7*E7</f>
        <v>8000</v>
      </c>
      <c r="I7" s="21">
        <f t="shared" ref="I7:I8" si="0">D7/$D$9</f>
        <v>0.5</v>
      </c>
    </row>
    <row r="8" spans="2:9" x14ac:dyDescent="0.3">
      <c r="C8" s="6" t="s">
        <v>2</v>
      </c>
      <c r="D8" s="14">
        <v>40000</v>
      </c>
      <c r="E8" s="7">
        <v>0.2</v>
      </c>
      <c r="G8" s="1">
        <f>D8*E8</f>
        <v>8000</v>
      </c>
      <c r="I8" s="21">
        <f t="shared" si="0"/>
        <v>0.4</v>
      </c>
    </row>
    <row r="9" spans="2:9" x14ac:dyDescent="0.3">
      <c r="D9" s="13">
        <f>SUM(D6:D8)</f>
        <v>100000</v>
      </c>
      <c r="G9" s="1">
        <f>SUM(G6:G8)</f>
        <v>19000</v>
      </c>
    </row>
    <row r="10" spans="2:9" x14ac:dyDescent="0.3">
      <c r="G10" s="11">
        <f>G9/D9</f>
        <v>0.19</v>
      </c>
      <c r="I10" s="11">
        <f>SUMPRODUCT(E6:E8,I6:I8)</f>
        <v>0.19</v>
      </c>
    </row>
    <row r="11" spans="2:9" x14ac:dyDescent="0.3">
      <c r="E11" s="1">
        <f>SUMPRODUCT(D6:D8,E6:E8)</f>
        <v>19000</v>
      </c>
    </row>
    <row r="12" spans="2:9" x14ac:dyDescent="0.3">
      <c r="E12" s="20">
        <f>E11/D9</f>
        <v>0.19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2"/>
  <sheetViews>
    <sheetView topLeftCell="A5" workbookViewId="0">
      <selection activeCell="H25" sqref="H25"/>
    </sheetView>
  </sheetViews>
  <sheetFormatPr defaultRowHeight="13.5" x14ac:dyDescent="0.25"/>
  <cols>
    <col min="1" max="2" width="9.140625" style="2"/>
    <col min="3" max="3" width="18.140625" style="2" bestFit="1" customWidth="1"/>
    <col min="4" max="16384" width="9.140625" style="2"/>
  </cols>
  <sheetData>
    <row r="2" spans="2:10" x14ac:dyDescent="0.25">
      <c r="B2" s="2" t="s">
        <v>29</v>
      </c>
    </row>
    <row r="3" spans="2:10" x14ac:dyDescent="0.25">
      <c r="B3" s="2" t="s">
        <v>30</v>
      </c>
    </row>
    <row r="7" spans="2:10" x14ac:dyDescent="0.25">
      <c r="D7" s="2" t="s">
        <v>0</v>
      </c>
      <c r="E7" s="3" t="s">
        <v>1</v>
      </c>
    </row>
    <row r="8" spans="2:10" x14ac:dyDescent="0.25">
      <c r="C8" s="2" t="s">
        <v>26</v>
      </c>
      <c r="D8" s="2">
        <v>0.5</v>
      </c>
      <c r="E8" s="2">
        <v>0.5</v>
      </c>
    </row>
    <row r="9" spans="2:10" x14ac:dyDescent="0.25">
      <c r="C9" s="2" t="s">
        <v>27</v>
      </c>
      <c r="D9" s="15">
        <v>0.04</v>
      </c>
      <c r="E9" s="15">
        <v>0.09</v>
      </c>
    </row>
    <row r="10" spans="2:10" x14ac:dyDescent="0.25">
      <c r="C10" s="2" t="s">
        <v>28</v>
      </c>
      <c r="D10" s="15">
        <v>0.2</v>
      </c>
      <c r="E10" s="15">
        <v>0.28000000000000003</v>
      </c>
      <c r="F10" s="15">
        <f>D10*D8+E10*E8</f>
        <v>0.24000000000000002</v>
      </c>
    </row>
    <row r="12" spans="2:10" x14ac:dyDescent="0.25">
      <c r="C12" s="2" t="s">
        <v>33</v>
      </c>
      <c r="D12" s="22">
        <f>SUMPRODUCT(D9:E9,D8:E8)</f>
        <v>6.5000000000000002E-2</v>
      </c>
    </row>
    <row r="14" spans="2:10" x14ac:dyDescent="0.25">
      <c r="C14" s="2" t="s">
        <v>11</v>
      </c>
      <c r="D14" s="2">
        <f>D10^2</f>
        <v>4.0000000000000008E-2</v>
      </c>
      <c r="E14" s="2">
        <f>E10^2</f>
        <v>7.8400000000000011E-2</v>
      </c>
    </row>
    <row r="15" spans="2:10" x14ac:dyDescent="0.25">
      <c r="H15" s="2" t="s">
        <v>34</v>
      </c>
      <c r="I15" s="2" t="s">
        <v>10</v>
      </c>
      <c r="J15" s="2" t="s">
        <v>35</v>
      </c>
    </row>
    <row r="16" spans="2:10" x14ac:dyDescent="0.25">
      <c r="D16" s="2" t="s">
        <v>37</v>
      </c>
      <c r="E16" s="2" t="s">
        <v>38</v>
      </c>
      <c r="F16" s="2" t="s">
        <v>39</v>
      </c>
      <c r="H16" s="2" t="s">
        <v>40</v>
      </c>
    </row>
    <row r="18" spans="4:10" x14ac:dyDescent="0.25">
      <c r="D18" s="23">
        <f>D8^2*D14</f>
        <v>1.0000000000000002E-2</v>
      </c>
      <c r="E18" s="2">
        <f>E8^2*E14</f>
        <v>1.9600000000000003E-2</v>
      </c>
      <c r="F18" s="2">
        <f>2*$D$8*$E$8*$D$10*$E$10*J18</f>
        <v>2.8000000000000004E-2</v>
      </c>
      <c r="G18" s="24" t="s">
        <v>36</v>
      </c>
      <c r="H18" s="23">
        <f>$D$18+$E$18+F18</f>
        <v>5.7600000000000012E-2</v>
      </c>
      <c r="I18" s="25">
        <f>SQRT(H18)</f>
        <v>0.24000000000000002</v>
      </c>
      <c r="J18" s="2">
        <v>1</v>
      </c>
    </row>
    <row r="19" spans="4:10" x14ac:dyDescent="0.25">
      <c r="F19" s="2">
        <f t="shared" ref="F19:F22" si="0">2*$D$8*$E$8*$D$10*$E$10*J19</f>
        <v>1.4000000000000002E-2</v>
      </c>
      <c r="G19" s="24" t="s">
        <v>36</v>
      </c>
      <c r="H19" s="2">
        <f t="shared" ref="H19:H22" si="1">$D$18+$E$18+F19</f>
        <v>4.3600000000000007E-2</v>
      </c>
      <c r="I19" s="25">
        <f t="shared" ref="I19:I22" si="2">SQRT(H19)</f>
        <v>0.20880613017821101</v>
      </c>
      <c r="J19" s="2">
        <v>0.5</v>
      </c>
    </row>
    <row r="20" spans="4:10" x14ac:dyDescent="0.25">
      <c r="F20" s="2">
        <f t="shared" si="0"/>
        <v>0</v>
      </c>
      <c r="G20" s="24" t="s">
        <v>36</v>
      </c>
      <c r="H20" s="2">
        <f t="shared" si="1"/>
        <v>2.9600000000000005E-2</v>
      </c>
      <c r="I20" s="25">
        <f t="shared" si="2"/>
        <v>0.17204650534085256</v>
      </c>
      <c r="J20" s="2">
        <v>0</v>
      </c>
    </row>
    <row r="21" spans="4:10" x14ac:dyDescent="0.25">
      <c r="F21" s="2">
        <f t="shared" si="0"/>
        <v>-1.4000000000000002E-2</v>
      </c>
      <c r="G21" s="24" t="s">
        <v>36</v>
      </c>
      <c r="H21" s="2">
        <f t="shared" si="1"/>
        <v>1.5600000000000003E-2</v>
      </c>
      <c r="I21" s="25">
        <f t="shared" si="2"/>
        <v>0.12489995996796797</v>
      </c>
      <c r="J21" s="2">
        <v>-0.5</v>
      </c>
    </row>
    <row r="22" spans="4:10" x14ac:dyDescent="0.25">
      <c r="F22" s="2">
        <f t="shared" si="0"/>
        <v>-2.8000000000000004E-2</v>
      </c>
      <c r="G22" s="24" t="s">
        <v>36</v>
      </c>
      <c r="H22" s="2">
        <f t="shared" si="1"/>
        <v>1.6000000000000007E-3</v>
      </c>
      <c r="I22" s="25">
        <f t="shared" si="2"/>
        <v>4.0000000000000008E-2</v>
      </c>
      <c r="J22" s="2">
        <v>-1</v>
      </c>
    </row>
  </sheetData>
  <pageMargins left="0.7" right="0.7" top="0.75" bottom="0.75" header="0.3" footer="0.3"/>
  <pageSetup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R619"/>
  <sheetViews>
    <sheetView tabSelected="1" workbookViewId="0">
      <selection activeCell="L14" sqref="L14"/>
    </sheetView>
  </sheetViews>
  <sheetFormatPr defaultRowHeight="16.5" x14ac:dyDescent="0.3"/>
  <cols>
    <col min="1" max="1" width="9.140625" style="1"/>
    <col min="2" max="2" width="11.5703125" style="1" customWidth="1"/>
    <col min="3" max="16384" width="9.140625" style="1"/>
  </cols>
  <sheetData>
    <row r="3" spans="1:18" x14ac:dyDescent="0.3">
      <c r="A3" s="1">
        <v>1</v>
      </c>
      <c r="B3" s="1" t="s">
        <v>21</v>
      </c>
    </row>
    <row r="4" spans="1:18" x14ac:dyDescent="0.3">
      <c r="A4" s="1">
        <v>2</v>
      </c>
      <c r="B4" s="1" t="s">
        <v>23</v>
      </c>
    </row>
    <row r="5" spans="1:18" x14ac:dyDescent="0.3">
      <c r="B5" s="1" t="s">
        <v>22</v>
      </c>
    </row>
    <row r="8" spans="1:18" x14ac:dyDescent="0.3">
      <c r="B8" t="s">
        <v>47</v>
      </c>
      <c r="C8" t="s">
        <v>48</v>
      </c>
      <c r="D8" t="s">
        <v>49</v>
      </c>
      <c r="E8" t="s">
        <v>50</v>
      </c>
      <c r="F8" t="s">
        <v>51</v>
      </c>
      <c r="G8" t="s">
        <v>52</v>
      </c>
      <c r="H8" t="s">
        <v>53</v>
      </c>
      <c r="I8"/>
      <c r="J8"/>
    </row>
    <row r="9" spans="1:18" x14ac:dyDescent="0.3">
      <c r="B9" s="29">
        <v>24473</v>
      </c>
      <c r="C9">
        <v>80.330001999999993</v>
      </c>
      <c r="D9">
        <v>88.169998000000007</v>
      </c>
      <c r="E9">
        <v>79.430000000000007</v>
      </c>
      <c r="F9">
        <v>86.610000999999997</v>
      </c>
      <c r="G9">
        <v>86.610000999999997</v>
      </c>
      <c r="H9">
        <v>207410000</v>
      </c>
      <c r="I9"/>
      <c r="J9" s="30"/>
      <c r="M9" s="1" t="s">
        <v>9</v>
      </c>
      <c r="P9" s="5">
        <f>AVERAGE(J10:J619)</f>
        <v>6.4959723437519488E-3</v>
      </c>
      <c r="Q9" s="1">
        <v>12</v>
      </c>
      <c r="R9" s="19">
        <f>P9*Q9</f>
        <v>7.7951668125023382E-2</v>
      </c>
    </row>
    <row r="10" spans="1:18" x14ac:dyDescent="0.3">
      <c r="B10" s="29">
        <v>24504</v>
      </c>
      <c r="C10">
        <v>86.610000999999997</v>
      </c>
      <c r="D10">
        <v>89</v>
      </c>
      <c r="E10">
        <v>85.610000999999997</v>
      </c>
      <c r="F10">
        <v>86.779999000000004</v>
      </c>
      <c r="G10">
        <v>86.779999000000004</v>
      </c>
      <c r="H10">
        <v>182950000</v>
      </c>
      <c r="I10"/>
      <c r="J10" s="30">
        <f>F10/F9-1</f>
        <v>1.9627987303683092E-3</v>
      </c>
    </row>
    <row r="11" spans="1:18" x14ac:dyDescent="0.3">
      <c r="B11" s="29">
        <v>24532</v>
      </c>
      <c r="C11">
        <v>86.779999000000004</v>
      </c>
      <c r="D11">
        <v>91.720000999999996</v>
      </c>
      <c r="E11">
        <v>86.669998000000007</v>
      </c>
      <c r="F11">
        <v>90.199996999999996</v>
      </c>
      <c r="G11">
        <v>90.199996999999996</v>
      </c>
      <c r="H11">
        <v>224640000</v>
      </c>
      <c r="I11"/>
      <c r="J11" s="30">
        <f t="shared" ref="J11:J74" si="0">F11/F10-1</f>
        <v>3.9409979712030196E-2</v>
      </c>
      <c r="M11" s="1" t="s">
        <v>54</v>
      </c>
      <c r="P11" s="19">
        <v>2.9100000000000001E-2</v>
      </c>
      <c r="Q11" s="1" t="s">
        <v>55</v>
      </c>
    </row>
    <row r="12" spans="1:18" x14ac:dyDescent="0.3">
      <c r="B12" s="29">
        <v>24563</v>
      </c>
      <c r="C12">
        <v>90.199996999999996</v>
      </c>
      <c r="D12">
        <v>94.769997000000004</v>
      </c>
      <c r="E12">
        <v>87.860000999999997</v>
      </c>
      <c r="F12">
        <v>94.010002</v>
      </c>
      <c r="G12">
        <v>94.010002</v>
      </c>
      <c r="H12">
        <v>187650000</v>
      </c>
      <c r="I12"/>
      <c r="J12" s="30">
        <f t="shared" si="0"/>
        <v>4.223952468645864E-2</v>
      </c>
    </row>
    <row r="13" spans="1:18" x14ac:dyDescent="0.3">
      <c r="B13" s="29">
        <v>24593</v>
      </c>
      <c r="C13">
        <v>94.010002</v>
      </c>
      <c r="D13">
        <v>95.25</v>
      </c>
      <c r="E13">
        <v>88.709998999999996</v>
      </c>
      <c r="F13">
        <v>89.080001999999993</v>
      </c>
      <c r="G13">
        <v>89.080001999999993</v>
      </c>
      <c r="H13">
        <v>218420000</v>
      </c>
      <c r="I13"/>
      <c r="J13" s="30">
        <f t="shared" si="0"/>
        <v>-5.2441228540767493E-2</v>
      </c>
    </row>
    <row r="14" spans="1:18" x14ac:dyDescent="0.3">
      <c r="B14" s="29">
        <v>24624</v>
      </c>
      <c r="C14">
        <v>89.080001999999993</v>
      </c>
      <c r="D14">
        <v>93.279999000000004</v>
      </c>
      <c r="E14">
        <v>87.190002000000007</v>
      </c>
      <c r="F14">
        <v>90.639999000000003</v>
      </c>
      <c r="G14">
        <v>90.639999000000003</v>
      </c>
      <c r="H14">
        <v>212590000</v>
      </c>
      <c r="I14"/>
      <c r="J14" s="30">
        <f t="shared" si="0"/>
        <v>1.751231438005596E-2</v>
      </c>
    </row>
    <row r="15" spans="1:18" x14ac:dyDescent="0.3">
      <c r="B15" s="29">
        <v>24654</v>
      </c>
      <c r="C15">
        <v>90.639999000000003</v>
      </c>
      <c r="D15">
        <v>95.510002</v>
      </c>
      <c r="E15">
        <v>90.120002999999997</v>
      </c>
      <c r="F15">
        <v>94.75</v>
      </c>
      <c r="G15">
        <v>94.75</v>
      </c>
      <c r="H15">
        <v>216730000</v>
      </c>
      <c r="I15"/>
      <c r="J15" s="30">
        <f t="shared" si="0"/>
        <v>4.5344230420832243E-2</v>
      </c>
    </row>
    <row r="16" spans="1:18" x14ac:dyDescent="0.3">
      <c r="B16" s="29">
        <v>24685</v>
      </c>
      <c r="C16">
        <v>94.75</v>
      </c>
      <c r="D16">
        <v>96.669998000000007</v>
      </c>
      <c r="E16">
        <v>92.010002</v>
      </c>
      <c r="F16">
        <v>93.639999000000003</v>
      </c>
      <c r="G16">
        <v>93.639999000000003</v>
      </c>
      <c r="H16">
        <v>207800000</v>
      </c>
      <c r="I16"/>
      <c r="J16" s="30">
        <f t="shared" si="0"/>
        <v>-1.1715050131926086E-2</v>
      </c>
    </row>
    <row r="17" spans="2:10" x14ac:dyDescent="0.3">
      <c r="B17" s="29">
        <v>24716</v>
      </c>
      <c r="C17">
        <v>93.639999000000003</v>
      </c>
      <c r="D17">
        <v>98.309997999999993</v>
      </c>
      <c r="E17">
        <v>93</v>
      </c>
      <c r="F17">
        <v>96.709998999999996</v>
      </c>
      <c r="G17">
        <v>96.709998999999996</v>
      </c>
      <c r="H17">
        <v>204960000</v>
      </c>
      <c r="I17"/>
      <c r="J17" s="30">
        <f t="shared" si="0"/>
        <v>3.2785134908000169E-2</v>
      </c>
    </row>
    <row r="18" spans="2:10" x14ac:dyDescent="0.3">
      <c r="B18" s="29">
        <v>24746</v>
      </c>
      <c r="C18">
        <v>96.709998999999996</v>
      </c>
      <c r="D18">
        <v>98.25</v>
      </c>
      <c r="E18">
        <v>93.290001000000004</v>
      </c>
      <c r="F18">
        <v>93.300003000000004</v>
      </c>
      <c r="G18">
        <v>93.300003000000004</v>
      </c>
      <c r="H18">
        <v>224780000</v>
      </c>
      <c r="I18"/>
      <c r="J18" s="30">
        <f t="shared" si="0"/>
        <v>-3.5260014840864495E-2</v>
      </c>
    </row>
    <row r="19" spans="2:10" x14ac:dyDescent="0.3">
      <c r="B19" s="29">
        <v>24777</v>
      </c>
      <c r="C19">
        <v>93.300003000000004</v>
      </c>
      <c r="D19">
        <v>95.510002</v>
      </c>
      <c r="E19">
        <v>90.089995999999999</v>
      </c>
      <c r="F19">
        <v>94</v>
      </c>
      <c r="G19">
        <v>94</v>
      </c>
      <c r="H19">
        <v>211430000</v>
      </c>
      <c r="I19"/>
      <c r="J19" s="30">
        <f t="shared" si="0"/>
        <v>7.5026471328194511E-3</v>
      </c>
    </row>
    <row r="20" spans="2:10" x14ac:dyDescent="0.3">
      <c r="B20" s="29">
        <v>24807</v>
      </c>
      <c r="C20">
        <v>94</v>
      </c>
      <c r="D20">
        <v>96.900002000000001</v>
      </c>
      <c r="E20">
        <v>93.410004000000001</v>
      </c>
      <c r="F20">
        <v>96.470000999999996</v>
      </c>
      <c r="G20">
        <v>96.470000999999996</v>
      </c>
      <c r="H20">
        <v>229460000</v>
      </c>
      <c r="I20"/>
      <c r="J20" s="30">
        <f t="shared" si="0"/>
        <v>2.6276606382978684E-2</v>
      </c>
    </row>
    <row r="21" spans="2:10" x14ac:dyDescent="0.3">
      <c r="B21" s="29">
        <v>24838</v>
      </c>
      <c r="C21">
        <v>96.470000999999996</v>
      </c>
      <c r="D21">
        <v>97.839995999999999</v>
      </c>
      <c r="E21">
        <v>91.269997000000004</v>
      </c>
      <c r="F21">
        <v>92.239998</v>
      </c>
      <c r="G21">
        <v>92.239998</v>
      </c>
      <c r="H21">
        <v>262770000</v>
      </c>
      <c r="I21"/>
      <c r="J21" s="30">
        <f t="shared" si="0"/>
        <v>-4.3847858983643961E-2</v>
      </c>
    </row>
    <row r="22" spans="2:10" x14ac:dyDescent="0.3">
      <c r="B22" s="29">
        <v>24869</v>
      </c>
      <c r="C22">
        <v>92.239998</v>
      </c>
      <c r="D22">
        <v>93.440002000000007</v>
      </c>
      <c r="E22">
        <v>86.730002999999996</v>
      </c>
      <c r="F22">
        <v>89.360000999999997</v>
      </c>
      <c r="G22">
        <v>89.360000999999997</v>
      </c>
      <c r="H22">
        <v>174380000</v>
      </c>
      <c r="I22"/>
      <c r="J22" s="30">
        <f t="shared" si="0"/>
        <v>-3.1222864944121076E-2</v>
      </c>
    </row>
    <row r="23" spans="2:10" x14ac:dyDescent="0.3">
      <c r="B23" s="29">
        <v>24898</v>
      </c>
      <c r="C23">
        <v>89.360000999999997</v>
      </c>
      <c r="D23">
        <v>91.089995999999999</v>
      </c>
      <c r="E23">
        <v>86.989998</v>
      </c>
      <c r="F23">
        <v>90.199996999999996</v>
      </c>
      <c r="G23">
        <v>90.199996999999996</v>
      </c>
      <c r="H23">
        <v>192610000</v>
      </c>
      <c r="I23"/>
      <c r="J23" s="30">
        <f t="shared" si="0"/>
        <v>9.4001341830782792E-3</v>
      </c>
    </row>
    <row r="24" spans="2:10" x14ac:dyDescent="0.3">
      <c r="B24" s="29">
        <v>24929</v>
      </c>
      <c r="C24">
        <v>91.110000999999997</v>
      </c>
      <c r="D24">
        <v>98.610000999999997</v>
      </c>
      <c r="E24">
        <v>91.110000999999997</v>
      </c>
      <c r="F24">
        <v>97.459998999999996</v>
      </c>
      <c r="G24">
        <v>97.459998999999996</v>
      </c>
      <c r="H24">
        <v>295420000</v>
      </c>
      <c r="I24"/>
      <c r="J24" s="30">
        <f t="shared" si="0"/>
        <v>8.0487829727976523E-2</v>
      </c>
    </row>
    <row r="25" spans="2:10" x14ac:dyDescent="0.3">
      <c r="B25" s="29">
        <v>24959</v>
      </c>
      <c r="C25">
        <v>97.459998999999996</v>
      </c>
      <c r="D25">
        <v>100.19000200000001</v>
      </c>
      <c r="E25">
        <v>95.800003000000004</v>
      </c>
      <c r="F25">
        <v>98.68</v>
      </c>
      <c r="G25">
        <v>98.68</v>
      </c>
      <c r="H25">
        <v>291980000</v>
      </c>
      <c r="I25"/>
      <c r="J25" s="30">
        <f t="shared" si="0"/>
        <v>1.2517966473609476E-2</v>
      </c>
    </row>
    <row r="26" spans="2:10" x14ac:dyDescent="0.3">
      <c r="B26" s="29">
        <v>24990</v>
      </c>
      <c r="C26">
        <v>98.720000999999996</v>
      </c>
      <c r="D26">
        <v>102.839996</v>
      </c>
      <c r="E26">
        <v>98.720000999999996</v>
      </c>
      <c r="F26">
        <v>99.580001999999993</v>
      </c>
      <c r="G26">
        <v>99.580001999999993</v>
      </c>
      <c r="H26">
        <v>257290000</v>
      </c>
      <c r="I26"/>
      <c r="J26" s="30">
        <f t="shared" si="0"/>
        <v>9.1204094041343886E-3</v>
      </c>
    </row>
    <row r="27" spans="2:10" x14ac:dyDescent="0.3">
      <c r="B27" s="29">
        <v>25020</v>
      </c>
      <c r="C27">
        <v>99.580001999999993</v>
      </c>
      <c r="D27">
        <v>103.66999800000001</v>
      </c>
      <c r="E27">
        <v>96.839995999999999</v>
      </c>
      <c r="F27">
        <v>97.739998</v>
      </c>
      <c r="G27">
        <v>97.739998</v>
      </c>
      <c r="H27">
        <v>242450000</v>
      </c>
      <c r="I27"/>
      <c r="J27" s="30">
        <f t="shared" si="0"/>
        <v>-1.8477645742565829E-2</v>
      </c>
    </row>
    <row r="28" spans="2:10" x14ac:dyDescent="0.3">
      <c r="B28" s="29">
        <v>25051</v>
      </c>
      <c r="C28">
        <v>97.739998</v>
      </c>
      <c r="D28">
        <v>99.669998000000007</v>
      </c>
      <c r="E28">
        <v>95.790001000000004</v>
      </c>
      <c r="F28">
        <v>98.860000999999997</v>
      </c>
      <c r="G28">
        <v>98.860000999999997</v>
      </c>
      <c r="H28">
        <v>193970000</v>
      </c>
      <c r="I28"/>
      <c r="J28" s="30">
        <f t="shared" si="0"/>
        <v>1.1459003713095939E-2</v>
      </c>
    </row>
    <row r="29" spans="2:10" x14ac:dyDescent="0.3">
      <c r="B29" s="29">
        <v>25082</v>
      </c>
      <c r="C29">
        <v>98.860000999999997</v>
      </c>
      <c r="D29">
        <v>103.629997</v>
      </c>
      <c r="E29">
        <v>98.309997999999993</v>
      </c>
      <c r="F29">
        <v>102.66999800000001</v>
      </c>
      <c r="G29">
        <v>102.66999800000001</v>
      </c>
      <c r="H29">
        <v>228300000</v>
      </c>
      <c r="I29"/>
      <c r="J29" s="30">
        <f t="shared" si="0"/>
        <v>3.8539317837959608E-2</v>
      </c>
    </row>
    <row r="30" spans="2:10" x14ac:dyDescent="0.3">
      <c r="B30" s="29">
        <v>25112</v>
      </c>
      <c r="C30">
        <v>102.66999800000001</v>
      </c>
      <c r="D30">
        <v>105.779999</v>
      </c>
      <c r="E30">
        <v>101.800003</v>
      </c>
      <c r="F30">
        <v>103.410004</v>
      </c>
      <c r="G30">
        <v>103.410004</v>
      </c>
      <c r="H30">
        <v>272200000</v>
      </c>
      <c r="I30"/>
      <c r="J30" s="30">
        <f t="shared" si="0"/>
        <v>7.2076167762269439E-3</v>
      </c>
    </row>
    <row r="31" spans="2:10" x14ac:dyDescent="0.3">
      <c r="B31" s="29">
        <v>25143</v>
      </c>
      <c r="C31">
        <v>103.410004</v>
      </c>
      <c r="D31">
        <v>109.089996</v>
      </c>
      <c r="E31">
        <v>101.849998</v>
      </c>
      <c r="F31">
        <v>108.370003</v>
      </c>
      <c r="G31">
        <v>108.370003</v>
      </c>
      <c r="H31">
        <v>251850000</v>
      </c>
      <c r="I31"/>
      <c r="J31" s="30">
        <f t="shared" si="0"/>
        <v>4.7964401974106785E-2</v>
      </c>
    </row>
    <row r="32" spans="2:10" x14ac:dyDescent="0.3">
      <c r="B32" s="29">
        <v>25173</v>
      </c>
      <c r="C32">
        <v>108.370003</v>
      </c>
      <c r="D32">
        <v>109.370003</v>
      </c>
      <c r="E32">
        <v>102.980003</v>
      </c>
      <c r="F32">
        <v>103.860001</v>
      </c>
      <c r="G32">
        <v>103.860001</v>
      </c>
      <c r="H32">
        <v>267480000</v>
      </c>
      <c r="I32"/>
      <c r="J32" s="30">
        <f t="shared" si="0"/>
        <v>-4.1616700887237235E-2</v>
      </c>
    </row>
    <row r="33" spans="2:10" x14ac:dyDescent="0.3">
      <c r="B33" s="29">
        <v>25204</v>
      </c>
      <c r="C33">
        <v>103.860001</v>
      </c>
      <c r="D33">
        <v>104.870003</v>
      </c>
      <c r="E33">
        <v>96.629997000000003</v>
      </c>
      <c r="F33">
        <v>103.010002</v>
      </c>
      <c r="G33">
        <v>103.010002</v>
      </c>
      <c r="H33">
        <v>266600000</v>
      </c>
      <c r="I33"/>
      <c r="J33" s="30">
        <f t="shared" si="0"/>
        <v>-8.1840842655104273E-3</v>
      </c>
    </row>
    <row r="34" spans="2:10" x14ac:dyDescent="0.3">
      <c r="B34" s="29">
        <v>25235</v>
      </c>
      <c r="C34">
        <v>103.010002</v>
      </c>
      <c r="D34">
        <v>104.610001</v>
      </c>
      <c r="E34">
        <v>97.360000999999997</v>
      </c>
      <c r="F34">
        <v>98.129997000000003</v>
      </c>
      <c r="G34">
        <v>98.129997000000003</v>
      </c>
      <c r="H34">
        <v>207490000</v>
      </c>
      <c r="I34"/>
      <c r="J34" s="30">
        <f t="shared" si="0"/>
        <v>-4.7374088974389106E-2</v>
      </c>
    </row>
    <row r="35" spans="2:10" x14ac:dyDescent="0.3">
      <c r="B35" s="29">
        <v>25263</v>
      </c>
      <c r="C35">
        <v>98.129997000000003</v>
      </c>
      <c r="D35">
        <v>102.349998</v>
      </c>
      <c r="E35">
        <v>97.059997999999993</v>
      </c>
      <c r="F35">
        <v>101.510002</v>
      </c>
      <c r="G35">
        <v>101.510002</v>
      </c>
      <c r="H35">
        <v>199110000</v>
      </c>
      <c r="I35"/>
      <c r="J35" s="30">
        <f t="shared" si="0"/>
        <v>3.4444156764827039E-2</v>
      </c>
    </row>
    <row r="36" spans="2:10" x14ac:dyDescent="0.3">
      <c r="B36" s="29">
        <v>25294</v>
      </c>
      <c r="C36">
        <v>101.510002</v>
      </c>
      <c r="D36">
        <v>104.55999799999999</v>
      </c>
      <c r="E36">
        <v>99.080001999999993</v>
      </c>
      <c r="F36">
        <v>103.69000200000001</v>
      </c>
      <c r="G36">
        <v>103.69000200000001</v>
      </c>
      <c r="H36">
        <v>236930000</v>
      </c>
      <c r="I36"/>
      <c r="J36" s="30">
        <f t="shared" si="0"/>
        <v>2.1475716255034749E-2</v>
      </c>
    </row>
    <row r="37" spans="2:10" x14ac:dyDescent="0.3">
      <c r="B37" s="29">
        <v>25324</v>
      </c>
      <c r="C37">
        <v>103.69000200000001</v>
      </c>
      <c r="D37">
        <v>106.739998</v>
      </c>
      <c r="E37">
        <v>102.290001</v>
      </c>
      <c r="F37">
        <v>103.459999</v>
      </c>
      <c r="G37">
        <v>103.459999</v>
      </c>
      <c r="H37">
        <v>256580000</v>
      </c>
      <c r="I37"/>
      <c r="J37" s="30">
        <f t="shared" si="0"/>
        <v>-2.2181791451794108E-3</v>
      </c>
    </row>
    <row r="38" spans="2:10" x14ac:dyDescent="0.3">
      <c r="B38" s="29">
        <v>25355</v>
      </c>
      <c r="C38">
        <v>103.459999</v>
      </c>
      <c r="D38">
        <v>103.75</v>
      </c>
      <c r="E38">
        <v>95.209998999999996</v>
      </c>
      <c r="F38">
        <v>97.709998999999996</v>
      </c>
      <c r="G38">
        <v>97.709998999999996</v>
      </c>
      <c r="H38">
        <v>235130000</v>
      </c>
      <c r="I38"/>
      <c r="J38" s="30">
        <f t="shared" si="0"/>
        <v>-5.5577035139928843E-2</v>
      </c>
    </row>
    <row r="39" spans="2:10" x14ac:dyDescent="0.3">
      <c r="B39" s="29">
        <v>25385</v>
      </c>
      <c r="C39">
        <v>97.709998999999996</v>
      </c>
      <c r="D39">
        <v>100.33000199999999</v>
      </c>
      <c r="E39">
        <v>88.040001000000004</v>
      </c>
      <c r="F39">
        <v>91.830001999999993</v>
      </c>
      <c r="G39">
        <v>91.830001999999993</v>
      </c>
      <c r="H39">
        <v>228250000</v>
      </c>
      <c r="I39"/>
      <c r="J39" s="30">
        <f t="shared" si="0"/>
        <v>-6.017804789865977E-2</v>
      </c>
    </row>
    <row r="40" spans="2:10" x14ac:dyDescent="0.3">
      <c r="B40" s="29">
        <v>25416</v>
      </c>
      <c r="C40">
        <v>91.919998000000007</v>
      </c>
      <c r="D40">
        <v>96.43</v>
      </c>
      <c r="E40">
        <v>91.480002999999996</v>
      </c>
      <c r="F40">
        <v>95.510002</v>
      </c>
      <c r="G40">
        <v>95.510002</v>
      </c>
      <c r="H40">
        <v>201680000</v>
      </c>
      <c r="I40"/>
      <c r="J40" s="30">
        <f t="shared" si="0"/>
        <v>4.007404900198086E-2</v>
      </c>
    </row>
    <row r="41" spans="2:10" x14ac:dyDescent="0.3">
      <c r="B41" s="29">
        <v>25447</v>
      </c>
      <c r="C41">
        <v>95.510002</v>
      </c>
      <c r="D41">
        <v>96.620002999999997</v>
      </c>
      <c r="E41">
        <v>91.769997000000004</v>
      </c>
      <c r="F41">
        <v>93.120002999999997</v>
      </c>
      <c r="G41">
        <v>93.120002999999997</v>
      </c>
      <c r="H41">
        <v>219150000</v>
      </c>
      <c r="I41"/>
      <c r="J41" s="30">
        <f t="shared" si="0"/>
        <v>-2.5023546748538461E-2</v>
      </c>
    </row>
    <row r="42" spans="2:10" x14ac:dyDescent="0.3">
      <c r="B42" s="29">
        <v>25477</v>
      </c>
      <c r="C42">
        <v>93.120002999999997</v>
      </c>
      <c r="D42">
        <v>98.830001999999993</v>
      </c>
      <c r="E42">
        <v>91.660004000000001</v>
      </c>
      <c r="F42">
        <v>97.120002999999997</v>
      </c>
      <c r="G42">
        <v>97.120002999999997</v>
      </c>
      <c r="H42">
        <v>310110000</v>
      </c>
      <c r="I42"/>
      <c r="J42" s="30">
        <f t="shared" si="0"/>
        <v>4.2955325076611039E-2</v>
      </c>
    </row>
    <row r="43" spans="2:10" x14ac:dyDescent="0.3">
      <c r="B43" s="29">
        <v>25508</v>
      </c>
      <c r="C43">
        <v>97.120002999999997</v>
      </c>
      <c r="D43">
        <v>99.230002999999996</v>
      </c>
      <c r="E43">
        <v>92.239998</v>
      </c>
      <c r="F43">
        <v>93.809997999999993</v>
      </c>
      <c r="G43">
        <v>93.809997999999993</v>
      </c>
      <c r="H43">
        <v>213600000</v>
      </c>
      <c r="I43"/>
      <c r="J43" s="30">
        <f t="shared" si="0"/>
        <v>-3.4081599029604726E-2</v>
      </c>
    </row>
    <row r="44" spans="2:10" x14ac:dyDescent="0.3">
      <c r="B44" s="29">
        <v>25538</v>
      </c>
      <c r="C44">
        <v>93.809997999999993</v>
      </c>
      <c r="D44">
        <v>94.470000999999996</v>
      </c>
      <c r="E44">
        <v>88.620002999999997</v>
      </c>
      <c r="F44">
        <v>92.059997999999993</v>
      </c>
      <c r="G44">
        <v>92.059997999999993</v>
      </c>
      <c r="H44">
        <v>272350000</v>
      </c>
      <c r="I44"/>
      <c r="J44" s="30">
        <f t="shared" si="0"/>
        <v>-1.8654728038689394E-2</v>
      </c>
    </row>
    <row r="45" spans="2:10" x14ac:dyDescent="0.3">
      <c r="B45" s="29">
        <v>25569</v>
      </c>
      <c r="C45">
        <v>92.059997999999993</v>
      </c>
      <c r="D45">
        <v>94.25</v>
      </c>
      <c r="E45">
        <v>84.419998000000007</v>
      </c>
      <c r="F45">
        <v>85.019997000000004</v>
      </c>
      <c r="G45">
        <v>85.019997000000004</v>
      </c>
      <c r="H45">
        <v>221090000</v>
      </c>
      <c r="I45"/>
      <c r="J45" s="30">
        <f t="shared" si="0"/>
        <v>-7.6471878698063711E-2</v>
      </c>
    </row>
    <row r="46" spans="2:10" x14ac:dyDescent="0.3">
      <c r="B46" s="29">
        <v>25600</v>
      </c>
      <c r="C46">
        <v>85.019997000000004</v>
      </c>
      <c r="D46">
        <v>90.330001999999993</v>
      </c>
      <c r="E46">
        <v>84.639999000000003</v>
      </c>
      <c r="F46">
        <v>89.5</v>
      </c>
      <c r="G46">
        <v>89.5</v>
      </c>
      <c r="H46">
        <v>228380000</v>
      </c>
      <c r="I46"/>
      <c r="J46" s="30">
        <f t="shared" si="0"/>
        <v>5.2693521031293322E-2</v>
      </c>
    </row>
    <row r="47" spans="2:10" x14ac:dyDescent="0.3">
      <c r="B47" s="29">
        <v>25628</v>
      </c>
      <c r="C47">
        <v>89.5</v>
      </c>
      <c r="D47">
        <v>91.07</v>
      </c>
      <c r="E47">
        <v>86.190002000000007</v>
      </c>
      <c r="F47">
        <v>89.629997000000003</v>
      </c>
      <c r="G47">
        <v>89.629997000000003</v>
      </c>
      <c r="H47">
        <v>212880000</v>
      </c>
      <c r="I47"/>
      <c r="J47" s="30">
        <f t="shared" si="0"/>
        <v>1.4524804469273622E-3</v>
      </c>
    </row>
    <row r="48" spans="2:10" x14ac:dyDescent="0.3">
      <c r="B48" s="29">
        <v>25659</v>
      </c>
      <c r="C48">
        <v>89.629997000000003</v>
      </c>
      <c r="D48">
        <v>90.699996999999996</v>
      </c>
      <c r="E48">
        <v>79.309997999999993</v>
      </c>
      <c r="F48">
        <v>81.519997000000004</v>
      </c>
      <c r="G48">
        <v>81.519997000000004</v>
      </c>
      <c r="H48">
        <v>223120000</v>
      </c>
      <c r="I48"/>
      <c r="J48" s="30">
        <f t="shared" si="0"/>
        <v>-9.0483100205838496E-2</v>
      </c>
    </row>
    <row r="49" spans="2:10" x14ac:dyDescent="0.3">
      <c r="B49" s="29">
        <v>25689</v>
      </c>
      <c r="C49">
        <v>81.519997000000004</v>
      </c>
      <c r="D49">
        <v>82.32</v>
      </c>
      <c r="E49">
        <v>68.610000999999997</v>
      </c>
      <c r="F49">
        <v>76.550003000000004</v>
      </c>
      <c r="G49">
        <v>76.550003000000004</v>
      </c>
      <c r="H49">
        <v>258220000</v>
      </c>
      <c r="I49"/>
      <c r="J49" s="30">
        <f t="shared" si="0"/>
        <v>-6.0966562596904916E-2</v>
      </c>
    </row>
    <row r="50" spans="2:10" x14ac:dyDescent="0.3">
      <c r="B50" s="29">
        <v>25720</v>
      </c>
      <c r="C50">
        <v>76.550003000000004</v>
      </c>
      <c r="D50">
        <v>79.959998999999996</v>
      </c>
      <c r="E50">
        <v>72.25</v>
      </c>
      <c r="F50">
        <v>72.720000999999996</v>
      </c>
      <c r="G50">
        <v>72.720000999999996</v>
      </c>
      <c r="H50">
        <v>226420000</v>
      </c>
      <c r="I50"/>
      <c r="J50" s="30">
        <f t="shared" si="0"/>
        <v>-5.0032682559137287E-2</v>
      </c>
    </row>
    <row r="51" spans="2:10" x14ac:dyDescent="0.3">
      <c r="B51" s="29">
        <v>25750</v>
      </c>
      <c r="C51">
        <v>72.720000999999996</v>
      </c>
      <c r="D51">
        <v>79.029999000000004</v>
      </c>
      <c r="E51">
        <v>70.690002000000007</v>
      </c>
      <c r="F51">
        <v>78.050003000000004</v>
      </c>
      <c r="G51">
        <v>78.050003000000004</v>
      </c>
      <c r="H51">
        <v>227740000</v>
      </c>
      <c r="I51"/>
      <c r="J51" s="30">
        <f t="shared" si="0"/>
        <v>7.3294855977793505E-2</v>
      </c>
    </row>
    <row r="52" spans="2:10" x14ac:dyDescent="0.3">
      <c r="B52" s="29">
        <v>25781</v>
      </c>
      <c r="C52">
        <v>78.050003000000004</v>
      </c>
      <c r="D52">
        <v>82.470000999999996</v>
      </c>
      <c r="E52">
        <v>74.129997000000003</v>
      </c>
      <c r="F52">
        <v>81.519997000000004</v>
      </c>
      <c r="G52">
        <v>81.519997000000004</v>
      </c>
      <c r="H52">
        <v>218690000</v>
      </c>
      <c r="I52"/>
      <c r="J52" s="30">
        <f t="shared" si="0"/>
        <v>4.4458601750470228E-2</v>
      </c>
    </row>
    <row r="53" spans="2:10" x14ac:dyDescent="0.3">
      <c r="B53" s="29">
        <v>25812</v>
      </c>
      <c r="C53">
        <v>81.519997000000004</v>
      </c>
      <c r="D53">
        <v>84.989998</v>
      </c>
      <c r="E53">
        <v>79.949996999999996</v>
      </c>
      <c r="F53">
        <v>84.300003000000004</v>
      </c>
      <c r="G53">
        <v>84.300003000000004</v>
      </c>
      <c r="H53">
        <v>303290000</v>
      </c>
      <c r="I53"/>
      <c r="J53" s="30">
        <f t="shared" si="0"/>
        <v>3.4102135700520231E-2</v>
      </c>
    </row>
    <row r="54" spans="2:10" x14ac:dyDescent="0.3">
      <c r="B54" s="29">
        <v>25842</v>
      </c>
      <c r="C54">
        <v>84.300003000000004</v>
      </c>
      <c r="D54">
        <v>87.75</v>
      </c>
      <c r="E54">
        <v>82.290001000000004</v>
      </c>
      <c r="F54">
        <v>83.25</v>
      </c>
      <c r="G54">
        <v>83.25</v>
      </c>
      <c r="H54">
        <v>261370000</v>
      </c>
      <c r="I54"/>
      <c r="J54" s="30">
        <f t="shared" si="0"/>
        <v>-1.2455551158165434E-2</v>
      </c>
    </row>
    <row r="55" spans="2:10" x14ac:dyDescent="0.3">
      <c r="B55" s="29">
        <v>25873</v>
      </c>
      <c r="C55">
        <v>83.25</v>
      </c>
      <c r="D55">
        <v>87.599997999999999</v>
      </c>
      <c r="E55">
        <v>82.230002999999996</v>
      </c>
      <c r="F55">
        <v>87.199996999999996</v>
      </c>
      <c r="G55">
        <v>87.199996999999996</v>
      </c>
      <c r="H55">
        <v>230290000</v>
      </c>
      <c r="I55"/>
      <c r="J55" s="30">
        <f t="shared" si="0"/>
        <v>4.74474114114114E-2</v>
      </c>
    </row>
    <row r="56" spans="2:10" x14ac:dyDescent="0.3">
      <c r="B56" s="29">
        <v>25903</v>
      </c>
      <c r="C56">
        <v>87.199996999999996</v>
      </c>
      <c r="D56">
        <v>92.989998</v>
      </c>
      <c r="E56">
        <v>86.110000999999997</v>
      </c>
      <c r="F56">
        <v>92.150002000000001</v>
      </c>
      <c r="G56">
        <v>92.150002000000001</v>
      </c>
      <c r="H56">
        <v>335240000</v>
      </c>
      <c r="I56"/>
      <c r="J56" s="30">
        <f t="shared" si="0"/>
        <v>5.6766114338283824E-2</v>
      </c>
    </row>
    <row r="57" spans="2:10" x14ac:dyDescent="0.3">
      <c r="B57" s="29">
        <v>25934</v>
      </c>
      <c r="C57">
        <v>92.150002000000001</v>
      </c>
      <c r="D57">
        <v>96.489998</v>
      </c>
      <c r="E57">
        <v>90.639999000000003</v>
      </c>
      <c r="F57">
        <v>95.879997000000003</v>
      </c>
      <c r="G57">
        <v>95.879997000000003</v>
      </c>
      <c r="H57">
        <v>348490000</v>
      </c>
      <c r="I57"/>
      <c r="J57" s="30">
        <f t="shared" si="0"/>
        <v>4.047742722783676E-2</v>
      </c>
    </row>
    <row r="58" spans="2:10" x14ac:dyDescent="0.3">
      <c r="B58" s="29">
        <v>25965</v>
      </c>
      <c r="C58">
        <v>95.879997000000003</v>
      </c>
      <c r="D58">
        <v>99.589995999999999</v>
      </c>
      <c r="E58">
        <v>94.919998000000007</v>
      </c>
      <c r="F58">
        <v>96.75</v>
      </c>
      <c r="G58">
        <v>96.75</v>
      </c>
      <c r="H58">
        <v>371190000</v>
      </c>
      <c r="I58"/>
      <c r="J58" s="30">
        <f t="shared" si="0"/>
        <v>9.0738738759033044E-3</v>
      </c>
    </row>
    <row r="59" spans="2:10" x14ac:dyDescent="0.3">
      <c r="B59" s="29">
        <v>25993</v>
      </c>
      <c r="C59">
        <v>96.75</v>
      </c>
      <c r="D59">
        <v>102.029999</v>
      </c>
      <c r="E59">
        <v>96.110000999999997</v>
      </c>
      <c r="F59">
        <v>100.30999799999999</v>
      </c>
      <c r="G59">
        <v>100.30999799999999</v>
      </c>
      <c r="H59">
        <v>389880000</v>
      </c>
      <c r="I59"/>
      <c r="J59" s="30">
        <f t="shared" si="0"/>
        <v>3.6795844961240221E-2</v>
      </c>
    </row>
    <row r="60" spans="2:10" x14ac:dyDescent="0.3">
      <c r="B60" s="29">
        <v>26024</v>
      </c>
      <c r="C60">
        <v>100.30999799999999</v>
      </c>
      <c r="D60">
        <v>105.599998</v>
      </c>
      <c r="E60">
        <v>99.629997000000003</v>
      </c>
      <c r="F60">
        <v>103.949997</v>
      </c>
      <c r="G60">
        <v>103.949997</v>
      </c>
      <c r="H60">
        <v>401580000</v>
      </c>
      <c r="I60"/>
      <c r="J60" s="30">
        <f t="shared" si="0"/>
        <v>3.6287499477370089E-2</v>
      </c>
    </row>
    <row r="61" spans="2:10" x14ac:dyDescent="0.3">
      <c r="B61" s="29">
        <v>26054</v>
      </c>
      <c r="C61">
        <v>103.949997</v>
      </c>
      <c r="D61">
        <v>104.41999800000001</v>
      </c>
      <c r="E61">
        <v>98.68</v>
      </c>
      <c r="F61">
        <v>99.629997000000003</v>
      </c>
      <c r="G61">
        <v>99.629997000000003</v>
      </c>
      <c r="H61">
        <v>307360000</v>
      </c>
      <c r="I61"/>
      <c r="J61" s="30">
        <f t="shared" si="0"/>
        <v>-4.1558442757819392E-2</v>
      </c>
    </row>
    <row r="62" spans="2:10" x14ac:dyDescent="0.3">
      <c r="B62" s="29">
        <v>26085</v>
      </c>
      <c r="C62">
        <v>99.629997000000003</v>
      </c>
      <c r="D62">
        <v>102.07</v>
      </c>
      <c r="E62">
        <v>96.919998000000007</v>
      </c>
      <c r="F62">
        <v>98.699996999999996</v>
      </c>
      <c r="G62">
        <v>98.699996999999996</v>
      </c>
      <c r="H62">
        <v>303590000</v>
      </c>
      <c r="I62"/>
      <c r="J62" s="30">
        <f t="shared" si="0"/>
        <v>-9.3345380708985681E-3</v>
      </c>
    </row>
    <row r="63" spans="2:10" x14ac:dyDescent="0.3">
      <c r="B63" s="29">
        <v>26115</v>
      </c>
      <c r="C63">
        <v>99.160004000000001</v>
      </c>
      <c r="D63">
        <v>101.519997</v>
      </c>
      <c r="E63">
        <v>95.080001999999993</v>
      </c>
      <c r="F63">
        <v>95.580001999999993</v>
      </c>
      <c r="G63">
        <v>95.580001999999993</v>
      </c>
      <c r="H63">
        <v>265240000</v>
      </c>
      <c r="I63"/>
      <c r="J63" s="30">
        <f t="shared" si="0"/>
        <v>-3.1610892551496295E-2</v>
      </c>
    </row>
    <row r="64" spans="2:10" x14ac:dyDescent="0.3">
      <c r="B64" s="29">
        <v>26146</v>
      </c>
      <c r="C64">
        <v>95.580001999999993</v>
      </c>
      <c r="D64">
        <v>101.510002</v>
      </c>
      <c r="E64">
        <v>92.809997999999993</v>
      </c>
      <c r="F64">
        <v>99.029999000000004</v>
      </c>
      <c r="G64">
        <v>99.029999000000004</v>
      </c>
      <c r="H64">
        <v>320520000</v>
      </c>
      <c r="I64"/>
      <c r="J64" s="30">
        <f t="shared" si="0"/>
        <v>3.6095385308738681E-2</v>
      </c>
    </row>
    <row r="65" spans="2:10" x14ac:dyDescent="0.3">
      <c r="B65" s="29">
        <v>26177</v>
      </c>
      <c r="C65">
        <v>99.029999000000004</v>
      </c>
      <c r="D65">
        <v>102.25</v>
      </c>
      <c r="E65">
        <v>96.970000999999996</v>
      </c>
      <c r="F65">
        <v>98.339995999999999</v>
      </c>
      <c r="G65">
        <v>98.339995999999999</v>
      </c>
      <c r="H65">
        <v>252720000</v>
      </c>
      <c r="I65"/>
      <c r="J65" s="30">
        <f t="shared" si="0"/>
        <v>-6.9676159443362584E-3</v>
      </c>
    </row>
    <row r="66" spans="2:10" x14ac:dyDescent="0.3">
      <c r="B66" s="29">
        <v>26207</v>
      </c>
      <c r="C66">
        <v>98.339995999999999</v>
      </c>
      <c r="D66">
        <v>100.959999</v>
      </c>
      <c r="E66">
        <v>92.959998999999996</v>
      </c>
      <c r="F66">
        <v>94.230002999999996</v>
      </c>
      <c r="G66">
        <v>94.230002999999996</v>
      </c>
      <c r="H66">
        <v>280080000</v>
      </c>
      <c r="I66"/>
      <c r="J66" s="30">
        <f t="shared" si="0"/>
        <v>-4.1793707211458475E-2</v>
      </c>
    </row>
    <row r="67" spans="2:10" x14ac:dyDescent="0.3">
      <c r="B67" s="29">
        <v>26238</v>
      </c>
      <c r="C67">
        <v>94.230002999999996</v>
      </c>
      <c r="D67">
        <v>96.080001999999993</v>
      </c>
      <c r="E67">
        <v>89.339995999999999</v>
      </c>
      <c r="F67">
        <v>93.989998</v>
      </c>
      <c r="G67">
        <v>93.989998</v>
      </c>
      <c r="H67">
        <v>276410000</v>
      </c>
      <c r="I67"/>
      <c r="J67" s="30">
        <f t="shared" si="0"/>
        <v>-2.5470125475852701E-3</v>
      </c>
    </row>
    <row r="68" spans="2:10" x14ac:dyDescent="0.3">
      <c r="B68" s="29">
        <v>26268</v>
      </c>
      <c r="C68">
        <v>93.989998</v>
      </c>
      <c r="D68">
        <v>102.209999</v>
      </c>
      <c r="E68">
        <v>93.949996999999996</v>
      </c>
      <c r="F68">
        <v>102.089996</v>
      </c>
      <c r="G68">
        <v>102.089996</v>
      </c>
      <c r="H68">
        <v>377680000</v>
      </c>
      <c r="I68"/>
      <c r="J68" s="30">
        <f t="shared" si="0"/>
        <v>8.6179361340128935E-2</v>
      </c>
    </row>
    <row r="69" spans="2:10" x14ac:dyDescent="0.3">
      <c r="B69" s="29">
        <v>26299</v>
      </c>
      <c r="C69">
        <v>102.089996</v>
      </c>
      <c r="D69">
        <v>105</v>
      </c>
      <c r="E69">
        <v>100.870003</v>
      </c>
      <c r="F69">
        <v>103.94000200000001</v>
      </c>
      <c r="G69">
        <v>103.94000200000001</v>
      </c>
      <c r="H69">
        <v>379490000</v>
      </c>
      <c r="I69"/>
      <c r="J69" s="30">
        <f t="shared" si="0"/>
        <v>1.8121325031690727E-2</v>
      </c>
    </row>
    <row r="70" spans="2:10" x14ac:dyDescent="0.3">
      <c r="B70" s="29">
        <v>26330</v>
      </c>
      <c r="C70">
        <v>103.94000200000001</v>
      </c>
      <c r="D70">
        <v>107.160004</v>
      </c>
      <c r="E70">
        <v>103.099998</v>
      </c>
      <c r="F70">
        <v>106.57</v>
      </c>
      <c r="G70">
        <v>106.57</v>
      </c>
      <c r="H70">
        <v>376260000</v>
      </c>
      <c r="I70"/>
      <c r="J70" s="30">
        <f t="shared" si="0"/>
        <v>2.5303039728630905E-2</v>
      </c>
    </row>
    <row r="71" spans="2:10" x14ac:dyDescent="0.3">
      <c r="B71" s="29">
        <v>26359</v>
      </c>
      <c r="C71">
        <v>106.57</v>
      </c>
      <c r="D71">
        <v>109.75</v>
      </c>
      <c r="E71">
        <v>105.860001</v>
      </c>
      <c r="F71">
        <v>107.199997</v>
      </c>
      <c r="G71">
        <v>107.199997</v>
      </c>
      <c r="H71">
        <v>403650000</v>
      </c>
      <c r="I71"/>
      <c r="J71" s="30">
        <f t="shared" si="0"/>
        <v>5.9115792436896797E-3</v>
      </c>
    </row>
    <row r="72" spans="2:10" x14ac:dyDescent="0.3">
      <c r="B72" s="29">
        <v>26390</v>
      </c>
      <c r="C72">
        <v>107.199997</v>
      </c>
      <c r="D72">
        <v>111.110001</v>
      </c>
      <c r="E72">
        <v>106.18</v>
      </c>
      <c r="F72">
        <v>107.66999800000001</v>
      </c>
      <c r="G72">
        <v>107.66999800000001</v>
      </c>
      <c r="H72">
        <v>367990000</v>
      </c>
      <c r="I72"/>
      <c r="J72" s="30">
        <f t="shared" si="0"/>
        <v>4.3843378092633944E-3</v>
      </c>
    </row>
    <row r="73" spans="2:10" x14ac:dyDescent="0.3">
      <c r="B73" s="29">
        <v>26420</v>
      </c>
      <c r="C73">
        <v>107.66999800000001</v>
      </c>
      <c r="D73">
        <v>111.480003</v>
      </c>
      <c r="E73">
        <v>103.83000199999999</v>
      </c>
      <c r="F73">
        <v>109.529999</v>
      </c>
      <c r="G73">
        <v>109.529999</v>
      </c>
      <c r="H73">
        <v>335850000</v>
      </c>
      <c r="I73"/>
      <c r="J73" s="30">
        <f t="shared" si="0"/>
        <v>1.7275016574255009E-2</v>
      </c>
    </row>
    <row r="74" spans="2:10" x14ac:dyDescent="0.3">
      <c r="B74" s="29">
        <v>26451</v>
      </c>
      <c r="C74">
        <v>109.529999</v>
      </c>
      <c r="D74">
        <v>110.510002</v>
      </c>
      <c r="E74">
        <v>105.94000200000001</v>
      </c>
      <c r="F74">
        <v>107.139999</v>
      </c>
      <c r="G74">
        <v>107.139999</v>
      </c>
      <c r="H74">
        <v>314510000</v>
      </c>
      <c r="I74"/>
      <c r="J74" s="30">
        <f t="shared" si="0"/>
        <v>-2.1820505996717809E-2</v>
      </c>
    </row>
    <row r="75" spans="2:10" x14ac:dyDescent="0.3">
      <c r="B75" s="29">
        <v>26481</v>
      </c>
      <c r="C75">
        <v>107.139999</v>
      </c>
      <c r="D75">
        <v>110.269997</v>
      </c>
      <c r="E75">
        <v>104.43</v>
      </c>
      <c r="F75">
        <v>107.389999</v>
      </c>
      <c r="G75">
        <v>107.389999</v>
      </c>
      <c r="H75">
        <v>288900000</v>
      </c>
      <c r="I75"/>
      <c r="J75" s="30">
        <f t="shared" ref="J75:J138" si="1">F75/F74-1</f>
        <v>2.3333955789937022E-3</v>
      </c>
    </row>
    <row r="76" spans="2:10" x14ac:dyDescent="0.3">
      <c r="B76" s="29">
        <v>26512</v>
      </c>
      <c r="C76">
        <v>107.389999</v>
      </c>
      <c r="D76">
        <v>113.449997</v>
      </c>
      <c r="E76">
        <v>107.05999799999999</v>
      </c>
      <c r="F76">
        <v>111.089996</v>
      </c>
      <c r="G76">
        <v>111.089996</v>
      </c>
      <c r="H76">
        <v>356930000</v>
      </c>
      <c r="I76"/>
      <c r="J76" s="30">
        <f t="shared" si="1"/>
        <v>3.4453832148745978E-2</v>
      </c>
    </row>
    <row r="77" spans="2:10" x14ac:dyDescent="0.3">
      <c r="B77" s="29">
        <v>26543</v>
      </c>
      <c r="C77">
        <v>111.089996</v>
      </c>
      <c r="D77">
        <v>112.120003</v>
      </c>
      <c r="E77">
        <v>107.349998</v>
      </c>
      <c r="F77">
        <v>110.550003</v>
      </c>
      <c r="G77">
        <v>110.550003</v>
      </c>
      <c r="H77">
        <v>246190000</v>
      </c>
      <c r="I77"/>
      <c r="J77" s="30">
        <f t="shared" si="1"/>
        <v>-4.8608607385313141E-3</v>
      </c>
    </row>
    <row r="78" spans="2:10" x14ac:dyDescent="0.3">
      <c r="B78" s="29">
        <v>26573</v>
      </c>
      <c r="C78">
        <v>110.550003</v>
      </c>
      <c r="D78">
        <v>112.260002</v>
      </c>
      <c r="E78">
        <v>106.269997</v>
      </c>
      <c r="F78">
        <v>111.58000199999999</v>
      </c>
      <c r="G78">
        <v>111.58000199999999</v>
      </c>
      <c r="H78">
        <v>317300000</v>
      </c>
      <c r="I78"/>
      <c r="J78" s="30">
        <f t="shared" si="1"/>
        <v>9.3170418095780416E-3</v>
      </c>
    </row>
    <row r="79" spans="2:10" x14ac:dyDescent="0.3">
      <c r="B79" s="29">
        <v>26604</v>
      </c>
      <c r="C79">
        <v>111.58000199999999</v>
      </c>
      <c r="D79">
        <v>117.910004</v>
      </c>
      <c r="E79">
        <v>111.32</v>
      </c>
      <c r="F79">
        <v>116.66999800000001</v>
      </c>
      <c r="G79">
        <v>116.66999800000001</v>
      </c>
      <c r="H79">
        <v>405570000</v>
      </c>
      <c r="I79"/>
      <c r="J79" s="30">
        <f t="shared" si="1"/>
        <v>4.5617457508201342E-2</v>
      </c>
    </row>
    <row r="80" spans="2:10" x14ac:dyDescent="0.3">
      <c r="B80" s="29">
        <v>26634</v>
      </c>
      <c r="C80">
        <v>116.66999800000001</v>
      </c>
      <c r="D80">
        <v>119.790001</v>
      </c>
      <c r="E80">
        <v>114.629997</v>
      </c>
      <c r="F80">
        <v>118.050003</v>
      </c>
      <c r="G80">
        <v>118.050003</v>
      </c>
      <c r="H80">
        <v>344730000</v>
      </c>
      <c r="I80"/>
      <c r="J80" s="30">
        <f t="shared" si="1"/>
        <v>1.1828276537726445E-2</v>
      </c>
    </row>
    <row r="81" spans="2:10" x14ac:dyDescent="0.3">
      <c r="B81" s="29">
        <v>26665</v>
      </c>
      <c r="C81">
        <v>118.05999799999999</v>
      </c>
      <c r="D81">
        <v>121.739998</v>
      </c>
      <c r="E81">
        <v>114.970001</v>
      </c>
      <c r="F81">
        <v>116.029999</v>
      </c>
      <c r="G81">
        <v>116.029999</v>
      </c>
      <c r="H81">
        <v>393750000</v>
      </c>
      <c r="I81"/>
      <c r="J81" s="30">
        <f t="shared" si="1"/>
        <v>-1.7111426926435525E-2</v>
      </c>
    </row>
    <row r="82" spans="2:10" x14ac:dyDescent="0.3">
      <c r="B82" s="29">
        <v>26696</v>
      </c>
      <c r="C82">
        <v>116.029999</v>
      </c>
      <c r="D82">
        <v>118.980003</v>
      </c>
      <c r="E82">
        <v>109.800003</v>
      </c>
      <c r="F82">
        <v>111.68</v>
      </c>
      <c r="G82">
        <v>111.68</v>
      </c>
      <c r="H82">
        <v>318190000</v>
      </c>
      <c r="I82"/>
      <c r="J82" s="30">
        <f t="shared" si="1"/>
        <v>-3.7490295936312146E-2</v>
      </c>
    </row>
    <row r="83" spans="2:10" x14ac:dyDescent="0.3">
      <c r="B83" s="29">
        <v>26724</v>
      </c>
      <c r="C83">
        <v>111.68</v>
      </c>
      <c r="D83">
        <v>115.610001</v>
      </c>
      <c r="E83">
        <v>107.410004</v>
      </c>
      <c r="F83">
        <v>111.519997</v>
      </c>
      <c r="G83">
        <v>111.519997</v>
      </c>
      <c r="H83">
        <v>343400000</v>
      </c>
      <c r="I83"/>
      <c r="J83" s="30">
        <f t="shared" si="1"/>
        <v>-1.4326916189112415E-3</v>
      </c>
    </row>
    <row r="84" spans="2:10" x14ac:dyDescent="0.3">
      <c r="B84" s="29">
        <v>26755</v>
      </c>
      <c r="C84">
        <v>111.519997</v>
      </c>
      <c r="D84">
        <v>113.650002</v>
      </c>
      <c r="E84">
        <v>105.44000200000001</v>
      </c>
      <c r="F84">
        <v>106.970001</v>
      </c>
      <c r="G84">
        <v>106.970001</v>
      </c>
      <c r="H84">
        <v>277990000</v>
      </c>
      <c r="I84"/>
      <c r="J84" s="30">
        <f t="shared" si="1"/>
        <v>-4.0799821757527499E-2</v>
      </c>
    </row>
    <row r="85" spans="2:10" x14ac:dyDescent="0.3">
      <c r="B85" s="29">
        <v>26785</v>
      </c>
      <c r="C85">
        <v>106.970001</v>
      </c>
      <c r="D85">
        <v>112.25</v>
      </c>
      <c r="E85">
        <v>101.360001</v>
      </c>
      <c r="F85">
        <v>104.949997</v>
      </c>
      <c r="G85">
        <v>104.949997</v>
      </c>
      <c r="H85">
        <v>337260000</v>
      </c>
      <c r="I85"/>
      <c r="J85" s="30">
        <f t="shared" si="1"/>
        <v>-1.8883836413164046E-2</v>
      </c>
    </row>
    <row r="86" spans="2:10" x14ac:dyDescent="0.3">
      <c r="B86" s="29">
        <v>26816</v>
      </c>
      <c r="C86">
        <v>104.949997</v>
      </c>
      <c r="D86">
        <v>109.519997</v>
      </c>
      <c r="E86">
        <v>101.449997</v>
      </c>
      <c r="F86">
        <v>104.260002</v>
      </c>
      <c r="G86">
        <v>104.260002</v>
      </c>
      <c r="H86">
        <v>268700000</v>
      </c>
      <c r="I86"/>
      <c r="J86" s="30">
        <f t="shared" si="1"/>
        <v>-6.5745118601575614E-3</v>
      </c>
    </row>
    <row r="87" spans="2:10" x14ac:dyDescent="0.3">
      <c r="B87" s="29">
        <v>26846</v>
      </c>
      <c r="C87">
        <v>104.099998</v>
      </c>
      <c r="D87">
        <v>111.040001</v>
      </c>
      <c r="E87">
        <v>100.44000200000001</v>
      </c>
      <c r="F87">
        <v>108.220001</v>
      </c>
      <c r="G87">
        <v>108.220001</v>
      </c>
      <c r="H87">
        <v>307780000</v>
      </c>
      <c r="I87"/>
      <c r="J87" s="30">
        <f t="shared" si="1"/>
        <v>3.7981957836524805E-2</v>
      </c>
    </row>
    <row r="88" spans="2:10" x14ac:dyDescent="0.3">
      <c r="B88" s="29">
        <v>26877</v>
      </c>
      <c r="C88">
        <v>108.16999800000001</v>
      </c>
      <c r="D88">
        <v>108.16999800000001</v>
      </c>
      <c r="E88">
        <v>99.739998</v>
      </c>
      <c r="F88">
        <v>104.25</v>
      </c>
      <c r="G88">
        <v>104.25</v>
      </c>
      <c r="H88">
        <v>274460000</v>
      </c>
      <c r="I88"/>
      <c r="J88" s="30">
        <f t="shared" si="1"/>
        <v>-3.6684540411342281E-2</v>
      </c>
    </row>
    <row r="89" spans="2:10" x14ac:dyDescent="0.3">
      <c r="B89" s="29">
        <v>26908</v>
      </c>
      <c r="C89">
        <v>104.25</v>
      </c>
      <c r="D89">
        <v>110.449997</v>
      </c>
      <c r="E89">
        <v>102.129997</v>
      </c>
      <c r="F89">
        <v>108.43</v>
      </c>
      <c r="G89">
        <v>108.43</v>
      </c>
      <c r="H89">
        <v>329070000</v>
      </c>
      <c r="I89"/>
      <c r="J89" s="30">
        <f t="shared" si="1"/>
        <v>4.0095923261390887E-2</v>
      </c>
    </row>
    <row r="90" spans="2:10" x14ac:dyDescent="0.3">
      <c r="B90" s="29">
        <v>26938</v>
      </c>
      <c r="C90">
        <v>108.43</v>
      </c>
      <c r="D90">
        <v>112.82</v>
      </c>
      <c r="E90">
        <v>107.08000199999999</v>
      </c>
      <c r="F90">
        <v>108.290001</v>
      </c>
      <c r="G90">
        <v>108.290001</v>
      </c>
      <c r="H90">
        <v>422900000</v>
      </c>
      <c r="I90"/>
      <c r="J90" s="30">
        <f t="shared" si="1"/>
        <v>-1.2911463617080177E-3</v>
      </c>
    </row>
    <row r="91" spans="2:10" x14ac:dyDescent="0.3">
      <c r="B91" s="29">
        <v>26969</v>
      </c>
      <c r="C91">
        <v>108.290001</v>
      </c>
      <c r="D91">
        <v>109.199997</v>
      </c>
      <c r="E91">
        <v>94.879997000000003</v>
      </c>
      <c r="F91">
        <v>95.959998999999996</v>
      </c>
      <c r="G91">
        <v>95.959998999999996</v>
      </c>
      <c r="H91">
        <v>399900000</v>
      </c>
      <c r="I91"/>
      <c r="J91" s="30">
        <f t="shared" si="1"/>
        <v>-0.11386094640446076</v>
      </c>
    </row>
    <row r="92" spans="2:10" x14ac:dyDescent="0.3">
      <c r="B92" s="29">
        <v>26999</v>
      </c>
      <c r="C92">
        <v>95.830001999999993</v>
      </c>
      <c r="D92">
        <v>99.089995999999999</v>
      </c>
      <c r="E92">
        <v>91.050003000000004</v>
      </c>
      <c r="F92">
        <v>97.550003000000004</v>
      </c>
      <c r="G92">
        <v>97.550003000000004</v>
      </c>
      <c r="H92">
        <v>384380000</v>
      </c>
      <c r="I92"/>
      <c r="J92" s="30">
        <f t="shared" si="1"/>
        <v>1.6569445775004743E-2</v>
      </c>
    </row>
    <row r="93" spans="2:10" x14ac:dyDescent="0.3">
      <c r="B93" s="29">
        <v>27030</v>
      </c>
      <c r="C93">
        <v>97.550003000000004</v>
      </c>
      <c r="D93">
        <v>100.94000200000001</v>
      </c>
      <c r="E93">
        <v>91.620002999999997</v>
      </c>
      <c r="F93">
        <v>96.57</v>
      </c>
      <c r="G93">
        <v>96.57</v>
      </c>
      <c r="H93">
        <v>363150000</v>
      </c>
      <c r="I93"/>
      <c r="J93" s="30">
        <f t="shared" si="1"/>
        <v>-1.0046160634151979E-2</v>
      </c>
    </row>
    <row r="94" spans="2:10" x14ac:dyDescent="0.3">
      <c r="B94" s="29">
        <v>27061</v>
      </c>
      <c r="C94">
        <v>96.57</v>
      </c>
      <c r="D94">
        <v>97.43</v>
      </c>
      <c r="E94">
        <v>89.529999000000004</v>
      </c>
      <c r="F94">
        <v>96.220000999999996</v>
      </c>
      <c r="G94">
        <v>96.220000999999996</v>
      </c>
      <c r="H94">
        <v>256810000</v>
      </c>
      <c r="I94"/>
      <c r="J94" s="30">
        <f t="shared" si="1"/>
        <v>-3.6243036139587126E-3</v>
      </c>
    </row>
    <row r="95" spans="2:10" x14ac:dyDescent="0.3">
      <c r="B95" s="29">
        <v>27089</v>
      </c>
      <c r="C95">
        <v>96.220000999999996</v>
      </c>
      <c r="D95">
        <v>101.050003</v>
      </c>
      <c r="E95">
        <v>93.440002000000007</v>
      </c>
      <c r="F95">
        <v>93.980002999999996</v>
      </c>
      <c r="G95">
        <v>93.980002999999996</v>
      </c>
      <c r="H95">
        <v>309600000</v>
      </c>
      <c r="I95"/>
      <c r="J95" s="30">
        <f t="shared" si="1"/>
        <v>-2.3279962343795813E-2</v>
      </c>
    </row>
    <row r="96" spans="2:10" x14ac:dyDescent="0.3">
      <c r="B96" s="29">
        <v>27120</v>
      </c>
      <c r="C96">
        <v>93.980002999999996</v>
      </c>
      <c r="D96">
        <v>95.419998000000007</v>
      </c>
      <c r="E96">
        <v>88.620002999999997</v>
      </c>
      <c r="F96">
        <v>90.309997999999993</v>
      </c>
      <c r="G96">
        <v>90.309997999999993</v>
      </c>
      <c r="H96">
        <v>254270000</v>
      </c>
      <c r="I96"/>
      <c r="J96" s="30">
        <f t="shared" si="1"/>
        <v>-3.9050913841745749E-2</v>
      </c>
    </row>
    <row r="97" spans="2:10" x14ac:dyDescent="0.3">
      <c r="B97" s="29">
        <v>27150</v>
      </c>
      <c r="C97">
        <v>90.309997999999993</v>
      </c>
      <c r="D97">
        <v>93.589995999999999</v>
      </c>
      <c r="E97">
        <v>85.870002999999997</v>
      </c>
      <c r="F97">
        <v>87.279999000000004</v>
      </c>
      <c r="G97">
        <v>87.279999000000004</v>
      </c>
      <c r="H97">
        <v>275150000</v>
      </c>
      <c r="I97"/>
      <c r="J97" s="30">
        <f t="shared" si="1"/>
        <v>-3.3551091430651936E-2</v>
      </c>
    </row>
    <row r="98" spans="2:10" x14ac:dyDescent="0.3">
      <c r="B98" s="29">
        <v>27181</v>
      </c>
      <c r="C98">
        <v>87.279999000000004</v>
      </c>
      <c r="D98">
        <v>93.760002</v>
      </c>
      <c r="E98">
        <v>85.129997000000003</v>
      </c>
      <c r="F98">
        <v>86</v>
      </c>
      <c r="G98">
        <v>86</v>
      </c>
      <c r="H98">
        <v>245340000</v>
      </c>
      <c r="I98"/>
      <c r="J98" s="30">
        <f t="shared" si="1"/>
        <v>-1.46654332569367E-2</v>
      </c>
    </row>
    <row r="99" spans="2:10" x14ac:dyDescent="0.3">
      <c r="B99" s="29">
        <v>27211</v>
      </c>
      <c r="C99">
        <v>86</v>
      </c>
      <c r="D99">
        <v>86.889999000000003</v>
      </c>
      <c r="E99">
        <v>78.959998999999996</v>
      </c>
      <c r="F99">
        <v>79.309997999999993</v>
      </c>
      <c r="G99">
        <v>79.309997999999993</v>
      </c>
      <c r="H99">
        <v>274090000</v>
      </c>
      <c r="I99"/>
      <c r="J99" s="30">
        <f t="shared" si="1"/>
        <v>-7.7790720930232649E-2</v>
      </c>
    </row>
    <row r="100" spans="2:10" x14ac:dyDescent="0.3">
      <c r="B100" s="29">
        <v>27242</v>
      </c>
      <c r="C100">
        <v>79.309997999999993</v>
      </c>
      <c r="D100">
        <v>83.529999000000004</v>
      </c>
      <c r="E100">
        <v>69.370002999999997</v>
      </c>
      <c r="F100">
        <v>72.150002000000001</v>
      </c>
      <c r="G100">
        <v>72.150002000000001</v>
      </c>
      <c r="H100">
        <v>280100000</v>
      </c>
      <c r="I100"/>
      <c r="J100" s="30">
        <f t="shared" si="1"/>
        <v>-9.0278605227048336E-2</v>
      </c>
    </row>
    <row r="101" spans="2:10" x14ac:dyDescent="0.3">
      <c r="B101" s="29">
        <v>27273</v>
      </c>
      <c r="C101">
        <v>72.150002000000001</v>
      </c>
      <c r="D101">
        <v>73.010002</v>
      </c>
      <c r="E101">
        <v>62.52</v>
      </c>
      <c r="F101">
        <v>63.540000999999997</v>
      </c>
      <c r="G101">
        <v>63.540000999999997</v>
      </c>
      <c r="H101">
        <v>280050000</v>
      </c>
      <c r="I101"/>
      <c r="J101" s="30">
        <f t="shared" si="1"/>
        <v>-0.11933472988677118</v>
      </c>
    </row>
    <row r="102" spans="2:10" x14ac:dyDescent="0.3">
      <c r="B102" s="29">
        <v>27303</v>
      </c>
      <c r="C102">
        <v>63.540000999999997</v>
      </c>
      <c r="D102">
        <v>75.900002000000001</v>
      </c>
      <c r="E102">
        <v>60.959999000000003</v>
      </c>
      <c r="F102">
        <v>73.900002000000001</v>
      </c>
      <c r="G102">
        <v>73.900002000000001</v>
      </c>
      <c r="H102">
        <v>377100000</v>
      </c>
      <c r="I102"/>
      <c r="J102" s="30">
        <f t="shared" si="1"/>
        <v>0.16304691276287531</v>
      </c>
    </row>
    <row r="103" spans="2:10" x14ac:dyDescent="0.3">
      <c r="B103" s="29">
        <v>27334</v>
      </c>
      <c r="C103">
        <v>73.900002000000001</v>
      </c>
      <c r="D103">
        <v>77.410004000000001</v>
      </c>
      <c r="E103">
        <v>66.849997999999999</v>
      </c>
      <c r="F103">
        <v>69.970000999999996</v>
      </c>
      <c r="G103">
        <v>69.970000999999996</v>
      </c>
      <c r="H103">
        <v>286790000</v>
      </c>
      <c r="I103"/>
      <c r="J103" s="30">
        <f t="shared" si="1"/>
        <v>-5.3179985028958487E-2</v>
      </c>
    </row>
    <row r="104" spans="2:10" x14ac:dyDescent="0.3">
      <c r="B104" s="29">
        <v>27364</v>
      </c>
      <c r="C104">
        <v>69.800003000000004</v>
      </c>
      <c r="D104">
        <v>69.800003000000004</v>
      </c>
      <c r="E104">
        <v>64.129997000000003</v>
      </c>
      <c r="F104">
        <v>68.559997999999993</v>
      </c>
      <c r="G104">
        <v>68.559997999999993</v>
      </c>
      <c r="H104">
        <v>315150000</v>
      </c>
      <c r="I104"/>
      <c r="J104" s="30">
        <f t="shared" si="1"/>
        <v>-2.0151536084728749E-2</v>
      </c>
    </row>
    <row r="105" spans="2:10" x14ac:dyDescent="0.3">
      <c r="B105" s="29">
        <v>27395</v>
      </c>
      <c r="C105">
        <v>68.650002000000001</v>
      </c>
      <c r="D105">
        <v>78.690002000000007</v>
      </c>
      <c r="E105">
        <v>68.650002000000001</v>
      </c>
      <c r="F105">
        <v>76.980002999999996</v>
      </c>
      <c r="G105">
        <v>76.980002999999996</v>
      </c>
      <c r="H105">
        <v>432550000</v>
      </c>
      <c r="I105"/>
      <c r="J105" s="30">
        <f t="shared" si="1"/>
        <v>0.12281221186733404</v>
      </c>
    </row>
    <row r="106" spans="2:10" x14ac:dyDescent="0.3">
      <c r="B106" s="29">
        <v>27426</v>
      </c>
      <c r="C106">
        <v>76.980002999999996</v>
      </c>
      <c r="D106">
        <v>83.559997999999993</v>
      </c>
      <c r="E106">
        <v>76</v>
      </c>
      <c r="F106">
        <v>81.589995999999999</v>
      </c>
      <c r="G106">
        <v>81.589995999999999</v>
      </c>
      <c r="H106">
        <v>423640000</v>
      </c>
      <c r="I106"/>
      <c r="J106" s="30">
        <f t="shared" si="1"/>
        <v>5.9885591326880094E-2</v>
      </c>
    </row>
    <row r="107" spans="2:10" x14ac:dyDescent="0.3">
      <c r="B107" s="29">
        <v>27454</v>
      </c>
      <c r="C107">
        <v>81.589995999999999</v>
      </c>
      <c r="D107">
        <v>87.080001999999993</v>
      </c>
      <c r="E107">
        <v>80.080001999999993</v>
      </c>
      <c r="F107">
        <v>83.360000999999997</v>
      </c>
      <c r="G107">
        <v>83.360000999999997</v>
      </c>
      <c r="H107">
        <v>453610000</v>
      </c>
      <c r="I107"/>
      <c r="J107" s="30">
        <f t="shared" si="1"/>
        <v>2.169389737437899E-2</v>
      </c>
    </row>
    <row r="108" spans="2:10" x14ac:dyDescent="0.3">
      <c r="B108" s="29">
        <v>27485</v>
      </c>
      <c r="C108">
        <v>83.360000999999997</v>
      </c>
      <c r="D108">
        <v>88.790001000000004</v>
      </c>
      <c r="E108">
        <v>79.660004000000001</v>
      </c>
      <c r="F108">
        <v>87.300003000000004</v>
      </c>
      <c r="G108">
        <v>87.300003000000004</v>
      </c>
      <c r="H108">
        <v>451350000</v>
      </c>
      <c r="I108"/>
      <c r="J108" s="30">
        <f t="shared" si="1"/>
        <v>4.7264898665248412E-2</v>
      </c>
    </row>
    <row r="109" spans="2:10" x14ac:dyDescent="0.3">
      <c r="B109" s="29">
        <v>27515</v>
      </c>
      <c r="C109">
        <v>87.300003000000004</v>
      </c>
      <c r="D109">
        <v>93.510002</v>
      </c>
      <c r="E109">
        <v>86.940002000000007</v>
      </c>
      <c r="F109">
        <v>91.150002000000001</v>
      </c>
      <c r="G109">
        <v>91.150002000000001</v>
      </c>
      <c r="H109">
        <v>457490000</v>
      </c>
      <c r="I109"/>
      <c r="J109" s="30">
        <f t="shared" si="1"/>
        <v>4.4100788862515783E-2</v>
      </c>
    </row>
    <row r="110" spans="2:10" x14ac:dyDescent="0.3">
      <c r="B110" s="29">
        <v>27546</v>
      </c>
      <c r="C110">
        <v>91.32</v>
      </c>
      <c r="D110">
        <v>95.849997999999999</v>
      </c>
      <c r="E110">
        <v>89.300003000000004</v>
      </c>
      <c r="F110">
        <v>95.190002000000007</v>
      </c>
      <c r="G110">
        <v>95.190002000000007</v>
      </c>
      <c r="H110">
        <v>447000000</v>
      </c>
      <c r="I110"/>
      <c r="J110" s="30">
        <f t="shared" si="1"/>
        <v>4.4322544282555221E-2</v>
      </c>
    </row>
    <row r="111" spans="2:10" x14ac:dyDescent="0.3">
      <c r="B111" s="29">
        <v>27576</v>
      </c>
      <c r="C111">
        <v>95.190002000000007</v>
      </c>
      <c r="D111">
        <v>96.580001999999993</v>
      </c>
      <c r="E111">
        <v>87.68</v>
      </c>
      <c r="F111">
        <v>88.75</v>
      </c>
      <c r="G111">
        <v>88.75</v>
      </c>
      <c r="H111">
        <v>441680000</v>
      </c>
      <c r="I111"/>
      <c r="J111" s="30">
        <f t="shared" si="1"/>
        <v>-6.765418494265818E-2</v>
      </c>
    </row>
    <row r="112" spans="2:10" x14ac:dyDescent="0.3">
      <c r="B112" s="29">
        <v>27607</v>
      </c>
      <c r="C112">
        <v>88.75</v>
      </c>
      <c r="D112">
        <v>89.040001000000004</v>
      </c>
      <c r="E112">
        <v>82.209998999999996</v>
      </c>
      <c r="F112">
        <v>86.879997000000003</v>
      </c>
      <c r="G112">
        <v>86.879997000000003</v>
      </c>
      <c r="H112">
        <v>281470000</v>
      </c>
      <c r="I112"/>
      <c r="J112" s="30">
        <f t="shared" si="1"/>
        <v>-2.1070456338028176E-2</v>
      </c>
    </row>
    <row r="113" spans="2:10" x14ac:dyDescent="0.3">
      <c r="B113" s="29">
        <v>27638</v>
      </c>
      <c r="C113">
        <v>86.879997000000003</v>
      </c>
      <c r="D113">
        <v>87.419998000000007</v>
      </c>
      <c r="E113">
        <v>81.569999999999993</v>
      </c>
      <c r="F113">
        <v>83.870002999999997</v>
      </c>
      <c r="G113">
        <v>83.870002999999997</v>
      </c>
      <c r="H113">
        <v>275120000</v>
      </c>
      <c r="I113"/>
      <c r="J113" s="30">
        <f t="shared" si="1"/>
        <v>-3.4645420165012264E-2</v>
      </c>
    </row>
    <row r="114" spans="2:10" x14ac:dyDescent="0.3">
      <c r="B114" s="29">
        <v>27668</v>
      </c>
      <c r="C114">
        <v>83.870002999999997</v>
      </c>
      <c r="D114">
        <v>91.75</v>
      </c>
      <c r="E114">
        <v>82.57</v>
      </c>
      <c r="F114">
        <v>89.040001000000004</v>
      </c>
      <c r="G114">
        <v>89.040001000000004</v>
      </c>
      <c r="H114">
        <v>365540000</v>
      </c>
      <c r="I114"/>
      <c r="J114" s="30">
        <f t="shared" si="1"/>
        <v>6.16429929065343E-2</v>
      </c>
    </row>
    <row r="115" spans="2:10" x14ac:dyDescent="0.3">
      <c r="B115" s="29">
        <v>27699</v>
      </c>
      <c r="C115">
        <v>89.040001000000004</v>
      </c>
      <c r="D115">
        <v>92.330001999999993</v>
      </c>
      <c r="E115">
        <v>87.629997000000003</v>
      </c>
      <c r="F115">
        <v>91.239998</v>
      </c>
      <c r="G115">
        <v>91.239998</v>
      </c>
      <c r="H115">
        <v>318810000</v>
      </c>
      <c r="I115"/>
      <c r="J115" s="30">
        <f t="shared" si="1"/>
        <v>2.4707962435894348E-2</v>
      </c>
    </row>
    <row r="116" spans="2:10" x14ac:dyDescent="0.3">
      <c r="B116" s="29">
        <v>27729</v>
      </c>
      <c r="C116">
        <v>91.239998</v>
      </c>
      <c r="D116">
        <v>91.900002000000001</v>
      </c>
      <c r="E116">
        <v>86.150002000000001</v>
      </c>
      <c r="F116">
        <v>90.190002000000007</v>
      </c>
      <c r="G116">
        <v>90.190002000000007</v>
      </c>
      <c r="H116">
        <v>348970000</v>
      </c>
      <c r="I116"/>
      <c r="J116" s="30">
        <f t="shared" si="1"/>
        <v>-1.1508066889698854E-2</v>
      </c>
    </row>
    <row r="117" spans="2:10" x14ac:dyDescent="0.3">
      <c r="B117" s="29">
        <v>27760</v>
      </c>
      <c r="C117">
        <v>90.190002000000007</v>
      </c>
      <c r="D117">
        <v>101.989998</v>
      </c>
      <c r="E117">
        <v>89.809997999999993</v>
      </c>
      <c r="F117">
        <v>100.860001</v>
      </c>
      <c r="G117">
        <v>100.860001</v>
      </c>
      <c r="H117">
        <v>635830000</v>
      </c>
      <c r="I117"/>
      <c r="J117" s="30">
        <f t="shared" si="1"/>
        <v>0.11830578515787127</v>
      </c>
    </row>
    <row r="118" spans="2:10" x14ac:dyDescent="0.3">
      <c r="B118" s="29">
        <v>27791</v>
      </c>
      <c r="C118">
        <v>100.860001</v>
      </c>
      <c r="D118">
        <v>103.07</v>
      </c>
      <c r="E118">
        <v>98.5</v>
      </c>
      <c r="F118">
        <v>99.709998999999996</v>
      </c>
      <c r="G118">
        <v>99.709998999999996</v>
      </c>
      <c r="H118">
        <v>596130000</v>
      </c>
      <c r="I118"/>
      <c r="J118" s="30">
        <f t="shared" si="1"/>
        <v>-1.1401963004144755E-2</v>
      </c>
    </row>
    <row r="119" spans="2:10" x14ac:dyDescent="0.3">
      <c r="B119" s="29">
        <v>27820</v>
      </c>
      <c r="C119">
        <v>99.709998999999996</v>
      </c>
      <c r="D119">
        <v>104.389999</v>
      </c>
      <c r="E119">
        <v>98.230002999999996</v>
      </c>
      <c r="F119">
        <v>102.769997</v>
      </c>
      <c r="G119">
        <v>102.769997</v>
      </c>
      <c r="H119">
        <v>529600000</v>
      </c>
      <c r="I119"/>
      <c r="J119" s="30">
        <f t="shared" si="1"/>
        <v>3.0688978344087792E-2</v>
      </c>
    </row>
    <row r="120" spans="2:10" x14ac:dyDescent="0.3">
      <c r="B120" s="29">
        <v>27851</v>
      </c>
      <c r="C120">
        <v>102.769997</v>
      </c>
      <c r="D120">
        <v>104.629997</v>
      </c>
      <c r="E120">
        <v>99.57</v>
      </c>
      <c r="F120">
        <v>101.639999</v>
      </c>
      <c r="G120">
        <v>101.639999</v>
      </c>
      <c r="H120">
        <v>392260000</v>
      </c>
      <c r="I120"/>
      <c r="J120" s="30">
        <f t="shared" si="1"/>
        <v>-1.0995407540977165E-2</v>
      </c>
    </row>
    <row r="121" spans="2:10" x14ac:dyDescent="0.3">
      <c r="B121" s="29">
        <v>27881</v>
      </c>
      <c r="C121">
        <v>101.639999</v>
      </c>
      <c r="D121">
        <v>103.989998</v>
      </c>
      <c r="E121">
        <v>98.260002</v>
      </c>
      <c r="F121">
        <v>100.18</v>
      </c>
      <c r="G121">
        <v>100.18</v>
      </c>
      <c r="H121">
        <v>355910000</v>
      </c>
      <c r="I121"/>
      <c r="J121" s="30">
        <f t="shared" si="1"/>
        <v>-1.4364413758012673E-2</v>
      </c>
    </row>
    <row r="122" spans="2:10" x14ac:dyDescent="0.3">
      <c r="B122" s="29">
        <v>27912</v>
      </c>
      <c r="C122">
        <v>100.18</v>
      </c>
      <c r="D122">
        <v>105.07</v>
      </c>
      <c r="E122">
        <v>97.970000999999996</v>
      </c>
      <c r="F122">
        <v>104.279999</v>
      </c>
      <c r="G122">
        <v>104.279999</v>
      </c>
      <c r="H122">
        <v>417230000</v>
      </c>
      <c r="I122"/>
      <c r="J122" s="30">
        <f t="shared" si="1"/>
        <v>4.0926322619285305E-2</v>
      </c>
    </row>
    <row r="123" spans="2:10" x14ac:dyDescent="0.3">
      <c r="B123" s="29">
        <v>27942</v>
      </c>
      <c r="C123">
        <v>104.279999</v>
      </c>
      <c r="D123">
        <v>106.779999</v>
      </c>
      <c r="E123">
        <v>102.30999799999999</v>
      </c>
      <c r="F123">
        <v>103.44000200000001</v>
      </c>
      <c r="G123">
        <v>103.44000200000001</v>
      </c>
      <c r="H123">
        <v>393760000</v>
      </c>
      <c r="I123"/>
      <c r="J123" s="30">
        <f t="shared" si="1"/>
        <v>-8.0552072118834639E-3</v>
      </c>
    </row>
    <row r="124" spans="2:10" x14ac:dyDescent="0.3">
      <c r="B124" s="29">
        <v>27973</v>
      </c>
      <c r="C124">
        <v>103.44000200000001</v>
      </c>
      <c r="D124">
        <v>105.410004</v>
      </c>
      <c r="E124">
        <v>100.43</v>
      </c>
      <c r="F124">
        <v>102.910004</v>
      </c>
      <c r="G124">
        <v>102.910004</v>
      </c>
      <c r="H124">
        <v>346680000</v>
      </c>
      <c r="I124"/>
      <c r="J124" s="30">
        <f t="shared" si="1"/>
        <v>-5.1237237988452922E-3</v>
      </c>
    </row>
    <row r="125" spans="2:10" x14ac:dyDescent="0.3">
      <c r="B125" s="29">
        <v>28004</v>
      </c>
      <c r="C125">
        <v>102.910004</v>
      </c>
      <c r="D125">
        <v>108.720001</v>
      </c>
      <c r="E125">
        <v>102.599998</v>
      </c>
      <c r="F125">
        <v>105.239998</v>
      </c>
      <c r="G125">
        <v>105.239998</v>
      </c>
      <c r="H125">
        <v>414750000</v>
      </c>
      <c r="I125"/>
      <c r="J125" s="30">
        <f t="shared" si="1"/>
        <v>2.2641083562682685E-2</v>
      </c>
    </row>
    <row r="126" spans="2:10" x14ac:dyDescent="0.3">
      <c r="B126" s="29">
        <v>28034</v>
      </c>
      <c r="C126">
        <v>105.239998</v>
      </c>
      <c r="D126">
        <v>105.75</v>
      </c>
      <c r="E126">
        <v>99.209998999999996</v>
      </c>
      <c r="F126">
        <v>102.900002</v>
      </c>
      <c r="G126">
        <v>102.900002</v>
      </c>
      <c r="H126">
        <v>361390000</v>
      </c>
      <c r="I126"/>
      <c r="J126" s="30">
        <f t="shared" si="1"/>
        <v>-2.2234854090362077E-2</v>
      </c>
    </row>
    <row r="127" spans="2:10" x14ac:dyDescent="0.3">
      <c r="B127" s="29">
        <v>28065</v>
      </c>
      <c r="C127">
        <v>102.900002</v>
      </c>
      <c r="D127">
        <v>103.779999</v>
      </c>
      <c r="E127">
        <v>98.18</v>
      </c>
      <c r="F127">
        <v>102.099998</v>
      </c>
      <c r="G127">
        <v>102.099998</v>
      </c>
      <c r="H127">
        <v>381020000</v>
      </c>
      <c r="I127"/>
      <c r="J127" s="30">
        <f t="shared" si="1"/>
        <v>-7.7745771083658211E-3</v>
      </c>
    </row>
    <row r="128" spans="2:10" x14ac:dyDescent="0.3">
      <c r="B128" s="29">
        <v>28095</v>
      </c>
      <c r="C128">
        <v>102.099998</v>
      </c>
      <c r="D128">
        <v>107.82</v>
      </c>
      <c r="E128">
        <v>101.620003</v>
      </c>
      <c r="F128">
        <v>107.459999</v>
      </c>
      <c r="G128">
        <v>107.459999</v>
      </c>
      <c r="H128">
        <v>534550000</v>
      </c>
      <c r="I128"/>
      <c r="J128" s="30">
        <f t="shared" si="1"/>
        <v>5.2497562242851403E-2</v>
      </c>
    </row>
    <row r="129" spans="2:10" x14ac:dyDescent="0.3">
      <c r="B129" s="29">
        <v>28126</v>
      </c>
      <c r="C129">
        <v>107.459999</v>
      </c>
      <c r="D129">
        <v>107.970001</v>
      </c>
      <c r="E129">
        <v>100.910004</v>
      </c>
      <c r="F129">
        <v>102.029999</v>
      </c>
      <c r="G129">
        <v>102.029999</v>
      </c>
      <c r="H129">
        <v>501620000</v>
      </c>
      <c r="I129"/>
      <c r="J129" s="30">
        <f t="shared" si="1"/>
        <v>-5.0530430397640269E-2</v>
      </c>
    </row>
    <row r="130" spans="2:10" x14ac:dyDescent="0.3">
      <c r="B130" s="29">
        <v>28157</v>
      </c>
      <c r="C130">
        <v>102.029999</v>
      </c>
      <c r="D130">
        <v>103.32</v>
      </c>
      <c r="E130">
        <v>98.82</v>
      </c>
      <c r="F130">
        <v>99.82</v>
      </c>
      <c r="G130">
        <v>99.82</v>
      </c>
      <c r="H130">
        <v>398440000</v>
      </c>
      <c r="I130"/>
      <c r="J130" s="30">
        <f t="shared" si="1"/>
        <v>-2.1660286402629625E-2</v>
      </c>
    </row>
    <row r="131" spans="2:10" x14ac:dyDescent="0.3">
      <c r="B131" s="29">
        <v>28185</v>
      </c>
      <c r="C131">
        <v>99.82</v>
      </c>
      <c r="D131">
        <v>102.699997</v>
      </c>
      <c r="E131">
        <v>97.800003000000004</v>
      </c>
      <c r="F131">
        <v>98.419998000000007</v>
      </c>
      <c r="G131">
        <v>98.419998000000007</v>
      </c>
      <c r="H131">
        <v>434690000</v>
      </c>
      <c r="I131"/>
      <c r="J131" s="30">
        <f t="shared" si="1"/>
        <v>-1.4025265477859983E-2</v>
      </c>
    </row>
    <row r="132" spans="2:10" x14ac:dyDescent="0.3">
      <c r="B132" s="29">
        <v>28216</v>
      </c>
      <c r="C132">
        <v>98.419998000000007</v>
      </c>
      <c r="D132">
        <v>102.07</v>
      </c>
      <c r="E132">
        <v>96.529999000000004</v>
      </c>
      <c r="F132">
        <v>98.440002000000007</v>
      </c>
      <c r="G132">
        <v>98.440002000000007</v>
      </c>
      <c r="H132">
        <v>403060000</v>
      </c>
      <c r="I132"/>
      <c r="J132" s="30">
        <f t="shared" si="1"/>
        <v>2.0325137580279318E-4</v>
      </c>
    </row>
    <row r="133" spans="2:10" x14ac:dyDescent="0.3">
      <c r="B133" s="29">
        <v>28246</v>
      </c>
      <c r="C133">
        <v>98.440002000000007</v>
      </c>
      <c r="D133">
        <v>100.93</v>
      </c>
      <c r="E133">
        <v>95.519997000000004</v>
      </c>
      <c r="F133">
        <v>96.120002999999997</v>
      </c>
      <c r="G133">
        <v>96.120002999999997</v>
      </c>
      <c r="H133">
        <v>425820000</v>
      </c>
      <c r="I133"/>
      <c r="J133" s="30">
        <f t="shared" si="1"/>
        <v>-2.3567644787329534E-2</v>
      </c>
    </row>
    <row r="134" spans="2:10" x14ac:dyDescent="0.3">
      <c r="B134" s="29">
        <v>28277</v>
      </c>
      <c r="C134">
        <v>96.120002999999997</v>
      </c>
      <c r="D134">
        <v>101.650002</v>
      </c>
      <c r="E134">
        <v>95.889999000000003</v>
      </c>
      <c r="F134">
        <v>100.480003</v>
      </c>
      <c r="G134">
        <v>100.480003</v>
      </c>
      <c r="H134">
        <v>485150000</v>
      </c>
      <c r="I134"/>
      <c r="J134" s="30">
        <f t="shared" si="1"/>
        <v>4.535996529255204E-2</v>
      </c>
    </row>
    <row r="135" spans="2:10" x14ac:dyDescent="0.3">
      <c r="B135" s="29">
        <v>28307</v>
      </c>
      <c r="C135">
        <v>100.480003</v>
      </c>
      <c r="D135">
        <v>102.57</v>
      </c>
      <c r="E135">
        <v>97.709998999999996</v>
      </c>
      <c r="F135">
        <v>98.849997999999999</v>
      </c>
      <c r="G135">
        <v>98.849997999999999</v>
      </c>
      <c r="H135">
        <v>452480000</v>
      </c>
      <c r="I135"/>
      <c r="J135" s="30">
        <f t="shared" si="1"/>
        <v>-1.6222183034767634E-2</v>
      </c>
    </row>
    <row r="136" spans="2:10" x14ac:dyDescent="0.3">
      <c r="B136" s="29">
        <v>28338</v>
      </c>
      <c r="C136">
        <v>98.849997999999999</v>
      </c>
      <c r="D136">
        <v>99.839995999999999</v>
      </c>
      <c r="E136">
        <v>95.040001000000004</v>
      </c>
      <c r="F136">
        <v>96.769997000000004</v>
      </c>
      <c r="G136">
        <v>96.769997000000004</v>
      </c>
      <c r="H136">
        <v>433650000</v>
      </c>
      <c r="I136"/>
      <c r="J136" s="30">
        <f t="shared" si="1"/>
        <v>-2.1041993344299237E-2</v>
      </c>
    </row>
    <row r="137" spans="2:10" x14ac:dyDescent="0.3">
      <c r="B137" s="29">
        <v>28369</v>
      </c>
      <c r="C137">
        <v>96.769997000000004</v>
      </c>
      <c r="D137">
        <v>98.43</v>
      </c>
      <c r="E137">
        <v>94.440002000000007</v>
      </c>
      <c r="F137">
        <v>96.529999000000004</v>
      </c>
      <c r="G137">
        <v>96.529999000000004</v>
      </c>
      <c r="H137">
        <v>383670000</v>
      </c>
      <c r="I137"/>
      <c r="J137" s="30">
        <f t="shared" si="1"/>
        <v>-2.4800868806474918E-3</v>
      </c>
    </row>
    <row r="138" spans="2:10" x14ac:dyDescent="0.3">
      <c r="B138" s="29">
        <v>28399</v>
      </c>
      <c r="C138">
        <v>96.529999000000004</v>
      </c>
      <c r="D138">
        <v>97.269997000000004</v>
      </c>
      <c r="E138">
        <v>90.199996999999996</v>
      </c>
      <c r="F138">
        <v>92.339995999999999</v>
      </c>
      <c r="G138">
        <v>92.339995999999999</v>
      </c>
      <c r="H138">
        <v>413470000</v>
      </c>
      <c r="I138"/>
      <c r="J138" s="30">
        <f t="shared" si="1"/>
        <v>-4.340622649338266E-2</v>
      </c>
    </row>
    <row r="139" spans="2:10" x14ac:dyDescent="0.3">
      <c r="B139" s="29">
        <v>28430</v>
      </c>
      <c r="C139">
        <v>92.190002000000007</v>
      </c>
      <c r="D139">
        <v>97.110000999999997</v>
      </c>
      <c r="E139">
        <v>90.010002</v>
      </c>
      <c r="F139">
        <v>94.830001999999993</v>
      </c>
      <c r="G139">
        <v>94.830001999999993</v>
      </c>
      <c r="H139">
        <v>494680000</v>
      </c>
      <c r="I139"/>
      <c r="J139" s="30">
        <f t="shared" ref="J139:J202" si="2">F139/F138-1</f>
        <v>2.6965628198641012E-2</v>
      </c>
    </row>
    <row r="140" spans="2:10" x14ac:dyDescent="0.3">
      <c r="B140" s="29">
        <v>28460</v>
      </c>
      <c r="C140">
        <v>94.830001999999993</v>
      </c>
      <c r="D140">
        <v>95.669998000000007</v>
      </c>
      <c r="E140">
        <v>91.760002</v>
      </c>
      <c r="F140">
        <v>95.099997999999999</v>
      </c>
      <c r="G140">
        <v>95.099997999999999</v>
      </c>
      <c r="H140">
        <v>450970000</v>
      </c>
      <c r="I140"/>
      <c r="J140" s="30">
        <f t="shared" si="2"/>
        <v>2.8471580122924056E-3</v>
      </c>
    </row>
    <row r="141" spans="2:10" x14ac:dyDescent="0.3">
      <c r="B141" s="29">
        <v>28491</v>
      </c>
      <c r="C141">
        <v>95.099997999999999</v>
      </c>
      <c r="D141">
        <v>95.150002000000001</v>
      </c>
      <c r="E141">
        <v>88.019997000000004</v>
      </c>
      <c r="F141">
        <v>89.25</v>
      </c>
      <c r="G141">
        <v>89.25</v>
      </c>
      <c r="H141">
        <v>428140000</v>
      </c>
      <c r="I141"/>
      <c r="J141" s="30">
        <f t="shared" si="2"/>
        <v>-6.1514175846775543E-2</v>
      </c>
    </row>
    <row r="142" spans="2:10" x14ac:dyDescent="0.3">
      <c r="B142" s="29">
        <v>28522</v>
      </c>
      <c r="C142">
        <v>89.25</v>
      </c>
      <c r="D142">
        <v>91.32</v>
      </c>
      <c r="E142">
        <v>86.580001999999993</v>
      </c>
      <c r="F142">
        <v>87.040001000000004</v>
      </c>
      <c r="G142">
        <v>87.040001000000004</v>
      </c>
      <c r="H142">
        <v>368600000</v>
      </c>
      <c r="I142"/>
      <c r="J142" s="30">
        <f t="shared" si="2"/>
        <v>-2.4761893557422976E-2</v>
      </c>
    </row>
    <row r="143" spans="2:10" x14ac:dyDescent="0.3">
      <c r="B143" s="29">
        <v>28550</v>
      </c>
      <c r="C143">
        <v>87.040001000000004</v>
      </c>
      <c r="D143">
        <v>91.349997999999999</v>
      </c>
      <c r="E143">
        <v>86.449996999999996</v>
      </c>
      <c r="F143">
        <v>89.209998999999996</v>
      </c>
      <c r="G143">
        <v>89.209998999999996</v>
      </c>
      <c r="H143">
        <v>497580000</v>
      </c>
      <c r="I143"/>
      <c r="J143" s="30">
        <f t="shared" si="2"/>
        <v>2.4931042912097245E-2</v>
      </c>
    </row>
    <row r="144" spans="2:10" x14ac:dyDescent="0.3">
      <c r="B144" s="29">
        <v>28581</v>
      </c>
      <c r="C144">
        <v>89.199996999999996</v>
      </c>
      <c r="D144">
        <v>97.910004000000001</v>
      </c>
      <c r="E144">
        <v>88.07</v>
      </c>
      <c r="F144">
        <v>96.830001999999993</v>
      </c>
      <c r="G144">
        <v>96.830001999999993</v>
      </c>
      <c r="H144">
        <v>695600000</v>
      </c>
      <c r="I144"/>
      <c r="J144" s="30">
        <f t="shared" si="2"/>
        <v>8.5416467721292078E-2</v>
      </c>
    </row>
    <row r="145" spans="2:10" x14ac:dyDescent="0.3">
      <c r="B145" s="29">
        <v>28611</v>
      </c>
      <c r="C145">
        <v>96.830001999999993</v>
      </c>
      <c r="D145">
        <v>100.32</v>
      </c>
      <c r="E145">
        <v>94.57</v>
      </c>
      <c r="F145">
        <v>97.239998</v>
      </c>
      <c r="G145">
        <v>97.239998</v>
      </c>
      <c r="H145">
        <v>775750000</v>
      </c>
      <c r="I145"/>
      <c r="J145" s="30">
        <f t="shared" si="2"/>
        <v>4.2341835333228328E-3</v>
      </c>
    </row>
    <row r="146" spans="2:10" x14ac:dyDescent="0.3">
      <c r="B146" s="29">
        <v>28642</v>
      </c>
      <c r="C146">
        <v>97.239998</v>
      </c>
      <c r="D146">
        <v>101.839996</v>
      </c>
      <c r="E146">
        <v>93.989998</v>
      </c>
      <c r="F146">
        <v>95.529999000000004</v>
      </c>
      <c r="G146">
        <v>95.529999000000004</v>
      </c>
      <c r="H146">
        <v>666290000</v>
      </c>
      <c r="I146"/>
      <c r="J146" s="30">
        <f t="shared" si="2"/>
        <v>-1.7585345898505689E-2</v>
      </c>
    </row>
    <row r="147" spans="2:10" x14ac:dyDescent="0.3">
      <c r="B147" s="29">
        <v>28672</v>
      </c>
      <c r="C147">
        <v>95.529999000000004</v>
      </c>
      <c r="D147">
        <v>101.18</v>
      </c>
      <c r="E147">
        <v>93.589995999999999</v>
      </c>
      <c r="F147">
        <v>100.68</v>
      </c>
      <c r="G147">
        <v>100.68</v>
      </c>
      <c r="H147">
        <v>541490000</v>
      </c>
      <c r="I147"/>
      <c r="J147" s="30">
        <f t="shared" si="2"/>
        <v>5.3909777597715758E-2</v>
      </c>
    </row>
    <row r="148" spans="2:10" x14ac:dyDescent="0.3">
      <c r="B148" s="29">
        <v>28703</v>
      </c>
      <c r="C148">
        <v>100.68</v>
      </c>
      <c r="D148">
        <v>106.269997</v>
      </c>
      <c r="E148">
        <v>99.949996999999996</v>
      </c>
      <c r="F148">
        <v>103.290001</v>
      </c>
      <c r="G148">
        <v>103.290001</v>
      </c>
      <c r="H148">
        <v>864950000</v>
      </c>
      <c r="I148"/>
      <c r="J148" s="30">
        <f t="shared" si="2"/>
        <v>2.5923728645212529E-2</v>
      </c>
    </row>
    <row r="149" spans="2:10" x14ac:dyDescent="0.3">
      <c r="B149" s="29">
        <v>28734</v>
      </c>
      <c r="C149">
        <v>103.290001</v>
      </c>
      <c r="D149">
        <v>108.050003</v>
      </c>
      <c r="E149">
        <v>100.660004</v>
      </c>
      <c r="F149">
        <v>102.540001</v>
      </c>
      <c r="G149">
        <v>102.540001</v>
      </c>
      <c r="H149">
        <v>672290000</v>
      </c>
      <c r="I149"/>
      <c r="J149" s="30">
        <f t="shared" si="2"/>
        <v>-7.2611094272329035E-3</v>
      </c>
    </row>
    <row r="150" spans="2:10" x14ac:dyDescent="0.3">
      <c r="B150" s="29">
        <v>28764</v>
      </c>
      <c r="C150">
        <v>102.540001</v>
      </c>
      <c r="D150">
        <v>106.230003</v>
      </c>
      <c r="E150">
        <v>91.650002000000001</v>
      </c>
      <c r="F150">
        <v>93.150002000000001</v>
      </c>
      <c r="G150">
        <v>93.150002000000001</v>
      </c>
      <c r="H150">
        <v>682340000</v>
      </c>
      <c r="I150"/>
      <c r="J150" s="30">
        <f t="shared" si="2"/>
        <v>-9.1574009249327015E-2</v>
      </c>
    </row>
    <row r="151" spans="2:10" x14ac:dyDescent="0.3">
      <c r="B151" s="29">
        <v>28795</v>
      </c>
      <c r="C151">
        <v>94.129997000000003</v>
      </c>
      <c r="D151">
        <v>97.410004000000001</v>
      </c>
      <c r="E151">
        <v>91.769997000000004</v>
      </c>
      <c r="F151">
        <v>94.699996999999996</v>
      </c>
      <c r="G151">
        <v>94.699996999999996</v>
      </c>
      <c r="H151">
        <v>514610000</v>
      </c>
      <c r="I151"/>
      <c r="J151" s="30">
        <f t="shared" si="2"/>
        <v>1.6639774199897372E-2</v>
      </c>
    </row>
    <row r="152" spans="2:10" x14ac:dyDescent="0.3">
      <c r="B152" s="29">
        <v>28825</v>
      </c>
      <c r="C152">
        <v>95.010002</v>
      </c>
      <c r="D152">
        <v>98.580001999999993</v>
      </c>
      <c r="E152">
        <v>92.639999000000003</v>
      </c>
      <c r="F152">
        <v>96.110000999999997</v>
      </c>
      <c r="G152">
        <v>96.110000999999997</v>
      </c>
      <c r="H152">
        <v>492440000</v>
      </c>
      <c r="I152"/>
      <c r="J152" s="30">
        <f t="shared" si="2"/>
        <v>1.4889166258368558E-2</v>
      </c>
    </row>
    <row r="153" spans="2:10" x14ac:dyDescent="0.3">
      <c r="B153" s="29">
        <v>28856</v>
      </c>
      <c r="C153">
        <v>96.110000999999997</v>
      </c>
      <c r="D153">
        <v>102.589996</v>
      </c>
      <c r="E153">
        <v>95.220000999999996</v>
      </c>
      <c r="F153">
        <v>99.93</v>
      </c>
      <c r="G153">
        <v>99.93</v>
      </c>
      <c r="H153">
        <v>615730000</v>
      </c>
      <c r="I153"/>
      <c r="J153" s="30">
        <f t="shared" si="2"/>
        <v>3.974611341435752E-2</v>
      </c>
    </row>
    <row r="154" spans="2:10" x14ac:dyDescent="0.3">
      <c r="B154" s="29">
        <v>28887</v>
      </c>
      <c r="C154">
        <v>99.93</v>
      </c>
      <c r="D154">
        <v>100.519997</v>
      </c>
      <c r="E154">
        <v>95.379997000000003</v>
      </c>
      <c r="F154">
        <v>96.279999000000004</v>
      </c>
      <c r="G154">
        <v>96.279999000000004</v>
      </c>
      <c r="H154">
        <v>475710000</v>
      </c>
      <c r="I154"/>
      <c r="J154" s="30">
        <f t="shared" si="2"/>
        <v>-3.6525577904533257E-2</v>
      </c>
    </row>
    <row r="155" spans="2:10" x14ac:dyDescent="0.3">
      <c r="B155" s="29">
        <v>28915</v>
      </c>
      <c r="C155">
        <v>96.279999000000004</v>
      </c>
      <c r="D155">
        <v>103.30999799999999</v>
      </c>
      <c r="E155">
        <v>95.980002999999996</v>
      </c>
      <c r="F155">
        <v>101.589996</v>
      </c>
      <c r="G155">
        <v>101.589996</v>
      </c>
      <c r="H155">
        <v>649800000</v>
      </c>
      <c r="I155"/>
      <c r="J155" s="30">
        <f t="shared" si="2"/>
        <v>5.5151610460652423E-2</v>
      </c>
    </row>
    <row r="156" spans="2:10" x14ac:dyDescent="0.3">
      <c r="B156" s="29">
        <v>28946</v>
      </c>
      <c r="C156">
        <v>101.55999799999999</v>
      </c>
      <c r="D156">
        <v>103.949997</v>
      </c>
      <c r="E156">
        <v>100.139999</v>
      </c>
      <c r="F156">
        <v>101.760002</v>
      </c>
      <c r="G156">
        <v>101.760002</v>
      </c>
      <c r="H156">
        <v>620650000</v>
      </c>
      <c r="I156"/>
      <c r="J156" s="30">
        <f t="shared" si="2"/>
        <v>1.673452177318735E-3</v>
      </c>
    </row>
    <row r="157" spans="2:10" x14ac:dyDescent="0.3">
      <c r="B157" s="29">
        <v>28976</v>
      </c>
      <c r="C157">
        <v>101.760002</v>
      </c>
      <c r="D157">
        <v>102.57</v>
      </c>
      <c r="E157">
        <v>97.489998</v>
      </c>
      <c r="F157">
        <v>99.080001999999993</v>
      </c>
      <c r="G157">
        <v>99.080001999999993</v>
      </c>
      <c r="H157">
        <v>623740000</v>
      </c>
      <c r="I157"/>
      <c r="J157" s="30">
        <f t="shared" si="2"/>
        <v>-2.6336477469802055E-2</v>
      </c>
    </row>
    <row r="158" spans="2:10" x14ac:dyDescent="0.3">
      <c r="B158" s="29">
        <v>29007</v>
      </c>
      <c r="C158">
        <v>99.080001999999993</v>
      </c>
      <c r="D158">
        <v>103.66999800000001</v>
      </c>
      <c r="E158">
        <v>98.57</v>
      </c>
      <c r="F158">
        <v>102.910004</v>
      </c>
      <c r="G158">
        <v>102.910004</v>
      </c>
      <c r="H158">
        <v>735710000</v>
      </c>
      <c r="I158"/>
      <c r="J158" s="30">
        <f t="shared" si="2"/>
        <v>3.8655651218093556E-2</v>
      </c>
    </row>
    <row r="159" spans="2:10" x14ac:dyDescent="0.3">
      <c r="B159" s="29">
        <v>29037</v>
      </c>
      <c r="C159">
        <v>102.910004</v>
      </c>
      <c r="D159">
        <v>105.16999800000001</v>
      </c>
      <c r="E159">
        <v>100.349998</v>
      </c>
      <c r="F159">
        <v>103.80999799999999</v>
      </c>
      <c r="G159">
        <v>103.80999799999999</v>
      </c>
      <c r="H159">
        <v>680740000</v>
      </c>
      <c r="I159"/>
      <c r="J159" s="30">
        <f t="shared" si="2"/>
        <v>8.7454471384531551E-3</v>
      </c>
    </row>
    <row r="160" spans="2:10" x14ac:dyDescent="0.3">
      <c r="B160" s="29">
        <v>29068</v>
      </c>
      <c r="C160">
        <v>103.80999799999999</v>
      </c>
      <c r="D160">
        <v>109.839996</v>
      </c>
      <c r="E160">
        <v>103.139999</v>
      </c>
      <c r="F160">
        <v>109.32</v>
      </c>
      <c r="G160">
        <v>109.32</v>
      </c>
      <c r="H160">
        <v>825050000</v>
      </c>
      <c r="I160"/>
      <c r="J160" s="30">
        <f t="shared" si="2"/>
        <v>5.3077758464074032E-2</v>
      </c>
    </row>
    <row r="161" spans="2:10" x14ac:dyDescent="0.3">
      <c r="B161" s="29">
        <v>29099</v>
      </c>
      <c r="C161">
        <v>109.32</v>
      </c>
      <c r="D161">
        <v>111.58000199999999</v>
      </c>
      <c r="E161">
        <v>105.379997</v>
      </c>
      <c r="F161">
        <v>109.32</v>
      </c>
      <c r="G161">
        <v>109.32</v>
      </c>
      <c r="H161">
        <v>713940000</v>
      </c>
      <c r="I161"/>
      <c r="J161" s="30">
        <f t="shared" si="2"/>
        <v>0</v>
      </c>
    </row>
    <row r="162" spans="2:10" x14ac:dyDescent="0.3">
      <c r="B162" s="29">
        <v>29129</v>
      </c>
      <c r="C162">
        <v>109.19000200000001</v>
      </c>
      <c r="D162">
        <v>112.160004</v>
      </c>
      <c r="E162">
        <v>99.059997999999993</v>
      </c>
      <c r="F162">
        <v>101.82</v>
      </c>
      <c r="G162">
        <v>101.82</v>
      </c>
      <c r="H162">
        <v>857930000</v>
      </c>
      <c r="I162"/>
      <c r="J162" s="30">
        <f t="shared" si="2"/>
        <v>-6.8605927552140455E-2</v>
      </c>
    </row>
    <row r="163" spans="2:10" x14ac:dyDescent="0.3">
      <c r="B163" s="29">
        <v>29160</v>
      </c>
      <c r="C163">
        <v>101.82</v>
      </c>
      <c r="D163">
        <v>107.889999</v>
      </c>
      <c r="E163">
        <v>99.419998000000007</v>
      </c>
      <c r="F163">
        <v>106.160004</v>
      </c>
      <c r="G163">
        <v>106.160004</v>
      </c>
      <c r="H163">
        <v>653650000</v>
      </c>
      <c r="I163"/>
      <c r="J163" s="30">
        <f t="shared" si="2"/>
        <v>4.2624278137890492E-2</v>
      </c>
    </row>
    <row r="164" spans="2:10" x14ac:dyDescent="0.3">
      <c r="B164" s="29">
        <v>29190</v>
      </c>
      <c r="C164">
        <v>106.160004</v>
      </c>
      <c r="D164">
        <v>110.33000199999999</v>
      </c>
      <c r="E164">
        <v>105.07</v>
      </c>
      <c r="F164">
        <v>107.94000200000001</v>
      </c>
      <c r="G164">
        <v>107.94000200000001</v>
      </c>
      <c r="H164">
        <v>710210000</v>
      </c>
      <c r="I164"/>
      <c r="J164" s="30">
        <f t="shared" si="2"/>
        <v>1.676712446242945E-2</v>
      </c>
    </row>
    <row r="165" spans="2:10" x14ac:dyDescent="0.3">
      <c r="B165" s="29">
        <v>29221</v>
      </c>
      <c r="C165">
        <v>107.94000200000001</v>
      </c>
      <c r="D165">
        <v>117.16999800000001</v>
      </c>
      <c r="E165">
        <v>103.260002</v>
      </c>
      <c r="F165">
        <v>114.160004</v>
      </c>
      <c r="G165">
        <v>114.160004</v>
      </c>
      <c r="H165">
        <v>1158240000</v>
      </c>
      <c r="I165"/>
      <c r="J165" s="30">
        <f t="shared" si="2"/>
        <v>5.7624623723834922E-2</v>
      </c>
    </row>
    <row r="166" spans="2:10" x14ac:dyDescent="0.3">
      <c r="B166" s="29">
        <v>29252</v>
      </c>
      <c r="C166">
        <v>114.160004</v>
      </c>
      <c r="D166">
        <v>120.220001</v>
      </c>
      <c r="E166">
        <v>111.33000199999999</v>
      </c>
      <c r="F166">
        <v>113.660004</v>
      </c>
      <c r="G166">
        <v>113.660004</v>
      </c>
      <c r="H166">
        <v>956530000</v>
      </c>
      <c r="I166"/>
      <c r="J166" s="30">
        <f t="shared" si="2"/>
        <v>-4.3798176461170568E-3</v>
      </c>
    </row>
    <row r="167" spans="2:10" x14ac:dyDescent="0.3">
      <c r="B167" s="29">
        <v>29281</v>
      </c>
      <c r="C167">
        <v>113.660004</v>
      </c>
      <c r="D167">
        <v>114.339996</v>
      </c>
      <c r="E167">
        <v>94.230002999999996</v>
      </c>
      <c r="F167">
        <v>102.089996</v>
      </c>
      <c r="G167">
        <v>102.089996</v>
      </c>
      <c r="H167">
        <v>876450000</v>
      </c>
      <c r="I167"/>
      <c r="J167" s="30">
        <f t="shared" si="2"/>
        <v>-0.10179489347897619</v>
      </c>
    </row>
    <row r="168" spans="2:10" x14ac:dyDescent="0.3">
      <c r="B168" s="29">
        <v>29312</v>
      </c>
      <c r="C168">
        <v>102.089996</v>
      </c>
      <c r="D168">
        <v>106.790001</v>
      </c>
      <c r="E168">
        <v>98.949996999999996</v>
      </c>
      <c r="F168">
        <v>106.290001</v>
      </c>
      <c r="G168">
        <v>106.290001</v>
      </c>
      <c r="H168">
        <v>674140000</v>
      </c>
      <c r="I168"/>
      <c r="J168" s="30">
        <f t="shared" si="2"/>
        <v>4.1140221026161994E-2</v>
      </c>
    </row>
    <row r="169" spans="2:10" x14ac:dyDescent="0.3">
      <c r="B169" s="29">
        <v>29342</v>
      </c>
      <c r="C169">
        <v>106.290001</v>
      </c>
      <c r="D169">
        <v>112.720001</v>
      </c>
      <c r="E169">
        <v>103.5</v>
      </c>
      <c r="F169">
        <v>111.239998</v>
      </c>
      <c r="G169">
        <v>111.239998</v>
      </c>
      <c r="H169">
        <v>764920000</v>
      </c>
      <c r="I169"/>
      <c r="J169" s="30">
        <f t="shared" si="2"/>
        <v>4.6570674131426459E-2</v>
      </c>
    </row>
    <row r="170" spans="2:10" x14ac:dyDescent="0.3">
      <c r="B170" s="29">
        <v>29373</v>
      </c>
      <c r="C170">
        <v>111.239998</v>
      </c>
      <c r="D170">
        <v>117.980003</v>
      </c>
      <c r="E170">
        <v>109.769997</v>
      </c>
      <c r="F170">
        <v>114.239998</v>
      </c>
      <c r="G170">
        <v>114.239998</v>
      </c>
      <c r="H170">
        <v>829660000</v>
      </c>
      <c r="I170"/>
      <c r="J170" s="30">
        <f t="shared" si="2"/>
        <v>2.6968716773979162E-2</v>
      </c>
    </row>
    <row r="171" spans="2:10" x14ac:dyDescent="0.3">
      <c r="B171" s="29">
        <v>29403</v>
      </c>
      <c r="C171">
        <v>114.239998</v>
      </c>
      <c r="D171">
        <v>123.93</v>
      </c>
      <c r="E171">
        <v>113.540001</v>
      </c>
      <c r="F171">
        <v>121.66999800000001</v>
      </c>
      <c r="G171">
        <v>121.66999800000001</v>
      </c>
      <c r="H171">
        <v>1021770000</v>
      </c>
      <c r="I171"/>
      <c r="J171" s="30">
        <f t="shared" si="2"/>
        <v>6.503851654479198E-2</v>
      </c>
    </row>
    <row r="172" spans="2:10" x14ac:dyDescent="0.3">
      <c r="B172" s="29">
        <v>29434</v>
      </c>
      <c r="C172">
        <v>121.66999800000001</v>
      </c>
      <c r="D172">
        <v>127.779999</v>
      </c>
      <c r="E172">
        <v>119.41999800000001</v>
      </c>
      <c r="F172">
        <v>122.379997</v>
      </c>
      <c r="G172">
        <v>122.379997</v>
      </c>
      <c r="H172">
        <v>965660000</v>
      </c>
      <c r="I172"/>
      <c r="J172" s="30">
        <f t="shared" si="2"/>
        <v>5.8354484398035478E-3</v>
      </c>
    </row>
    <row r="173" spans="2:10" x14ac:dyDescent="0.3">
      <c r="B173" s="29">
        <v>29465</v>
      </c>
      <c r="C173">
        <v>122.379997</v>
      </c>
      <c r="D173">
        <v>132.16999799999999</v>
      </c>
      <c r="E173">
        <v>121.790001</v>
      </c>
      <c r="F173">
        <v>125.459999</v>
      </c>
      <c r="G173">
        <v>125.459999</v>
      </c>
      <c r="H173">
        <v>1057710000</v>
      </c>
      <c r="I173"/>
      <c r="J173" s="30">
        <f t="shared" si="2"/>
        <v>2.5167527990705763E-2</v>
      </c>
    </row>
    <row r="174" spans="2:10" x14ac:dyDescent="0.3">
      <c r="B174" s="29">
        <v>29495</v>
      </c>
      <c r="C174">
        <v>125.459999</v>
      </c>
      <c r="D174">
        <v>135.88000500000001</v>
      </c>
      <c r="E174">
        <v>124.660004</v>
      </c>
      <c r="F174">
        <v>127.470001</v>
      </c>
      <c r="G174">
        <v>127.470001</v>
      </c>
      <c r="H174">
        <v>1031790000</v>
      </c>
      <c r="I174"/>
      <c r="J174" s="30">
        <f t="shared" si="2"/>
        <v>1.6021058632401219E-2</v>
      </c>
    </row>
    <row r="175" spans="2:10" x14ac:dyDescent="0.3">
      <c r="B175" s="29">
        <v>29526</v>
      </c>
      <c r="C175">
        <v>127.470001</v>
      </c>
      <c r="D175">
        <v>141.96000699999999</v>
      </c>
      <c r="E175">
        <v>127.230003</v>
      </c>
      <c r="F175">
        <v>140.520004</v>
      </c>
      <c r="G175">
        <v>140.520004</v>
      </c>
      <c r="H175">
        <v>988110000</v>
      </c>
      <c r="I175"/>
      <c r="J175" s="30">
        <f t="shared" si="2"/>
        <v>0.1023770526211889</v>
      </c>
    </row>
    <row r="176" spans="2:10" x14ac:dyDescent="0.3">
      <c r="B176" s="29">
        <v>29556</v>
      </c>
      <c r="C176">
        <v>140.520004</v>
      </c>
      <c r="D176">
        <v>140.66000399999999</v>
      </c>
      <c r="E176">
        <v>125.32</v>
      </c>
      <c r="F176">
        <v>135.759995</v>
      </c>
      <c r="G176">
        <v>135.759995</v>
      </c>
      <c r="H176">
        <v>1025650000</v>
      </c>
      <c r="I176"/>
      <c r="J176" s="30">
        <f t="shared" si="2"/>
        <v>-3.3874244694726885E-2</v>
      </c>
    </row>
    <row r="177" spans="2:10" x14ac:dyDescent="0.3">
      <c r="B177" s="29">
        <v>29587</v>
      </c>
      <c r="C177">
        <v>135.759995</v>
      </c>
      <c r="D177">
        <v>140.320007</v>
      </c>
      <c r="E177">
        <v>128.570007</v>
      </c>
      <c r="F177">
        <v>129.550003</v>
      </c>
      <c r="G177">
        <v>129.550003</v>
      </c>
      <c r="H177">
        <v>955520000</v>
      </c>
      <c r="I177"/>
      <c r="J177" s="30">
        <f t="shared" si="2"/>
        <v>-4.5742429498468962E-2</v>
      </c>
    </row>
    <row r="178" spans="2:10" x14ac:dyDescent="0.3">
      <c r="B178" s="29">
        <v>29618</v>
      </c>
      <c r="C178">
        <v>129.479996</v>
      </c>
      <c r="D178">
        <v>132.020004</v>
      </c>
      <c r="E178">
        <v>124.660004</v>
      </c>
      <c r="F178">
        <v>131.270004</v>
      </c>
      <c r="G178">
        <v>131.270004</v>
      </c>
      <c r="H178">
        <v>816310000</v>
      </c>
      <c r="I178"/>
      <c r="J178" s="30">
        <f t="shared" si="2"/>
        <v>1.3276734543958169E-2</v>
      </c>
    </row>
    <row r="179" spans="2:10" x14ac:dyDescent="0.3">
      <c r="B179" s="29">
        <v>29646</v>
      </c>
      <c r="C179">
        <v>131.270004</v>
      </c>
      <c r="D179">
        <v>138.38000500000001</v>
      </c>
      <c r="E179">
        <v>128.55999800000001</v>
      </c>
      <c r="F179">
        <v>136</v>
      </c>
      <c r="G179">
        <v>136</v>
      </c>
      <c r="H179">
        <v>1174530000</v>
      </c>
      <c r="I179"/>
      <c r="J179" s="30">
        <f t="shared" si="2"/>
        <v>3.6032572985980948E-2</v>
      </c>
    </row>
    <row r="180" spans="2:10" x14ac:dyDescent="0.3">
      <c r="B180" s="29">
        <v>29677</v>
      </c>
      <c r="C180">
        <v>136</v>
      </c>
      <c r="D180">
        <v>137.720001</v>
      </c>
      <c r="E180">
        <v>131.58000200000001</v>
      </c>
      <c r="F180">
        <v>132.80999800000001</v>
      </c>
      <c r="G180">
        <v>132.80999800000001</v>
      </c>
      <c r="H180">
        <v>1123470000</v>
      </c>
      <c r="I180"/>
      <c r="J180" s="30">
        <f t="shared" si="2"/>
        <v>-2.3455897058823449E-2</v>
      </c>
    </row>
    <row r="181" spans="2:10" x14ac:dyDescent="0.3">
      <c r="B181" s="29">
        <v>29707</v>
      </c>
      <c r="C181">
        <v>132.80999800000001</v>
      </c>
      <c r="D181">
        <v>134.91999799999999</v>
      </c>
      <c r="E181">
        <v>128.779999</v>
      </c>
      <c r="F181">
        <v>132.58999600000001</v>
      </c>
      <c r="G181">
        <v>132.58999600000001</v>
      </c>
      <c r="H181">
        <v>905430000</v>
      </c>
      <c r="I181"/>
      <c r="J181" s="30">
        <f t="shared" si="2"/>
        <v>-1.6565168534976582E-3</v>
      </c>
    </row>
    <row r="182" spans="2:10" x14ac:dyDescent="0.3">
      <c r="B182" s="29">
        <v>29738</v>
      </c>
      <c r="C182">
        <v>132.58999600000001</v>
      </c>
      <c r="D182">
        <v>135.66999799999999</v>
      </c>
      <c r="E182">
        <v>128.770004</v>
      </c>
      <c r="F182">
        <v>131.21000699999999</v>
      </c>
      <c r="G182">
        <v>131.21000699999999</v>
      </c>
      <c r="H182">
        <v>1100970000</v>
      </c>
      <c r="I182"/>
      <c r="J182" s="30">
        <f t="shared" si="2"/>
        <v>-1.0407942089386779E-2</v>
      </c>
    </row>
    <row r="183" spans="2:10" x14ac:dyDescent="0.3">
      <c r="B183" s="29">
        <v>29768</v>
      </c>
      <c r="C183">
        <v>131.21000699999999</v>
      </c>
      <c r="D183">
        <v>131.779999</v>
      </c>
      <c r="E183">
        <v>125.959999</v>
      </c>
      <c r="F183">
        <v>130.91999799999999</v>
      </c>
      <c r="G183">
        <v>130.91999799999999</v>
      </c>
      <c r="H183">
        <v>953970000</v>
      </c>
      <c r="I183"/>
      <c r="J183" s="30">
        <f t="shared" si="2"/>
        <v>-2.2102658679074016E-3</v>
      </c>
    </row>
    <row r="184" spans="2:10" x14ac:dyDescent="0.3">
      <c r="B184" s="29">
        <v>29799</v>
      </c>
      <c r="C184">
        <v>130.91999799999999</v>
      </c>
      <c r="D184">
        <v>135.179993</v>
      </c>
      <c r="E184">
        <v>122.290001</v>
      </c>
      <c r="F184">
        <v>122.790001</v>
      </c>
      <c r="G184">
        <v>122.790001</v>
      </c>
      <c r="H184">
        <v>920550000</v>
      </c>
      <c r="I184"/>
      <c r="J184" s="30">
        <f t="shared" si="2"/>
        <v>-6.2098969784585512E-2</v>
      </c>
    </row>
    <row r="185" spans="2:10" x14ac:dyDescent="0.3">
      <c r="B185" s="29">
        <v>29830</v>
      </c>
      <c r="C185">
        <v>122.790001</v>
      </c>
      <c r="D185">
        <v>124.58000199999999</v>
      </c>
      <c r="E185">
        <v>110.19000200000001</v>
      </c>
      <c r="F185">
        <v>116.18</v>
      </c>
      <c r="G185">
        <v>116.18</v>
      </c>
      <c r="H185">
        <v>959140000</v>
      </c>
      <c r="I185"/>
      <c r="J185" s="30">
        <f t="shared" si="2"/>
        <v>-5.3831752961708945E-2</v>
      </c>
    </row>
    <row r="186" spans="2:10" x14ac:dyDescent="0.3">
      <c r="B186" s="29">
        <v>29860</v>
      </c>
      <c r="C186">
        <v>116.18</v>
      </c>
      <c r="D186">
        <v>123.279999</v>
      </c>
      <c r="E186">
        <v>115</v>
      </c>
      <c r="F186">
        <v>121.889999</v>
      </c>
      <c r="G186">
        <v>121.889999</v>
      </c>
      <c r="H186">
        <v>997560000</v>
      </c>
      <c r="I186"/>
      <c r="J186" s="30">
        <f t="shared" si="2"/>
        <v>4.9147865381304889E-2</v>
      </c>
    </row>
    <row r="187" spans="2:10" x14ac:dyDescent="0.3">
      <c r="B187" s="29">
        <v>29891</v>
      </c>
      <c r="C187">
        <v>122.349998</v>
      </c>
      <c r="D187">
        <v>126.970001</v>
      </c>
      <c r="E187">
        <v>119.129997</v>
      </c>
      <c r="F187">
        <v>126.349998</v>
      </c>
      <c r="G187">
        <v>126.349998</v>
      </c>
      <c r="H187">
        <v>987920000</v>
      </c>
      <c r="I187"/>
      <c r="J187" s="30">
        <f t="shared" si="2"/>
        <v>3.6590360460992288E-2</v>
      </c>
    </row>
    <row r="188" spans="2:10" x14ac:dyDescent="0.3">
      <c r="B188" s="29">
        <v>29921</v>
      </c>
      <c r="C188">
        <v>126.349998</v>
      </c>
      <c r="D188">
        <v>127.32</v>
      </c>
      <c r="E188">
        <v>121.040001</v>
      </c>
      <c r="F188">
        <v>122.550003</v>
      </c>
      <c r="G188">
        <v>122.550003</v>
      </c>
      <c r="H188">
        <v>959470000</v>
      </c>
      <c r="I188"/>
      <c r="J188" s="30">
        <f t="shared" si="2"/>
        <v>-3.0075148873369928E-2</v>
      </c>
    </row>
    <row r="189" spans="2:10" x14ac:dyDescent="0.3">
      <c r="B189" s="29">
        <v>29952</v>
      </c>
      <c r="C189">
        <v>122.550003</v>
      </c>
      <c r="D189">
        <v>123.720001</v>
      </c>
      <c r="E189">
        <v>113.629997</v>
      </c>
      <c r="F189">
        <v>120.400002</v>
      </c>
      <c r="G189">
        <v>120.400002</v>
      </c>
      <c r="H189">
        <v>968340000</v>
      </c>
      <c r="I189"/>
      <c r="J189" s="30">
        <f t="shared" si="2"/>
        <v>-1.754386737958713E-2</v>
      </c>
    </row>
    <row r="190" spans="2:10" x14ac:dyDescent="0.3">
      <c r="B190" s="29">
        <v>29983</v>
      </c>
      <c r="C190">
        <v>119.80999799999999</v>
      </c>
      <c r="D190">
        <v>119.80999799999999</v>
      </c>
      <c r="E190">
        <v>110.029999</v>
      </c>
      <c r="F190">
        <v>113.110001</v>
      </c>
      <c r="G190">
        <v>113.110001</v>
      </c>
      <c r="H190">
        <v>972190000</v>
      </c>
      <c r="I190"/>
      <c r="J190" s="30">
        <f t="shared" si="2"/>
        <v>-6.0548180057339196E-2</v>
      </c>
    </row>
    <row r="191" spans="2:10" x14ac:dyDescent="0.3">
      <c r="B191" s="29">
        <v>30011</v>
      </c>
      <c r="C191">
        <v>113.110001</v>
      </c>
      <c r="D191">
        <v>114.800003</v>
      </c>
      <c r="E191">
        <v>104.459999</v>
      </c>
      <c r="F191">
        <v>111.959999</v>
      </c>
      <c r="G191">
        <v>111.959999</v>
      </c>
      <c r="H191">
        <v>1268690000</v>
      </c>
      <c r="I191"/>
      <c r="J191" s="30">
        <f t="shared" si="2"/>
        <v>-1.0167111571327769E-2</v>
      </c>
    </row>
    <row r="192" spans="2:10" x14ac:dyDescent="0.3">
      <c r="B192" s="29">
        <v>30042</v>
      </c>
      <c r="C192">
        <v>111.959999</v>
      </c>
      <c r="D192">
        <v>119.33000199999999</v>
      </c>
      <c r="E192">
        <v>111.480003</v>
      </c>
      <c r="F192">
        <v>116.44000200000001</v>
      </c>
      <c r="G192">
        <v>116.44000200000001</v>
      </c>
      <c r="H192">
        <v>1136490000</v>
      </c>
      <c r="I192"/>
      <c r="J192" s="30">
        <f t="shared" si="2"/>
        <v>4.0014317970831881E-2</v>
      </c>
    </row>
    <row r="193" spans="2:10" x14ac:dyDescent="0.3">
      <c r="B193" s="29">
        <v>30072</v>
      </c>
      <c r="C193">
        <v>115.959999</v>
      </c>
      <c r="D193">
        <v>119.91999800000001</v>
      </c>
      <c r="E193">
        <v>111.660004</v>
      </c>
      <c r="F193">
        <v>111.879997</v>
      </c>
      <c r="G193">
        <v>111.879997</v>
      </c>
      <c r="H193">
        <v>1026460000</v>
      </c>
      <c r="I193"/>
      <c r="J193" s="30">
        <f t="shared" si="2"/>
        <v>-3.9161842336622454E-2</v>
      </c>
    </row>
    <row r="194" spans="2:10" x14ac:dyDescent="0.3">
      <c r="B194" s="29">
        <v>30103</v>
      </c>
      <c r="C194">
        <v>111.970001</v>
      </c>
      <c r="D194">
        <v>112.480003</v>
      </c>
      <c r="E194">
        <v>107.010002</v>
      </c>
      <c r="F194">
        <v>109.610001</v>
      </c>
      <c r="G194">
        <v>109.610001</v>
      </c>
      <c r="H194">
        <v>1110530000</v>
      </c>
      <c r="I194"/>
      <c r="J194" s="30">
        <f t="shared" si="2"/>
        <v>-2.0289560787170924E-2</v>
      </c>
    </row>
    <row r="195" spans="2:10" x14ac:dyDescent="0.3">
      <c r="B195" s="29">
        <v>30133</v>
      </c>
      <c r="C195">
        <v>109.519997</v>
      </c>
      <c r="D195">
        <v>112.389999</v>
      </c>
      <c r="E195">
        <v>105.57</v>
      </c>
      <c r="F195">
        <v>107.089996</v>
      </c>
      <c r="G195">
        <v>107.089996</v>
      </c>
      <c r="H195">
        <v>1145190000</v>
      </c>
      <c r="I195"/>
      <c r="J195" s="30">
        <f t="shared" si="2"/>
        <v>-2.2990648453693585E-2</v>
      </c>
    </row>
    <row r="196" spans="2:10" x14ac:dyDescent="0.3">
      <c r="B196" s="29">
        <v>30164</v>
      </c>
      <c r="C196">
        <v>107.709999</v>
      </c>
      <c r="D196">
        <v>120.260002</v>
      </c>
      <c r="E196">
        <v>102.199997</v>
      </c>
      <c r="F196">
        <v>119.510002</v>
      </c>
      <c r="G196">
        <v>119.510002</v>
      </c>
      <c r="H196">
        <v>1672770000</v>
      </c>
      <c r="I196"/>
      <c r="J196" s="30">
        <f t="shared" si="2"/>
        <v>0.11597727578587258</v>
      </c>
    </row>
    <row r="197" spans="2:10" x14ac:dyDescent="0.3">
      <c r="B197" s="29">
        <v>30195</v>
      </c>
      <c r="C197">
        <v>119.519997</v>
      </c>
      <c r="D197">
        <v>126.43</v>
      </c>
      <c r="E197">
        <v>117.839996</v>
      </c>
      <c r="F197">
        <v>120.41999800000001</v>
      </c>
      <c r="G197">
        <v>120.41999800000001</v>
      </c>
      <c r="H197">
        <v>1548040000</v>
      </c>
      <c r="I197"/>
      <c r="J197" s="30">
        <f t="shared" si="2"/>
        <v>7.6143919736526566E-3</v>
      </c>
    </row>
    <row r="198" spans="2:10" x14ac:dyDescent="0.3">
      <c r="B198" s="29">
        <v>30225</v>
      </c>
      <c r="C198">
        <v>120.400002</v>
      </c>
      <c r="D198">
        <v>140.39999399999999</v>
      </c>
      <c r="E198">
        <v>120.150002</v>
      </c>
      <c r="F198">
        <v>133.720001</v>
      </c>
      <c r="G198">
        <v>133.720001</v>
      </c>
      <c r="H198">
        <v>2068560000</v>
      </c>
      <c r="I198"/>
      <c r="J198" s="30">
        <f t="shared" si="2"/>
        <v>0.11044679638675947</v>
      </c>
    </row>
    <row r="199" spans="2:10" x14ac:dyDescent="0.3">
      <c r="B199" s="29">
        <v>30256</v>
      </c>
      <c r="C199">
        <v>133.720001</v>
      </c>
      <c r="D199">
        <v>144.36000100000001</v>
      </c>
      <c r="E199">
        <v>132.88999899999999</v>
      </c>
      <c r="F199">
        <v>138.529999</v>
      </c>
      <c r="G199">
        <v>138.529999</v>
      </c>
      <c r="H199">
        <v>1857040000</v>
      </c>
      <c r="I199"/>
      <c r="J199" s="30">
        <f t="shared" si="2"/>
        <v>3.5970669787835252E-2</v>
      </c>
    </row>
    <row r="200" spans="2:10" x14ac:dyDescent="0.3">
      <c r="B200" s="29">
        <v>30286</v>
      </c>
      <c r="C200">
        <v>138.55999800000001</v>
      </c>
      <c r="D200">
        <v>143.679993</v>
      </c>
      <c r="E200">
        <v>134.78999300000001</v>
      </c>
      <c r="F200">
        <v>140.63999899999999</v>
      </c>
      <c r="G200">
        <v>140.63999899999999</v>
      </c>
      <c r="H200">
        <v>1682080000</v>
      </c>
      <c r="I200"/>
      <c r="J200" s="30">
        <f t="shared" si="2"/>
        <v>1.5231357938578993E-2</v>
      </c>
    </row>
    <row r="201" spans="2:10" x14ac:dyDescent="0.3">
      <c r="B201" s="29">
        <v>30317</v>
      </c>
      <c r="C201">
        <v>140.64999399999999</v>
      </c>
      <c r="D201">
        <v>148.36000100000001</v>
      </c>
      <c r="E201">
        <v>138.08000200000001</v>
      </c>
      <c r="F201">
        <v>145.300003</v>
      </c>
      <c r="G201">
        <v>145.300003</v>
      </c>
      <c r="H201">
        <v>1857600000</v>
      </c>
      <c r="I201"/>
      <c r="J201" s="30">
        <f t="shared" si="2"/>
        <v>3.3134272135482812E-2</v>
      </c>
    </row>
    <row r="202" spans="2:10" x14ac:dyDescent="0.3">
      <c r="B202" s="29">
        <v>30348</v>
      </c>
      <c r="C202">
        <v>145.28999300000001</v>
      </c>
      <c r="D202">
        <v>150.88000500000001</v>
      </c>
      <c r="E202">
        <v>141.89999399999999</v>
      </c>
      <c r="F202">
        <v>148.05999800000001</v>
      </c>
      <c r="G202">
        <v>148.05999800000001</v>
      </c>
      <c r="H202">
        <v>1615450000</v>
      </c>
      <c r="I202"/>
      <c r="J202" s="30">
        <f t="shared" si="2"/>
        <v>1.8995147577526295E-2</v>
      </c>
    </row>
    <row r="203" spans="2:10" x14ac:dyDescent="0.3">
      <c r="B203" s="29">
        <v>30376</v>
      </c>
      <c r="C203">
        <v>148.070007</v>
      </c>
      <c r="D203">
        <v>155.020004</v>
      </c>
      <c r="E203">
        <v>148.070007</v>
      </c>
      <c r="F203">
        <v>152.96000699999999</v>
      </c>
      <c r="G203">
        <v>152.96000699999999</v>
      </c>
      <c r="H203">
        <v>1901920000</v>
      </c>
      <c r="I203"/>
      <c r="J203" s="30">
        <f t="shared" ref="J203:J266" si="3">F203/F202-1</f>
        <v>3.3094752574560848E-2</v>
      </c>
    </row>
    <row r="204" spans="2:10" x14ac:dyDescent="0.3">
      <c r="B204" s="29">
        <v>30407</v>
      </c>
      <c r="C204">
        <v>152.91999799999999</v>
      </c>
      <c r="D204">
        <v>164.429993</v>
      </c>
      <c r="E204">
        <v>150.16999799999999</v>
      </c>
      <c r="F204">
        <v>164.429993</v>
      </c>
      <c r="G204">
        <v>164.429993</v>
      </c>
      <c r="H204">
        <v>1786870000</v>
      </c>
      <c r="I204"/>
      <c r="J204" s="30">
        <f t="shared" si="3"/>
        <v>7.4986829727328619E-2</v>
      </c>
    </row>
    <row r="205" spans="2:10" x14ac:dyDescent="0.3">
      <c r="B205" s="29">
        <v>30437</v>
      </c>
      <c r="C205">
        <v>164.41000399999999</v>
      </c>
      <c r="D205">
        <v>166.990005</v>
      </c>
      <c r="E205">
        <v>160.28999300000001</v>
      </c>
      <c r="F205">
        <v>162.38999899999999</v>
      </c>
      <c r="G205">
        <v>162.38999899999999</v>
      </c>
      <c r="H205">
        <v>1953130000</v>
      </c>
      <c r="I205"/>
      <c r="J205" s="30">
        <f t="shared" si="3"/>
        <v>-1.2406459203583409E-2</v>
      </c>
    </row>
    <row r="206" spans="2:10" x14ac:dyDescent="0.3">
      <c r="B206" s="29">
        <v>30468</v>
      </c>
      <c r="C206">
        <v>162.38000500000001</v>
      </c>
      <c r="D206">
        <v>171.60000600000001</v>
      </c>
      <c r="E206">
        <v>160.800003</v>
      </c>
      <c r="F206">
        <v>167.63999899999999</v>
      </c>
      <c r="G206">
        <v>167.63999899999999</v>
      </c>
      <c r="H206">
        <v>1973860000</v>
      </c>
      <c r="I206"/>
      <c r="J206" s="30">
        <f t="shared" si="3"/>
        <v>3.232957714347906E-2</v>
      </c>
    </row>
    <row r="207" spans="2:10" x14ac:dyDescent="0.3">
      <c r="B207" s="29">
        <v>30498</v>
      </c>
      <c r="C207">
        <v>168.11000100000001</v>
      </c>
      <c r="D207">
        <v>170.720001</v>
      </c>
      <c r="E207">
        <v>161.5</v>
      </c>
      <c r="F207">
        <v>162.55999800000001</v>
      </c>
      <c r="G207">
        <v>162.55999800000001</v>
      </c>
      <c r="H207">
        <v>1590170000</v>
      </c>
      <c r="I207"/>
      <c r="J207" s="30">
        <f t="shared" si="3"/>
        <v>-3.0303036448956155E-2</v>
      </c>
    </row>
    <row r="208" spans="2:10" x14ac:dyDescent="0.3">
      <c r="B208" s="29">
        <v>30529</v>
      </c>
      <c r="C208">
        <v>162.33999600000001</v>
      </c>
      <c r="D208">
        <v>165.91000399999999</v>
      </c>
      <c r="E208">
        <v>158.5</v>
      </c>
      <c r="F208">
        <v>164.39999399999999</v>
      </c>
      <c r="G208">
        <v>164.39999399999999</v>
      </c>
      <c r="H208">
        <v>1706430000</v>
      </c>
      <c r="I208"/>
      <c r="J208" s="30">
        <f t="shared" si="3"/>
        <v>1.1318873170753863E-2</v>
      </c>
    </row>
    <row r="209" spans="2:10" x14ac:dyDescent="0.3">
      <c r="B209" s="29">
        <v>30560</v>
      </c>
      <c r="C209">
        <v>164.39999399999999</v>
      </c>
      <c r="D209">
        <v>170.41000399999999</v>
      </c>
      <c r="E209">
        <v>163.949997</v>
      </c>
      <c r="F209">
        <v>166.070007</v>
      </c>
      <c r="G209">
        <v>166.070007</v>
      </c>
      <c r="H209">
        <v>1739810000</v>
      </c>
      <c r="I209"/>
      <c r="J209" s="30">
        <f t="shared" si="3"/>
        <v>1.0158230297745652E-2</v>
      </c>
    </row>
    <row r="210" spans="2:10" x14ac:dyDescent="0.3">
      <c r="B210" s="29">
        <v>30590</v>
      </c>
      <c r="C210">
        <v>165.990005</v>
      </c>
      <c r="D210">
        <v>172.64999399999999</v>
      </c>
      <c r="E210">
        <v>162.86000100000001</v>
      </c>
      <c r="F210">
        <v>163.550003</v>
      </c>
      <c r="G210">
        <v>163.550003</v>
      </c>
      <c r="H210">
        <v>1794620000</v>
      </c>
      <c r="I210"/>
      <c r="J210" s="30">
        <f t="shared" si="3"/>
        <v>-1.5174347526823451E-2</v>
      </c>
    </row>
    <row r="211" spans="2:10" x14ac:dyDescent="0.3">
      <c r="B211" s="29">
        <v>30621</v>
      </c>
      <c r="C211">
        <v>163.550003</v>
      </c>
      <c r="D211">
        <v>168.070007</v>
      </c>
      <c r="E211">
        <v>161.63000500000001</v>
      </c>
      <c r="F211">
        <v>166.39999399999999</v>
      </c>
      <c r="G211">
        <v>166.39999399999999</v>
      </c>
      <c r="H211">
        <v>1814610000</v>
      </c>
      <c r="I211"/>
      <c r="J211" s="30">
        <f t="shared" si="3"/>
        <v>1.7425808301574808E-2</v>
      </c>
    </row>
    <row r="212" spans="2:10" x14ac:dyDescent="0.3">
      <c r="B212" s="29">
        <v>30651</v>
      </c>
      <c r="C212">
        <v>166.36999499999999</v>
      </c>
      <c r="D212">
        <v>166.770004</v>
      </c>
      <c r="E212">
        <v>161.58000200000001</v>
      </c>
      <c r="F212">
        <v>164.929993</v>
      </c>
      <c r="G212">
        <v>164.929993</v>
      </c>
      <c r="H212">
        <v>1848860000</v>
      </c>
      <c r="I212"/>
      <c r="J212" s="30">
        <f t="shared" si="3"/>
        <v>-8.8341409435387375E-3</v>
      </c>
    </row>
    <row r="213" spans="2:10" x14ac:dyDescent="0.3">
      <c r="B213" s="29">
        <v>30682</v>
      </c>
      <c r="C213">
        <v>164.929993</v>
      </c>
      <c r="D213">
        <v>169.53999300000001</v>
      </c>
      <c r="E213">
        <v>162.029999</v>
      </c>
      <c r="F213">
        <v>163.41000399999999</v>
      </c>
      <c r="G213">
        <v>163.41000399999999</v>
      </c>
      <c r="H213">
        <v>2215660000</v>
      </c>
      <c r="I213"/>
      <c r="J213" s="30">
        <f t="shared" si="3"/>
        <v>-9.2159647396578004E-3</v>
      </c>
    </row>
    <row r="214" spans="2:10" x14ac:dyDescent="0.3">
      <c r="B214" s="29">
        <v>30713</v>
      </c>
      <c r="C214">
        <v>163.41000399999999</v>
      </c>
      <c r="D214">
        <v>164</v>
      </c>
      <c r="E214">
        <v>152.13000500000001</v>
      </c>
      <c r="F214">
        <v>157.05999800000001</v>
      </c>
      <c r="G214">
        <v>157.05999800000001</v>
      </c>
      <c r="H214">
        <v>1932810000</v>
      </c>
      <c r="I214"/>
      <c r="J214" s="30">
        <f t="shared" si="3"/>
        <v>-3.8859346701931252E-2</v>
      </c>
    </row>
    <row r="215" spans="2:10" x14ac:dyDescent="0.3">
      <c r="B215" s="29">
        <v>30742</v>
      </c>
      <c r="C215">
        <v>157.05999800000001</v>
      </c>
      <c r="D215">
        <v>160.46000699999999</v>
      </c>
      <c r="E215">
        <v>153.770004</v>
      </c>
      <c r="F215">
        <v>159.179993</v>
      </c>
      <c r="G215">
        <v>159.179993</v>
      </c>
      <c r="H215">
        <v>1854920000</v>
      </c>
      <c r="I215"/>
      <c r="J215" s="30">
        <f t="shared" si="3"/>
        <v>1.3497994568928862E-2</v>
      </c>
    </row>
    <row r="216" spans="2:10" x14ac:dyDescent="0.3">
      <c r="B216" s="29">
        <v>30773</v>
      </c>
      <c r="C216">
        <v>159.179993</v>
      </c>
      <c r="D216">
        <v>160.69000199999999</v>
      </c>
      <c r="E216">
        <v>154.11999499999999</v>
      </c>
      <c r="F216">
        <v>160.050003</v>
      </c>
      <c r="G216">
        <v>160.050003</v>
      </c>
      <c r="H216">
        <v>1717530000</v>
      </c>
      <c r="I216"/>
      <c r="J216" s="30">
        <f t="shared" si="3"/>
        <v>5.4655738048687841E-3</v>
      </c>
    </row>
    <row r="217" spans="2:10" x14ac:dyDescent="0.3">
      <c r="B217" s="29">
        <v>30803</v>
      </c>
      <c r="C217">
        <v>160.050003</v>
      </c>
      <c r="D217">
        <v>162.11000100000001</v>
      </c>
      <c r="E217">
        <v>148.679993</v>
      </c>
      <c r="F217">
        <v>150.550003</v>
      </c>
      <c r="G217">
        <v>150.550003</v>
      </c>
      <c r="H217">
        <v>1939550000</v>
      </c>
      <c r="I217"/>
      <c r="J217" s="30">
        <f t="shared" si="3"/>
        <v>-5.9356449996442628E-2</v>
      </c>
    </row>
    <row r="218" spans="2:10" x14ac:dyDescent="0.3">
      <c r="B218" s="29">
        <v>30834</v>
      </c>
      <c r="C218">
        <v>150.550003</v>
      </c>
      <c r="D218">
        <v>155.63999899999999</v>
      </c>
      <c r="E218">
        <v>148.529999</v>
      </c>
      <c r="F218">
        <v>153.179993</v>
      </c>
      <c r="G218">
        <v>153.179993</v>
      </c>
      <c r="H218">
        <v>1812870000</v>
      </c>
      <c r="I218"/>
      <c r="J218" s="30">
        <f t="shared" si="3"/>
        <v>1.7469212537976508E-2</v>
      </c>
    </row>
    <row r="219" spans="2:10" x14ac:dyDescent="0.3">
      <c r="B219" s="29">
        <v>30864</v>
      </c>
      <c r="C219">
        <v>153.16000399999999</v>
      </c>
      <c r="D219">
        <v>153.86999499999999</v>
      </c>
      <c r="E219">
        <v>147.259995</v>
      </c>
      <c r="F219">
        <v>150.66000399999999</v>
      </c>
      <c r="G219">
        <v>150.66000399999999</v>
      </c>
      <c r="H219">
        <v>1662200000</v>
      </c>
      <c r="I219"/>
      <c r="J219" s="30">
        <f t="shared" si="3"/>
        <v>-1.6451162783379991E-2</v>
      </c>
    </row>
    <row r="220" spans="2:10" x14ac:dyDescent="0.3">
      <c r="B220" s="29">
        <v>30895</v>
      </c>
      <c r="C220">
        <v>150.66000399999999</v>
      </c>
      <c r="D220">
        <v>168.800003</v>
      </c>
      <c r="E220">
        <v>150.66000399999999</v>
      </c>
      <c r="F220">
        <v>166.679993</v>
      </c>
      <c r="G220">
        <v>166.679993</v>
      </c>
      <c r="H220">
        <v>2526920000</v>
      </c>
      <c r="I220"/>
      <c r="J220" s="30">
        <f t="shared" si="3"/>
        <v>0.10633206275502305</v>
      </c>
    </row>
    <row r="221" spans="2:10" x14ac:dyDescent="0.3">
      <c r="B221" s="29">
        <v>30926</v>
      </c>
      <c r="C221">
        <v>166.679993</v>
      </c>
      <c r="D221">
        <v>169.64999399999999</v>
      </c>
      <c r="E221">
        <v>163.05999800000001</v>
      </c>
      <c r="F221">
        <v>166.10000600000001</v>
      </c>
      <c r="G221">
        <v>166.10000600000001</v>
      </c>
      <c r="H221">
        <v>1768660000</v>
      </c>
      <c r="I221"/>
      <c r="J221" s="30">
        <f t="shared" si="3"/>
        <v>-3.4796437746430486E-3</v>
      </c>
    </row>
    <row r="222" spans="2:10" x14ac:dyDescent="0.3">
      <c r="B222" s="29">
        <v>30956</v>
      </c>
      <c r="C222">
        <v>166.10000600000001</v>
      </c>
      <c r="D222">
        <v>169.61999499999999</v>
      </c>
      <c r="E222">
        <v>160.020004</v>
      </c>
      <c r="F222">
        <v>166.08999600000001</v>
      </c>
      <c r="G222">
        <v>166.08999600000001</v>
      </c>
      <c r="H222">
        <v>2110230000</v>
      </c>
      <c r="I222"/>
      <c r="J222" s="30">
        <f t="shared" si="3"/>
        <v>-6.0264898485318241E-5</v>
      </c>
    </row>
    <row r="223" spans="2:10" x14ac:dyDescent="0.3">
      <c r="B223" s="29">
        <v>30987</v>
      </c>
      <c r="C223">
        <v>166.08999600000001</v>
      </c>
      <c r="D223">
        <v>170.41000399999999</v>
      </c>
      <c r="E223">
        <v>162.990005</v>
      </c>
      <c r="F223">
        <v>163.58000200000001</v>
      </c>
      <c r="G223">
        <v>163.58000200000001</v>
      </c>
      <c r="H223">
        <v>1757280000</v>
      </c>
      <c r="I223"/>
      <c r="J223" s="30">
        <f t="shared" si="3"/>
        <v>-1.5112252757234157E-2</v>
      </c>
    </row>
    <row r="224" spans="2:10" x14ac:dyDescent="0.3">
      <c r="B224" s="29">
        <v>31017</v>
      </c>
      <c r="C224">
        <v>163.58000200000001</v>
      </c>
      <c r="D224">
        <v>169.029999</v>
      </c>
      <c r="E224">
        <v>161.53999300000001</v>
      </c>
      <c r="F224">
        <v>167.240005</v>
      </c>
      <c r="G224">
        <v>167.240005</v>
      </c>
      <c r="H224">
        <v>1781000000</v>
      </c>
      <c r="I224"/>
      <c r="J224" s="30">
        <f t="shared" si="3"/>
        <v>2.2374391461371879E-2</v>
      </c>
    </row>
    <row r="225" spans="2:10" x14ac:dyDescent="0.3">
      <c r="B225" s="29">
        <v>31048</v>
      </c>
      <c r="C225">
        <v>167.199997</v>
      </c>
      <c r="D225">
        <v>180.270004</v>
      </c>
      <c r="E225">
        <v>163.36000100000001</v>
      </c>
      <c r="F225">
        <v>179.63000500000001</v>
      </c>
      <c r="G225">
        <v>179.63000500000001</v>
      </c>
      <c r="H225">
        <v>2673710000</v>
      </c>
      <c r="I225"/>
      <c r="J225" s="30">
        <f t="shared" si="3"/>
        <v>7.4085144879061815E-2</v>
      </c>
    </row>
    <row r="226" spans="2:10" x14ac:dyDescent="0.3">
      <c r="B226" s="29">
        <v>31079</v>
      </c>
      <c r="C226">
        <v>179.63000500000001</v>
      </c>
      <c r="D226">
        <v>183.949997</v>
      </c>
      <c r="E226">
        <v>177.75</v>
      </c>
      <c r="F226">
        <v>181.179993</v>
      </c>
      <c r="G226">
        <v>181.179993</v>
      </c>
      <c r="H226">
        <v>2194620000</v>
      </c>
      <c r="I226"/>
      <c r="J226" s="30">
        <f t="shared" si="3"/>
        <v>8.6287811437737449E-3</v>
      </c>
    </row>
    <row r="227" spans="2:10" x14ac:dyDescent="0.3">
      <c r="B227" s="29">
        <v>31107</v>
      </c>
      <c r="C227">
        <v>181.179993</v>
      </c>
      <c r="D227">
        <v>183.88999899999999</v>
      </c>
      <c r="E227">
        <v>176.529999</v>
      </c>
      <c r="F227">
        <v>180.66000399999999</v>
      </c>
      <c r="G227">
        <v>180.66000399999999</v>
      </c>
      <c r="H227">
        <v>2153090000</v>
      </c>
      <c r="I227"/>
      <c r="J227" s="30">
        <f t="shared" si="3"/>
        <v>-2.8700133573800191E-3</v>
      </c>
    </row>
    <row r="228" spans="2:10" x14ac:dyDescent="0.3">
      <c r="B228" s="29">
        <v>31138</v>
      </c>
      <c r="C228">
        <v>180.66000399999999</v>
      </c>
      <c r="D228">
        <v>183.61000100000001</v>
      </c>
      <c r="E228">
        <v>177.86000100000001</v>
      </c>
      <c r="F228">
        <v>179.83000200000001</v>
      </c>
      <c r="G228">
        <v>179.83000200000001</v>
      </c>
      <c r="H228">
        <v>1981880000</v>
      </c>
      <c r="I228"/>
      <c r="J228" s="30">
        <f t="shared" si="3"/>
        <v>-4.5942764398476665E-3</v>
      </c>
    </row>
    <row r="229" spans="2:10" x14ac:dyDescent="0.3">
      <c r="B229" s="29">
        <v>31168</v>
      </c>
      <c r="C229">
        <v>179.83000200000001</v>
      </c>
      <c r="D229">
        <v>189.979996</v>
      </c>
      <c r="E229">
        <v>178.35000600000001</v>
      </c>
      <c r="F229">
        <v>189.550003</v>
      </c>
      <c r="G229">
        <v>189.550003</v>
      </c>
      <c r="H229">
        <v>2350340000</v>
      </c>
      <c r="I229"/>
      <c r="J229" s="30">
        <f t="shared" si="3"/>
        <v>5.4051053171872754E-2</v>
      </c>
    </row>
    <row r="230" spans="2:10" x14ac:dyDescent="0.3">
      <c r="B230" s="29">
        <v>31199</v>
      </c>
      <c r="C230">
        <v>189.550003</v>
      </c>
      <c r="D230">
        <v>191.85000600000001</v>
      </c>
      <c r="E230">
        <v>185.029999</v>
      </c>
      <c r="F230">
        <v>191.85000600000001</v>
      </c>
      <c r="G230">
        <v>191.85000600000001</v>
      </c>
      <c r="H230">
        <v>2117000000</v>
      </c>
      <c r="I230"/>
      <c r="J230" s="30">
        <f t="shared" si="3"/>
        <v>1.2134017217609872E-2</v>
      </c>
    </row>
    <row r="231" spans="2:10" x14ac:dyDescent="0.3">
      <c r="B231" s="29">
        <v>31229</v>
      </c>
      <c r="C231">
        <v>191.85000600000001</v>
      </c>
      <c r="D231">
        <v>196.070007</v>
      </c>
      <c r="E231">
        <v>189.300003</v>
      </c>
      <c r="F231">
        <v>190.91999799999999</v>
      </c>
      <c r="G231">
        <v>190.91999799999999</v>
      </c>
      <c r="H231">
        <v>2463070000</v>
      </c>
      <c r="I231"/>
      <c r="J231" s="30">
        <f t="shared" si="3"/>
        <v>-4.8475786860283643E-3</v>
      </c>
    </row>
    <row r="232" spans="2:10" x14ac:dyDescent="0.3">
      <c r="B232" s="29">
        <v>31260</v>
      </c>
      <c r="C232">
        <v>190.91999799999999</v>
      </c>
      <c r="D232">
        <v>192.16999799999999</v>
      </c>
      <c r="E232">
        <v>186.10000600000001</v>
      </c>
      <c r="F232">
        <v>188.63000500000001</v>
      </c>
      <c r="G232">
        <v>188.63000500000001</v>
      </c>
      <c r="H232">
        <v>1923200000</v>
      </c>
      <c r="I232"/>
      <c r="J232" s="30">
        <f t="shared" si="3"/>
        <v>-1.1994516153305157E-2</v>
      </c>
    </row>
    <row r="233" spans="2:10" x14ac:dyDescent="0.3">
      <c r="B233" s="29">
        <v>31291</v>
      </c>
      <c r="C233">
        <v>188.63000500000001</v>
      </c>
      <c r="D233">
        <v>188.800003</v>
      </c>
      <c r="E233">
        <v>179.449997</v>
      </c>
      <c r="F233">
        <v>182.08000200000001</v>
      </c>
      <c r="G233">
        <v>182.08000200000001</v>
      </c>
      <c r="H233">
        <v>1860160000</v>
      </c>
      <c r="I233"/>
      <c r="J233" s="30">
        <f t="shared" si="3"/>
        <v>-3.4724077964160549E-2</v>
      </c>
    </row>
    <row r="234" spans="2:10" x14ac:dyDescent="0.3">
      <c r="B234" s="29">
        <v>31321</v>
      </c>
      <c r="C234">
        <v>182.05999800000001</v>
      </c>
      <c r="D234">
        <v>190.14999399999999</v>
      </c>
      <c r="E234">
        <v>181.16000399999999</v>
      </c>
      <c r="F234">
        <v>189.820007</v>
      </c>
      <c r="G234">
        <v>189.820007</v>
      </c>
      <c r="H234">
        <v>2543240000</v>
      </c>
      <c r="I234"/>
      <c r="J234" s="30">
        <f t="shared" si="3"/>
        <v>4.2508814339753842E-2</v>
      </c>
    </row>
    <row r="235" spans="2:10" x14ac:dyDescent="0.3">
      <c r="B235" s="29">
        <v>31352</v>
      </c>
      <c r="C235">
        <v>189.820007</v>
      </c>
      <c r="D235">
        <v>203.39999399999999</v>
      </c>
      <c r="E235">
        <v>189.36999499999999</v>
      </c>
      <c r="F235">
        <v>202.16999799999999</v>
      </c>
      <c r="G235">
        <v>202.16999799999999</v>
      </c>
      <c r="H235">
        <v>2445370000</v>
      </c>
      <c r="I235"/>
      <c r="J235" s="30">
        <f t="shared" si="3"/>
        <v>6.5061587528020715E-2</v>
      </c>
    </row>
    <row r="236" spans="2:10" x14ac:dyDescent="0.3">
      <c r="B236" s="29">
        <v>31382</v>
      </c>
      <c r="C236">
        <v>202.16999799999999</v>
      </c>
      <c r="D236">
        <v>213.08000200000001</v>
      </c>
      <c r="E236">
        <v>200.10000600000001</v>
      </c>
      <c r="F236">
        <v>211.279999</v>
      </c>
      <c r="G236">
        <v>211.279999</v>
      </c>
      <c r="H236">
        <v>2804380000</v>
      </c>
      <c r="I236"/>
      <c r="J236" s="30">
        <f t="shared" si="3"/>
        <v>4.5061092595944929E-2</v>
      </c>
    </row>
    <row r="237" spans="2:10" x14ac:dyDescent="0.3">
      <c r="B237" s="29">
        <v>31413</v>
      </c>
      <c r="C237">
        <v>211.279999</v>
      </c>
      <c r="D237">
        <v>214.570007</v>
      </c>
      <c r="E237">
        <v>202.60000600000001</v>
      </c>
      <c r="F237">
        <v>211.779999</v>
      </c>
      <c r="G237">
        <v>211.779999</v>
      </c>
      <c r="H237">
        <v>2879010000</v>
      </c>
      <c r="I237"/>
      <c r="J237" s="30">
        <f t="shared" si="3"/>
        <v>2.3665278415681001E-3</v>
      </c>
    </row>
    <row r="238" spans="2:10" x14ac:dyDescent="0.3">
      <c r="B238" s="29">
        <v>31444</v>
      </c>
      <c r="C238">
        <v>211.779999</v>
      </c>
      <c r="D238">
        <v>227.91999799999999</v>
      </c>
      <c r="E238">
        <v>210.820007</v>
      </c>
      <c r="F238">
        <v>226.91999799999999</v>
      </c>
      <c r="G238">
        <v>226.91999799999999</v>
      </c>
      <c r="H238">
        <v>2899100000</v>
      </c>
      <c r="I238"/>
      <c r="J238" s="30">
        <f t="shared" si="3"/>
        <v>7.1489276945364333E-2</v>
      </c>
    </row>
    <row r="239" spans="2:10" x14ac:dyDescent="0.3">
      <c r="B239" s="29">
        <v>31472</v>
      </c>
      <c r="C239">
        <v>226.91999799999999</v>
      </c>
      <c r="D239">
        <v>240.11000100000001</v>
      </c>
      <c r="E239">
        <v>222.179993</v>
      </c>
      <c r="F239">
        <v>238.89999399999999</v>
      </c>
      <c r="G239">
        <v>238.89999399999999</v>
      </c>
      <c r="H239">
        <v>3214600000</v>
      </c>
      <c r="I239"/>
      <c r="J239" s="30">
        <f t="shared" si="3"/>
        <v>5.2793919026916214E-2</v>
      </c>
    </row>
    <row r="240" spans="2:10" x14ac:dyDescent="0.3">
      <c r="B240" s="29">
        <v>31503</v>
      </c>
      <c r="C240">
        <v>238.89999399999999</v>
      </c>
      <c r="D240">
        <v>245.470001</v>
      </c>
      <c r="E240">
        <v>226.300003</v>
      </c>
      <c r="F240">
        <v>235.520004</v>
      </c>
      <c r="G240">
        <v>235.520004</v>
      </c>
      <c r="H240">
        <v>3240400000</v>
      </c>
      <c r="I240"/>
      <c r="J240" s="30">
        <f t="shared" si="3"/>
        <v>-1.4148137651271764E-2</v>
      </c>
    </row>
    <row r="241" spans="2:10" x14ac:dyDescent="0.3">
      <c r="B241" s="29">
        <v>31533</v>
      </c>
      <c r="C241">
        <v>235.520004</v>
      </c>
      <c r="D241">
        <v>249.19000199999999</v>
      </c>
      <c r="E241">
        <v>232.259995</v>
      </c>
      <c r="F241">
        <v>247.35000600000001</v>
      </c>
      <c r="G241">
        <v>247.35000600000001</v>
      </c>
      <c r="H241">
        <v>2680240000</v>
      </c>
      <c r="I241"/>
      <c r="J241" s="30">
        <f t="shared" si="3"/>
        <v>5.0229287530073163E-2</v>
      </c>
    </row>
    <row r="242" spans="2:10" x14ac:dyDescent="0.3">
      <c r="B242" s="29">
        <v>31564</v>
      </c>
      <c r="C242">
        <v>246.03999300000001</v>
      </c>
      <c r="D242">
        <v>251.80999800000001</v>
      </c>
      <c r="E242">
        <v>238.229996</v>
      </c>
      <c r="F242">
        <v>250.83999600000001</v>
      </c>
      <c r="G242">
        <v>250.83999600000001</v>
      </c>
      <c r="H242">
        <v>2649600000</v>
      </c>
      <c r="I242"/>
      <c r="J242" s="30">
        <f t="shared" si="3"/>
        <v>1.4109520579514312E-2</v>
      </c>
    </row>
    <row r="243" spans="2:10" x14ac:dyDescent="0.3">
      <c r="B243" s="29">
        <v>31594</v>
      </c>
      <c r="C243">
        <v>250.66999799999999</v>
      </c>
      <c r="D243">
        <v>253.199997</v>
      </c>
      <c r="E243">
        <v>233.070007</v>
      </c>
      <c r="F243">
        <v>236.11999499999999</v>
      </c>
      <c r="G243">
        <v>236.11999499999999</v>
      </c>
      <c r="H243">
        <v>3029900000</v>
      </c>
      <c r="I243"/>
      <c r="J243" s="30">
        <f t="shared" si="3"/>
        <v>-5.868283062801527E-2</v>
      </c>
    </row>
    <row r="244" spans="2:10" x14ac:dyDescent="0.3">
      <c r="B244" s="29">
        <v>31625</v>
      </c>
      <c r="C244">
        <v>236.11999499999999</v>
      </c>
      <c r="D244">
        <v>254.240005</v>
      </c>
      <c r="E244">
        <v>231.91999799999999</v>
      </c>
      <c r="F244">
        <v>252.929993</v>
      </c>
      <c r="G244">
        <v>252.929993</v>
      </c>
      <c r="H244">
        <v>2701900000</v>
      </c>
      <c r="I244"/>
      <c r="J244" s="30">
        <f t="shared" si="3"/>
        <v>7.1192606962404925E-2</v>
      </c>
    </row>
    <row r="245" spans="2:10" x14ac:dyDescent="0.3">
      <c r="B245" s="29">
        <v>31656</v>
      </c>
      <c r="C245">
        <v>252.929993</v>
      </c>
      <c r="D245">
        <v>254.13000500000001</v>
      </c>
      <c r="E245">
        <v>228.08000200000001</v>
      </c>
      <c r="F245">
        <v>231.320007</v>
      </c>
      <c r="G245">
        <v>231.320007</v>
      </c>
      <c r="H245">
        <v>3166300000</v>
      </c>
      <c r="I245"/>
      <c r="J245" s="30">
        <f t="shared" si="3"/>
        <v>-8.5438605930772238E-2</v>
      </c>
    </row>
    <row r="246" spans="2:10" x14ac:dyDescent="0.3">
      <c r="B246" s="29">
        <v>31686</v>
      </c>
      <c r="C246">
        <v>231.320007</v>
      </c>
      <c r="D246">
        <v>244.509995</v>
      </c>
      <c r="E246">
        <v>231.320007</v>
      </c>
      <c r="F246">
        <v>243.979996</v>
      </c>
      <c r="G246">
        <v>243.979996</v>
      </c>
      <c r="H246">
        <v>3016740000</v>
      </c>
      <c r="I246"/>
      <c r="J246" s="30">
        <f t="shared" si="3"/>
        <v>5.4729330005596877E-2</v>
      </c>
    </row>
    <row r="247" spans="2:10" x14ac:dyDescent="0.3">
      <c r="B247" s="29">
        <v>31717</v>
      </c>
      <c r="C247">
        <v>243.970001</v>
      </c>
      <c r="D247">
        <v>249.220001</v>
      </c>
      <c r="E247">
        <v>235.509995</v>
      </c>
      <c r="F247">
        <v>249.220001</v>
      </c>
      <c r="G247">
        <v>249.220001</v>
      </c>
      <c r="H247">
        <v>2940830000</v>
      </c>
      <c r="I247"/>
      <c r="J247" s="30">
        <f t="shared" si="3"/>
        <v>2.1477191105454319E-2</v>
      </c>
    </row>
    <row r="248" spans="2:10" x14ac:dyDescent="0.3">
      <c r="B248" s="29">
        <v>31747</v>
      </c>
      <c r="C248">
        <v>249.220001</v>
      </c>
      <c r="D248">
        <v>254.86999499999999</v>
      </c>
      <c r="E248">
        <v>241.279999</v>
      </c>
      <c r="F248">
        <v>242.16999799999999</v>
      </c>
      <c r="G248">
        <v>242.16999799999999</v>
      </c>
      <c r="H248">
        <v>3260870000</v>
      </c>
      <c r="I248"/>
      <c r="J248" s="30">
        <f t="shared" si="3"/>
        <v>-2.828827129328193E-2</v>
      </c>
    </row>
    <row r="249" spans="2:10" x14ac:dyDescent="0.3">
      <c r="B249" s="29">
        <v>31778</v>
      </c>
      <c r="C249">
        <v>242.16999799999999</v>
      </c>
      <c r="D249">
        <v>280.959991</v>
      </c>
      <c r="E249">
        <v>242.16999799999999</v>
      </c>
      <c r="F249">
        <v>274.07998700000002</v>
      </c>
      <c r="G249">
        <v>274.07998700000002</v>
      </c>
      <c r="H249">
        <v>4040880000</v>
      </c>
      <c r="I249"/>
      <c r="J249" s="30">
        <f t="shared" si="3"/>
        <v>0.13176689624451354</v>
      </c>
    </row>
    <row r="250" spans="2:10" x14ac:dyDescent="0.3">
      <c r="B250" s="29">
        <v>31809</v>
      </c>
      <c r="C250">
        <v>274.07998700000002</v>
      </c>
      <c r="D250">
        <v>287.54998799999998</v>
      </c>
      <c r="E250">
        <v>273.16000400000001</v>
      </c>
      <c r="F250">
        <v>284.20001200000002</v>
      </c>
      <c r="G250">
        <v>284.20001200000002</v>
      </c>
      <c r="H250">
        <v>3485300000</v>
      </c>
      <c r="I250"/>
      <c r="J250" s="30">
        <f t="shared" si="3"/>
        <v>3.6923618943399905E-2</v>
      </c>
    </row>
    <row r="251" spans="2:10" x14ac:dyDescent="0.3">
      <c r="B251" s="29">
        <v>31837</v>
      </c>
      <c r="C251">
        <v>284.17001299999998</v>
      </c>
      <c r="D251">
        <v>302.72000100000002</v>
      </c>
      <c r="E251">
        <v>282.29998799999998</v>
      </c>
      <c r="F251">
        <v>291.70001200000002</v>
      </c>
      <c r="G251">
        <v>291.70001200000002</v>
      </c>
      <c r="H251">
        <v>3965100000</v>
      </c>
      <c r="I251"/>
      <c r="J251" s="30">
        <f t="shared" si="3"/>
        <v>2.6389865177064209E-2</v>
      </c>
    </row>
    <row r="252" spans="2:10" x14ac:dyDescent="0.3">
      <c r="B252" s="29">
        <v>31868</v>
      </c>
      <c r="C252">
        <v>291.58999599999999</v>
      </c>
      <c r="D252">
        <v>303.64999399999999</v>
      </c>
      <c r="E252">
        <v>275.67001299999998</v>
      </c>
      <c r="F252">
        <v>288.35998499999999</v>
      </c>
      <c r="G252">
        <v>288.35998499999999</v>
      </c>
      <c r="H252">
        <v>3931700000</v>
      </c>
      <c r="I252"/>
      <c r="J252" s="30">
        <f t="shared" si="3"/>
        <v>-1.1450212076096977E-2</v>
      </c>
    </row>
    <row r="253" spans="2:10" x14ac:dyDescent="0.3">
      <c r="B253" s="29">
        <v>31898</v>
      </c>
      <c r="C253">
        <v>286.98998999999998</v>
      </c>
      <c r="D253">
        <v>298.69000199999999</v>
      </c>
      <c r="E253">
        <v>277.01001000000002</v>
      </c>
      <c r="F253">
        <v>290.10000600000001</v>
      </c>
      <c r="G253">
        <v>290.10000600000001</v>
      </c>
      <c r="H253">
        <v>3417700000</v>
      </c>
      <c r="I253"/>
      <c r="J253" s="30">
        <f t="shared" si="3"/>
        <v>6.0341971511754799E-3</v>
      </c>
    </row>
    <row r="254" spans="2:10" x14ac:dyDescent="0.3">
      <c r="B254" s="29">
        <v>31929</v>
      </c>
      <c r="C254">
        <v>290.11999500000002</v>
      </c>
      <c r="D254">
        <v>310.26998900000001</v>
      </c>
      <c r="E254">
        <v>286.92999300000002</v>
      </c>
      <c r="F254">
        <v>304</v>
      </c>
      <c r="G254">
        <v>304</v>
      </c>
      <c r="H254">
        <v>3595000000</v>
      </c>
      <c r="I254"/>
      <c r="J254" s="30">
        <f t="shared" si="3"/>
        <v>4.7914490563643719E-2</v>
      </c>
    </row>
    <row r="255" spans="2:10" x14ac:dyDescent="0.3">
      <c r="B255" s="29">
        <v>31959</v>
      </c>
      <c r="C255">
        <v>303.98998999999998</v>
      </c>
      <c r="D255">
        <v>318.85000600000001</v>
      </c>
      <c r="E255">
        <v>302.52999899999998</v>
      </c>
      <c r="F255">
        <v>318.66000400000001</v>
      </c>
      <c r="G255">
        <v>318.66000400000001</v>
      </c>
      <c r="H255">
        <v>3966400000</v>
      </c>
      <c r="I255"/>
      <c r="J255" s="30">
        <f t="shared" si="3"/>
        <v>4.8223697368421137E-2</v>
      </c>
    </row>
    <row r="256" spans="2:10" x14ac:dyDescent="0.3">
      <c r="B256" s="29">
        <v>31990</v>
      </c>
      <c r="C256">
        <v>318.61999500000002</v>
      </c>
      <c r="D256">
        <v>337.89001500000001</v>
      </c>
      <c r="E256">
        <v>314.51001000000002</v>
      </c>
      <c r="F256">
        <v>329.79998799999998</v>
      </c>
      <c r="G256">
        <v>329.79998799999998</v>
      </c>
      <c r="H256">
        <v>4062400000</v>
      </c>
      <c r="I256"/>
      <c r="J256" s="30">
        <f t="shared" si="3"/>
        <v>3.4958839704276157E-2</v>
      </c>
    </row>
    <row r="257" spans="2:10" x14ac:dyDescent="0.3">
      <c r="B257" s="29">
        <v>32021</v>
      </c>
      <c r="C257">
        <v>329.80999800000001</v>
      </c>
      <c r="D257">
        <v>332.17999300000002</v>
      </c>
      <c r="E257">
        <v>308.55999800000001</v>
      </c>
      <c r="F257">
        <v>321.82998700000002</v>
      </c>
      <c r="G257">
        <v>321.82998700000002</v>
      </c>
      <c r="H257">
        <v>3723200000</v>
      </c>
      <c r="I257"/>
      <c r="J257" s="30">
        <f t="shared" si="3"/>
        <v>-2.4166165221327973E-2</v>
      </c>
    </row>
    <row r="258" spans="2:10" x14ac:dyDescent="0.3">
      <c r="B258" s="29">
        <v>32051</v>
      </c>
      <c r="C258">
        <v>321.82998700000002</v>
      </c>
      <c r="D258">
        <v>328.94000199999999</v>
      </c>
      <c r="E258">
        <v>216.46000699999999</v>
      </c>
      <c r="F258">
        <v>251.78999300000001</v>
      </c>
      <c r="G258">
        <v>251.78999300000001</v>
      </c>
      <c r="H258">
        <v>6094500000</v>
      </c>
      <c r="I258"/>
      <c r="J258" s="30">
        <f t="shared" si="3"/>
        <v>-0.21763041614888423</v>
      </c>
    </row>
    <row r="259" spans="2:10" x14ac:dyDescent="0.3">
      <c r="B259" s="29">
        <v>32082</v>
      </c>
      <c r="C259">
        <v>251.729996</v>
      </c>
      <c r="D259">
        <v>257.209991</v>
      </c>
      <c r="E259">
        <v>225.75</v>
      </c>
      <c r="F259">
        <v>230.300003</v>
      </c>
      <c r="G259">
        <v>230.300003</v>
      </c>
      <c r="H259">
        <v>3589530000</v>
      </c>
      <c r="I259"/>
      <c r="J259" s="30">
        <f t="shared" si="3"/>
        <v>-8.5348864519806389E-2</v>
      </c>
    </row>
    <row r="260" spans="2:10" x14ac:dyDescent="0.3">
      <c r="B260" s="29">
        <v>32112</v>
      </c>
      <c r="C260">
        <v>230.320007</v>
      </c>
      <c r="D260">
        <v>253.35000600000001</v>
      </c>
      <c r="E260">
        <v>221.240005</v>
      </c>
      <c r="F260">
        <v>247.08000200000001</v>
      </c>
      <c r="G260">
        <v>247.08000200000001</v>
      </c>
      <c r="H260">
        <v>3926750000</v>
      </c>
      <c r="I260"/>
      <c r="J260" s="30">
        <f t="shared" si="3"/>
        <v>7.2861479728248302E-2</v>
      </c>
    </row>
    <row r="261" spans="2:10" x14ac:dyDescent="0.3">
      <c r="B261" s="29">
        <v>32143</v>
      </c>
      <c r="C261">
        <v>247.10000600000001</v>
      </c>
      <c r="D261">
        <v>261.77999899999998</v>
      </c>
      <c r="E261">
        <v>240.16999799999999</v>
      </c>
      <c r="F261">
        <v>257.07000699999998</v>
      </c>
      <c r="G261">
        <v>257.07000699999998</v>
      </c>
      <c r="H261">
        <v>3494700000</v>
      </c>
      <c r="I261"/>
      <c r="J261" s="30">
        <f t="shared" si="3"/>
        <v>4.0432268573479924E-2</v>
      </c>
    </row>
    <row r="262" spans="2:10" x14ac:dyDescent="0.3">
      <c r="B262" s="29">
        <v>32174</v>
      </c>
      <c r="C262">
        <v>257.04998799999998</v>
      </c>
      <c r="D262">
        <v>267.82000699999998</v>
      </c>
      <c r="E262">
        <v>247.820007</v>
      </c>
      <c r="F262">
        <v>267.82000699999998</v>
      </c>
      <c r="G262">
        <v>267.82000699999998</v>
      </c>
      <c r="H262">
        <v>3693240000</v>
      </c>
      <c r="I262"/>
      <c r="J262" s="30">
        <f t="shared" si="3"/>
        <v>4.1817402681285865E-2</v>
      </c>
    </row>
    <row r="263" spans="2:10" x14ac:dyDescent="0.3">
      <c r="B263" s="29">
        <v>32203</v>
      </c>
      <c r="C263">
        <v>267.82000699999998</v>
      </c>
      <c r="D263">
        <v>272.64001500000001</v>
      </c>
      <c r="E263">
        <v>256.07000699999998</v>
      </c>
      <c r="F263">
        <v>258.89001500000001</v>
      </c>
      <c r="G263">
        <v>258.89001500000001</v>
      </c>
      <c r="H263">
        <v>4052970000</v>
      </c>
      <c r="I263"/>
      <c r="J263" s="30">
        <f t="shared" si="3"/>
        <v>-3.3343259527283786E-2</v>
      </c>
    </row>
    <row r="264" spans="2:10" x14ac:dyDescent="0.3">
      <c r="B264" s="29">
        <v>32234</v>
      </c>
      <c r="C264">
        <v>258.89001500000001</v>
      </c>
      <c r="D264">
        <v>272.04998799999998</v>
      </c>
      <c r="E264">
        <v>254.71000699999999</v>
      </c>
      <c r="F264">
        <v>261.32998700000002</v>
      </c>
      <c r="G264">
        <v>261.32998700000002</v>
      </c>
      <c r="H264">
        <v>3260760000</v>
      </c>
      <c r="I264"/>
      <c r="J264" s="30">
        <f t="shared" si="3"/>
        <v>9.4247435537442303E-3</v>
      </c>
    </row>
    <row r="265" spans="2:10" x14ac:dyDescent="0.3">
      <c r="B265" s="29">
        <v>32264</v>
      </c>
      <c r="C265">
        <v>261.35998499999999</v>
      </c>
      <c r="D265">
        <v>263.70001200000002</v>
      </c>
      <c r="E265">
        <v>248.85000600000001</v>
      </c>
      <c r="F265">
        <v>262.16000400000001</v>
      </c>
      <c r="G265">
        <v>262.16000400000001</v>
      </c>
      <c r="H265">
        <v>3231370000</v>
      </c>
      <c r="I265"/>
      <c r="J265" s="30">
        <f t="shared" si="3"/>
        <v>3.1761261289926512E-3</v>
      </c>
    </row>
    <row r="266" spans="2:10" x14ac:dyDescent="0.3">
      <c r="B266" s="29">
        <v>32295</v>
      </c>
      <c r="C266">
        <v>262.16000400000001</v>
      </c>
      <c r="D266">
        <v>276.88000499999998</v>
      </c>
      <c r="E266">
        <v>262.10000600000001</v>
      </c>
      <c r="F266">
        <v>273.5</v>
      </c>
      <c r="G266">
        <v>273.5</v>
      </c>
      <c r="H266">
        <v>4306710000</v>
      </c>
      <c r="I266"/>
      <c r="J266" s="30">
        <f t="shared" si="3"/>
        <v>4.3256010935977862E-2</v>
      </c>
    </row>
    <row r="267" spans="2:10" x14ac:dyDescent="0.3">
      <c r="B267" s="29">
        <v>32325</v>
      </c>
      <c r="C267">
        <v>273.5</v>
      </c>
      <c r="D267">
        <v>276.35998499999999</v>
      </c>
      <c r="E267">
        <v>262.48001099999999</v>
      </c>
      <c r="F267">
        <v>272.01998900000001</v>
      </c>
      <c r="G267">
        <v>272.01998900000001</v>
      </c>
      <c r="H267">
        <v>3338470000</v>
      </c>
      <c r="I267"/>
      <c r="J267" s="30">
        <f t="shared" ref="J267:J330" si="4">F267/F266-1</f>
        <v>-5.4113747714807925E-3</v>
      </c>
    </row>
    <row r="268" spans="2:10" x14ac:dyDescent="0.3">
      <c r="B268" s="29">
        <v>32356</v>
      </c>
      <c r="C268">
        <v>272.02999899999998</v>
      </c>
      <c r="D268">
        <v>274.20001200000002</v>
      </c>
      <c r="E268">
        <v>256.52999899999998</v>
      </c>
      <c r="F268">
        <v>261.51998900000001</v>
      </c>
      <c r="G268">
        <v>261.51998900000001</v>
      </c>
      <c r="H268">
        <v>3327470000</v>
      </c>
      <c r="I268"/>
      <c r="J268" s="30">
        <f t="shared" si="4"/>
        <v>-3.8600104494526666E-2</v>
      </c>
    </row>
    <row r="269" spans="2:10" x14ac:dyDescent="0.3">
      <c r="B269" s="29">
        <v>32387</v>
      </c>
      <c r="C269">
        <v>261.51998900000001</v>
      </c>
      <c r="D269">
        <v>274.86999500000002</v>
      </c>
      <c r="E269">
        <v>256.98001099999999</v>
      </c>
      <c r="F269">
        <v>271.91000400000001</v>
      </c>
      <c r="G269">
        <v>271.91000400000001</v>
      </c>
      <c r="H269">
        <v>3059450000</v>
      </c>
      <c r="I269"/>
      <c r="J269" s="30">
        <f t="shared" si="4"/>
        <v>3.9729334035724539E-2</v>
      </c>
    </row>
    <row r="270" spans="2:10" x14ac:dyDescent="0.3">
      <c r="B270" s="29">
        <v>32417</v>
      </c>
      <c r="C270">
        <v>271.89001500000001</v>
      </c>
      <c r="D270">
        <v>283.95001200000002</v>
      </c>
      <c r="E270">
        <v>268.83999599999999</v>
      </c>
      <c r="F270">
        <v>278.97000100000002</v>
      </c>
      <c r="G270">
        <v>278.97000100000002</v>
      </c>
      <c r="H270">
        <v>3415160000</v>
      </c>
      <c r="I270"/>
      <c r="J270" s="30">
        <f t="shared" si="4"/>
        <v>2.5964462124019594E-2</v>
      </c>
    </row>
    <row r="271" spans="2:10" x14ac:dyDescent="0.3">
      <c r="B271" s="29">
        <v>32448</v>
      </c>
      <c r="C271">
        <v>278.97000100000002</v>
      </c>
      <c r="D271">
        <v>280.36999500000002</v>
      </c>
      <c r="E271">
        <v>262.85000600000001</v>
      </c>
      <c r="F271">
        <v>273.70001200000002</v>
      </c>
      <c r="G271">
        <v>273.70001200000002</v>
      </c>
      <c r="H271">
        <v>2822820000</v>
      </c>
      <c r="I271"/>
      <c r="J271" s="30">
        <f t="shared" si="4"/>
        <v>-1.8890880672148058E-2</v>
      </c>
    </row>
    <row r="272" spans="2:10" x14ac:dyDescent="0.3">
      <c r="B272" s="29">
        <v>32478</v>
      </c>
      <c r="C272">
        <v>273.67999300000002</v>
      </c>
      <c r="D272">
        <v>280.45001200000002</v>
      </c>
      <c r="E272">
        <v>270.47000100000002</v>
      </c>
      <c r="F272">
        <v>277.72000100000002</v>
      </c>
      <c r="G272">
        <v>277.72000100000002</v>
      </c>
      <c r="H272">
        <v>2844900000</v>
      </c>
      <c r="I272"/>
      <c r="J272" s="30">
        <f t="shared" si="4"/>
        <v>1.4687573342159865E-2</v>
      </c>
    </row>
    <row r="273" spans="2:10" x14ac:dyDescent="0.3">
      <c r="B273" s="29">
        <v>32509</v>
      </c>
      <c r="C273">
        <v>277.72000100000002</v>
      </c>
      <c r="D273">
        <v>297.51001000000002</v>
      </c>
      <c r="E273">
        <v>273.80999800000001</v>
      </c>
      <c r="F273">
        <v>297.47000100000002</v>
      </c>
      <c r="G273">
        <v>297.47000100000002</v>
      </c>
      <c r="H273">
        <v>3532220000</v>
      </c>
      <c r="I273"/>
      <c r="J273" s="30">
        <f t="shared" si="4"/>
        <v>7.1114791620643825E-2</v>
      </c>
    </row>
    <row r="274" spans="2:10" x14ac:dyDescent="0.3">
      <c r="B274" s="29">
        <v>32540</v>
      </c>
      <c r="C274">
        <v>297.47000100000002</v>
      </c>
      <c r="D274">
        <v>300.57000699999998</v>
      </c>
      <c r="E274">
        <v>286.26001000000002</v>
      </c>
      <c r="F274">
        <v>288.85998499999999</v>
      </c>
      <c r="G274">
        <v>288.85998499999999</v>
      </c>
      <c r="H274">
        <v>3216280000</v>
      </c>
      <c r="I274"/>
      <c r="J274" s="30">
        <f t="shared" si="4"/>
        <v>-2.8944148892513177E-2</v>
      </c>
    </row>
    <row r="275" spans="2:10" x14ac:dyDescent="0.3">
      <c r="B275" s="29">
        <v>32568</v>
      </c>
      <c r="C275">
        <v>288.85998499999999</v>
      </c>
      <c r="D275">
        <v>299.98998999999998</v>
      </c>
      <c r="E275">
        <v>286.459991</v>
      </c>
      <c r="F275">
        <v>294.86999500000002</v>
      </c>
      <c r="G275">
        <v>294.86999500000002</v>
      </c>
      <c r="H275">
        <v>3504530000</v>
      </c>
      <c r="I275"/>
      <c r="J275" s="30">
        <f t="shared" si="4"/>
        <v>2.0805962445785031E-2</v>
      </c>
    </row>
    <row r="276" spans="2:10" x14ac:dyDescent="0.3">
      <c r="B276" s="29">
        <v>32599</v>
      </c>
      <c r="C276">
        <v>294.86999500000002</v>
      </c>
      <c r="D276">
        <v>310.45001200000002</v>
      </c>
      <c r="E276">
        <v>294.35000600000001</v>
      </c>
      <c r="F276">
        <v>309.64001500000001</v>
      </c>
      <c r="G276">
        <v>309.64001500000001</v>
      </c>
      <c r="H276">
        <v>3237250000</v>
      </c>
      <c r="I276"/>
      <c r="J276" s="30">
        <f t="shared" si="4"/>
        <v>5.0089938788108856E-2</v>
      </c>
    </row>
    <row r="277" spans="2:10" x14ac:dyDescent="0.3">
      <c r="B277" s="29">
        <v>32629</v>
      </c>
      <c r="C277">
        <v>309.64001500000001</v>
      </c>
      <c r="D277">
        <v>323.05999800000001</v>
      </c>
      <c r="E277">
        <v>304.05999800000001</v>
      </c>
      <c r="F277">
        <v>320.51998900000001</v>
      </c>
      <c r="G277">
        <v>320.51998900000001</v>
      </c>
      <c r="H277">
        <v>3747320000</v>
      </c>
      <c r="I277"/>
      <c r="J277" s="30">
        <f t="shared" si="4"/>
        <v>3.5137493453486712E-2</v>
      </c>
    </row>
    <row r="278" spans="2:10" x14ac:dyDescent="0.3">
      <c r="B278" s="29">
        <v>32660</v>
      </c>
      <c r="C278">
        <v>320.51001000000002</v>
      </c>
      <c r="D278">
        <v>329.19000199999999</v>
      </c>
      <c r="E278">
        <v>314.38000499999998</v>
      </c>
      <c r="F278">
        <v>317.98001099999999</v>
      </c>
      <c r="G278">
        <v>317.98001099999999</v>
      </c>
      <c r="H278">
        <v>3966590000</v>
      </c>
      <c r="I278"/>
      <c r="J278" s="30">
        <f t="shared" si="4"/>
        <v>-7.9245541219584714E-3</v>
      </c>
    </row>
    <row r="279" spans="2:10" x14ac:dyDescent="0.3">
      <c r="B279" s="29">
        <v>32690</v>
      </c>
      <c r="C279">
        <v>317.98001099999999</v>
      </c>
      <c r="D279">
        <v>346.07998700000002</v>
      </c>
      <c r="E279">
        <v>317.26001000000002</v>
      </c>
      <c r="F279">
        <v>346.07998700000002</v>
      </c>
      <c r="G279">
        <v>346.07998700000002</v>
      </c>
      <c r="H279">
        <v>3249030000</v>
      </c>
      <c r="I279"/>
      <c r="J279" s="30">
        <f t="shared" si="4"/>
        <v>8.8370259223621517E-2</v>
      </c>
    </row>
    <row r="280" spans="2:10" x14ac:dyDescent="0.3">
      <c r="B280" s="29">
        <v>32721</v>
      </c>
      <c r="C280">
        <v>346.07998700000002</v>
      </c>
      <c r="D280">
        <v>352.73001099999999</v>
      </c>
      <c r="E280">
        <v>339</v>
      </c>
      <c r="F280">
        <v>351.45001200000002</v>
      </c>
      <c r="G280">
        <v>351.45001200000002</v>
      </c>
      <c r="H280">
        <v>3949100000</v>
      </c>
      <c r="I280"/>
      <c r="J280" s="30">
        <f t="shared" si="4"/>
        <v>1.5516716371120287E-2</v>
      </c>
    </row>
    <row r="281" spans="2:10" x14ac:dyDescent="0.3">
      <c r="B281" s="29">
        <v>32752</v>
      </c>
      <c r="C281">
        <v>351.45001200000002</v>
      </c>
      <c r="D281">
        <v>354.13000499999998</v>
      </c>
      <c r="E281">
        <v>341.36999500000002</v>
      </c>
      <c r="F281">
        <v>349.14999399999999</v>
      </c>
      <c r="G281">
        <v>349.14999399999999</v>
      </c>
      <c r="H281">
        <v>3035020000</v>
      </c>
      <c r="I281"/>
      <c r="J281" s="30">
        <f t="shared" si="4"/>
        <v>-6.5443673964080684E-3</v>
      </c>
    </row>
    <row r="282" spans="2:10" x14ac:dyDescent="0.3">
      <c r="B282" s="29">
        <v>32782</v>
      </c>
      <c r="C282">
        <v>349.14999399999999</v>
      </c>
      <c r="D282">
        <v>360.44000199999999</v>
      </c>
      <c r="E282">
        <v>327.11999500000002</v>
      </c>
      <c r="F282">
        <v>340.35998499999999</v>
      </c>
      <c r="G282">
        <v>340.35998499999999</v>
      </c>
      <c r="H282">
        <v>4012670000</v>
      </c>
      <c r="I282"/>
      <c r="J282" s="30">
        <f t="shared" si="4"/>
        <v>-2.517545224417217E-2</v>
      </c>
    </row>
    <row r="283" spans="2:10" x14ac:dyDescent="0.3">
      <c r="B283" s="29">
        <v>32813</v>
      </c>
      <c r="C283">
        <v>340.35998499999999</v>
      </c>
      <c r="D283">
        <v>346.5</v>
      </c>
      <c r="E283">
        <v>330.91000400000001</v>
      </c>
      <c r="F283">
        <v>345.98998999999998</v>
      </c>
      <c r="G283">
        <v>345.98998999999998</v>
      </c>
      <c r="H283">
        <v>3032160000</v>
      </c>
      <c r="I283"/>
      <c r="J283" s="30">
        <f t="shared" si="4"/>
        <v>1.6541324621341724E-2</v>
      </c>
    </row>
    <row r="284" spans="2:10" x14ac:dyDescent="0.3">
      <c r="B284" s="29">
        <v>32843</v>
      </c>
      <c r="C284">
        <v>346.01001000000002</v>
      </c>
      <c r="D284">
        <v>354.10000600000001</v>
      </c>
      <c r="E284">
        <v>339.63000499999998</v>
      </c>
      <c r="F284">
        <v>353.39999399999999</v>
      </c>
      <c r="G284">
        <v>353.39999399999999</v>
      </c>
      <c r="H284">
        <v>3213420000</v>
      </c>
      <c r="I284"/>
      <c r="J284" s="30">
        <f t="shared" si="4"/>
        <v>2.141681613390034E-2</v>
      </c>
    </row>
    <row r="285" spans="2:10" x14ac:dyDescent="0.3">
      <c r="B285" s="29">
        <v>32874</v>
      </c>
      <c r="C285">
        <v>353.39999399999999</v>
      </c>
      <c r="D285">
        <v>360.58999599999999</v>
      </c>
      <c r="E285">
        <v>319.82998700000002</v>
      </c>
      <c r="F285">
        <v>329.07998700000002</v>
      </c>
      <c r="G285">
        <v>329.07998700000002</v>
      </c>
      <c r="H285">
        <v>3793250000</v>
      </c>
      <c r="I285"/>
      <c r="J285" s="30">
        <f t="shared" si="4"/>
        <v>-6.8817225277032601E-2</v>
      </c>
    </row>
    <row r="286" spans="2:10" x14ac:dyDescent="0.3">
      <c r="B286" s="29">
        <v>32905</v>
      </c>
      <c r="C286">
        <v>329.07998700000002</v>
      </c>
      <c r="D286">
        <v>336.08999599999999</v>
      </c>
      <c r="E286">
        <v>322.10000600000001</v>
      </c>
      <c r="F286">
        <v>331.89001500000001</v>
      </c>
      <c r="G286">
        <v>331.89001500000001</v>
      </c>
      <c r="H286">
        <v>2961970000</v>
      </c>
      <c r="I286"/>
      <c r="J286" s="30">
        <f t="shared" si="4"/>
        <v>8.5390425155207339E-3</v>
      </c>
    </row>
    <row r="287" spans="2:10" x14ac:dyDescent="0.3">
      <c r="B287" s="29">
        <v>32933</v>
      </c>
      <c r="C287">
        <v>331.89001500000001</v>
      </c>
      <c r="D287">
        <v>344.48998999999998</v>
      </c>
      <c r="E287">
        <v>331.07998700000002</v>
      </c>
      <c r="F287">
        <v>339.94000199999999</v>
      </c>
      <c r="G287">
        <v>339.94000199999999</v>
      </c>
      <c r="H287">
        <v>3283280000</v>
      </c>
      <c r="I287"/>
      <c r="J287" s="30">
        <f t="shared" si="4"/>
        <v>2.4254983989199008E-2</v>
      </c>
    </row>
    <row r="288" spans="2:10" x14ac:dyDescent="0.3">
      <c r="B288" s="29">
        <v>32964</v>
      </c>
      <c r="C288">
        <v>339.94000199999999</v>
      </c>
      <c r="D288">
        <v>347.29998799999998</v>
      </c>
      <c r="E288">
        <v>327.76001000000002</v>
      </c>
      <c r="F288">
        <v>330.79998799999998</v>
      </c>
      <c r="G288">
        <v>330.79998799999998</v>
      </c>
      <c r="H288">
        <v>2801220000</v>
      </c>
      <c r="I288"/>
      <c r="J288" s="30">
        <f t="shared" si="4"/>
        <v>-2.688713874867843E-2</v>
      </c>
    </row>
    <row r="289" spans="2:10" x14ac:dyDescent="0.3">
      <c r="B289" s="29">
        <v>32994</v>
      </c>
      <c r="C289">
        <v>330.79998799999998</v>
      </c>
      <c r="D289">
        <v>362.26001000000002</v>
      </c>
      <c r="E289">
        <v>330.79998799999998</v>
      </c>
      <c r="F289">
        <v>361.23001099999999</v>
      </c>
      <c r="G289">
        <v>361.23001099999999</v>
      </c>
      <c r="H289">
        <v>3596680000</v>
      </c>
      <c r="I289"/>
      <c r="J289" s="30">
        <f t="shared" si="4"/>
        <v>9.1989190156802625E-2</v>
      </c>
    </row>
    <row r="290" spans="2:10" x14ac:dyDescent="0.3">
      <c r="B290" s="29">
        <v>33025</v>
      </c>
      <c r="C290">
        <v>361.26001000000002</v>
      </c>
      <c r="D290">
        <v>368.77999899999998</v>
      </c>
      <c r="E290">
        <v>351.23001099999999</v>
      </c>
      <c r="F290">
        <v>358.01998900000001</v>
      </c>
      <c r="G290">
        <v>358.01998900000001</v>
      </c>
      <c r="H290">
        <v>3226280000</v>
      </c>
      <c r="I290"/>
      <c r="J290" s="30">
        <f t="shared" si="4"/>
        <v>-8.8863657565815268E-3</v>
      </c>
    </row>
    <row r="291" spans="2:10" x14ac:dyDescent="0.3">
      <c r="B291" s="29">
        <v>33055</v>
      </c>
      <c r="C291">
        <v>358.01998900000001</v>
      </c>
      <c r="D291">
        <v>369.77999899999998</v>
      </c>
      <c r="E291">
        <v>350.08999599999999</v>
      </c>
      <c r="F291">
        <v>356.14999399999999</v>
      </c>
      <c r="G291">
        <v>356.14999399999999</v>
      </c>
      <c r="H291">
        <v>3373540000</v>
      </c>
      <c r="I291"/>
      <c r="J291" s="30">
        <f t="shared" si="4"/>
        <v>-5.2231580846174852E-3</v>
      </c>
    </row>
    <row r="292" spans="2:10" x14ac:dyDescent="0.3">
      <c r="B292" s="29">
        <v>33086</v>
      </c>
      <c r="C292">
        <v>356.14999399999999</v>
      </c>
      <c r="D292">
        <v>357.35000600000001</v>
      </c>
      <c r="E292">
        <v>306.17999300000002</v>
      </c>
      <c r="F292">
        <v>322.55999800000001</v>
      </c>
      <c r="G292">
        <v>322.55999800000001</v>
      </c>
      <c r="H292">
        <v>4020730000</v>
      </c>
      <c r="I292"/>
      <c r="J292" s="30">
        <f t="shared" si="4"/>
        <v>-9.4314183815485286E-2</v>
      </c>
    </row>
    <row r="293" spans="2:10" x14ac:dyDescent="0.3">
      <c r="B293" s="29">
        <v>33117</v>
      </c>
      <c r="C293">
        <v>322.55999800000001</v>
      </c>
      <c r="D293">
        <v>326.52999899999998</v>
      </c>
      <c r="E293">
        <v>295.98001099999999</v>
      </c>
      <c r="F293">
        <v>306.04998799999998</v>
      </c>
      <c r="G293">
        <v>306.04998799999998</v>
      </c>
      <c r="H293">
        <v>2687280000</v>
      </c>
      <c r="I293"/>
      <c r="J293" s="30">
        <f t="shared" si="4"/>
        <v>-5.118430711299804E-2</v>
      </c>
    </row>
    <row r="294" spans="2:10" x14ac:dyDescent="0.3">
      <c r="B294" s="29">
        <v>33147</v>
      </c>
      <c r="C294">
        <v>306.10000600000001</v>
      </c>
      <c r="D294">
        <v>319.69000199999999</v>
      </c>
      <c r="E294">
        <v>294.51001000000002</v>
      </c>
      <c r="F294">
        <v>304</v>
      </c>
      <c r="G294">
        <v>304</v>
      </c>
      <c r="H294">
        <v>3671900000</v>
      </c>
      <c r="I294"/>
      <c r="J294" s="30">
        <f t="shared" si="4"/>
        <v>-6.6982129729734607E-3</v>
      </c>
    </row>
    <row r="295" spans="2:10" x14ac:dyDescent="0.3">
      <c r="B295" s="29">
        <v>33178</v>
      </c>
      <c r="C295">
        <v>303.98998999999998</v>
      </c>
      <c r="D295">
        <v>323.01998900000001</v>
      </c>
      <c r="E295">
        <v>301.60998499999999</v>
      </c>
      <c r="F295">
        <v>322.22000100000002</v>
      </c>
      <c r="G295">
        <v>322.22000100000002</v>
      </c>
      <c r="H295">
        <v>3149770000</v>
      </c>
      <c r="I295"/>
      <c r="J295" s="30">
        <f t="shared" si="4"/>
        <v>5.993421381578945E-2</v>
      </c>
    </row>
    <row r="296" spans="2:10" x14ac:dyDescent="0.3">
      <c r="B296" s="29">
        <v>33208</v>
      </c>
      <c r="C296">
        <v>322.23001099999999</v>
      </c>
      <c r="D296">
        <v>333.98001099999999</v>
      </c>
      <c r="E296">
        <v>321.97000100000002</v>
      </c>
      <c r="F296">
        <v>330.22000100000002</v>
      </c>
      <c r="G296">
        <v>330.22000100000002</v>
      </c>
      <c r="H296">
        <v>3116830000</v>
      </c>
      <c r="I296"/>
      <c r="J296" s="30">
        <f t="shared" si="4"/>
        <v>2.4827757355757596E-2</v>
      </c>
    </row>
    <row r="297" spans="2:10" x14ac:dyDescent="0.3">
      <c r="B297" s="29">
        <v>33239</v>
      </c>
      <c r="C297">
        <v>330.20001200000002</v>
      </c>
      <c r="D297">
        <v>343.92999300000002</v>
      </c>
      <c r="E297">
        <v>309.35000600000001</v>
      </c>
      <c r="F297">
        <v>343.92999300000002</v>
      </c>
      <c r="G297">
        <v>343.92999300000002</v>
      </c>
      <c r="H297">
        <v>3660240000</v>
      </c>
      <c r="I297"/>
      <c r="J297" s="30">
        <f t="shared" si="4"/>
        <v>4.1517751676101611E-2</v>
      </c>
    </row>
    <row r="298" spans="2:10" x14ac:dyDescent="0.3">
      <c r="B298" s="29">
        <v>33270</v>
      </c>
      <c r="C298">
        <v>343.91000400000001</v>
      </c>
      <c r="D298">
        <v>370.959991</v>
      </c>
      <c r="E298">
        <v>340.36999500000002</v>
      </c>
      <c r="F298">
        <v>367.07000699999998</v>
      </c>
      <c r="G298">
        <v>367.07000699999998</v>
      </c>
      <c r="H298">
        <v>4303170000</v>
      </c>
      <c r="I298"/>
      <c r="J298" s="30">
        <f t="shared" si="4"/>
        <v>6.7281174863978555E-2</v>
      </c>
    </row>
    <row r="299" spans="2:10" x14ac:dyDescent="0.3">
      <c r="B299" s="29">
        <v>33298</v>
      </c>
      <c r="C299">
        <v>367.07000699999998</v>
      </c>
      <c r="D299">
        <v>379.66000400000001</v>
      </c>
      <c r="E299">
        <v>363.73001099999999</v>
      </c>
      <c r="F299">
        <v>375.22000100000002</v>
      </c>
      <c r="G299">
        <v>375.22000100000002</v>
      </c>
      <c r="H299">
        <v>3927920000</v>
      </c>
      <c r="I299"/>
      <c r="J299" s="30">
        <f t="shared" si="4"/>
        <v>2.2202832823658314E-2</v>
      </c>
    </row>
    <row r="300" spans="2:10" x14ac:dyDescent="0.3">
      <c r="B300" s="29">
        <v>33329</v>
      </c>
      <c r="C300">
        <v>375.22000100000002</v>
      </c>
      <c r="D300">
        <v>391.26001000000002</v>
      </c>
      <c r="E300">
        <v>370.26998900000001</v>
      </c>
      <c r="F300">
        <v>375.33999599999999</v>
      </c>
      <c r="G300">
        <v>375.33999599999999</v>
      </c>
      <c r="H300">
        <v>4017200000</v>
      </c>
      <c r="I300"/>
      <c r="J300" s="30">
        <f t="shared" si="4"/>
        <v>3.1979905037093914E-4</v>
      </c>
    </row>
    <row r="301" spans="2:10" x14ac:dyDescent="0.3">
      <c r="B301" s="29">
        <v>33359</v>
      </c>
      <c r="C301">
        <v>375.35000600000001</v>
      </c>
      <c r="D301">
        <v>389.85000600000001</v>
      </c>
      <c r="E301">
        <v>365.82998700000002</v>
      </c>
      <c r="F301">
        <v>389.82998700000002</v>
      </c>
      <c r="G301">
        <v>389.82998700000002</v>
      </c>
      <c r="H301">
        <v>3739700000</v>
      </c>
      <c r="I301"/>
      <c r="J301" s="30">
        <f t="shared" si="4"/>
        <v>3.8604974568178019E-2</v>
      </c>
    </row>
    <row r="302" spans="2:10" x14ac:dyDescent="0.3">
      <c r="B302" s="29">
        <v>33390</v>
      </c>
      <c r="C302">
        <v>389.80999800000001</v>
      </c>
      <c r="D302">
        <v>389.80999800000001</v>
      </c>
      <c r="E302">
        <v>367.98001099999999</v>
      </c>
      <c r="F302">
        <v>371.16000400000001</v>
      </c>
      <c r="G302">
        <v>371.16000400000001</v>
      </c>
      <c r="H302">
        <v>3258730000</v>
      </c>
      <c r="I302"/>
      <c r="J302" s="30">
        <f t="shared" si="4"/>
        <v>-4.7892629152718302E-2</v>
      </c>
    </row>
    <row r="303" spans="2:10" x14ac:dyDescent="0.3">
      <c r="B303" s="29">
        <v>33420</v>
      </c>
      <c r="C303">
        <v>371.17999300000002</v>
      </c>
      <c r="D303">
        <v>387.80999800000001</v>
      </c>
      <c r="E303">
        <v>370.92001299999998</v>
      </c>
      <c r="F303">
        <v>387.80999800000001</v>
      </c>
      <c r="G303">
        <v>387.80999800000001</v>
      </c>
      <c r="H303">
        <v>3481570000</v>
      </c>
      <c r="I303"/>
      <c r="J303" s="30">
        <f t="shared" si="4"/>
        <v>4.4859343195825518E-2</v>
      </c>
    </row>
    <row r="304" spans="2:10" x14ac:dyDescent="0.3">
      <c r="B304" s="29">
        <v>33451</v>
      </c>
      <c r="C304">
        <v>387.80999800000001</v>
      </c>
      <c r="D304">
        <v>396.82000699999998</v>
      </c>
      <c r="E304">
        <v>374.08999599999999</v>
      </c>
      <c r="F304">
        <v>395.42999300000002</v>
      </c>
      <c r="G304">
        <v>395.42999300000002</v>
      </c>
      <c r="H304">
        <v>3713820000</v>
      </c>
      <c r="I304"/>
      <c r="J304" s="30">
        <f t="shared" si="4"/>
        <v>1.9648784299779676E-2</v>
      </c>
    </row>
    <row r="305" spans="2:10" x14ac:dyDescent="0.3">
      <c r="B305" s="29">
        <v>33482</v>
      </c>
      <c r="C305">
        <v>395.42999300000002</v>
      </c>
      <c r="D305">
        <v>397.61999500000002</v>
      </c>
      <c r="E305">
        <v>382.76998900000001</v>
      </c>
      <c r="F305">
        <v>387.85998499999999</v>
      </c>
      <c r="G305">
        <v>387.85998499999999</v>
      </c>
      <c r="H305">
        <v>3260990000</v>
      </c>
      <c r="I305"/>
      <c r="J305" s="30">
        <f t="shared" si="4"/>
        <v>-1.9143737536368444E-2</v>
      </c>
    </row>
    <row r="306" spans="2:10" x14ac:dyDescent="0.3">
      <c r="B306" s="29">
        <v>33512</v>
      </c>
      <c r="C306">
        <v>387.85998499999999</v>
      </c>
      <c r="D306">
        <v>393.80999800000001</v>
      </c>
      <c r="E306">
        <v>376.10998499999999</v>
      </c>
      <c r="F306">
        <v>392.45001200000002</v>
      </c>
      <c r="G306">
        <v>392.45001200000002</v>
      </c>
      <c r="H306">
        <v>4082380000</v>
      </c>
      <c r="I306"/>
      <c r="J306" s="30">
        <f t="shared" si="4"/>
        <v>1.1834237037883666E-2</v>
      </c>
    </row>
    <row r="307" spans="2:10" x14ac:dyDescent="0.3">
      <c r="B307" s="29">
        <v>33543</v>
      </c>
      <c r="C307">
        <v>392.459991</v>
      </c>
      <c r="D307">
        <v>398.22000100000002</v>
      </c>
      <c r="E307">
        <v>371.63000499999998</v>
      </c>
      <c r="F307">
        <v>375.22000100000002</v>
      </c>
      <c r="G307">
        <v>375.22000100000002</v>
      </c>
      <c r="H307">
        <v>3737620000</v>
      </c>
      <c r="I307"/>
      <c r="J307" s="30">
        <f t="shared" si="4"/>
        <v>-4.3903708684304932E-2</v>
      </c>
    </row>
    <row r="308" spans="2:10" x14ac:dyDescent="0.3">
      <c r="B308" s="29">
        <v>33573</v>
      </c>
      <c r="C308">
        <v>375.10998499999999</v>
      </c>
      <c r="D308">
        <v>418.32000699999998</v>
      </c>
      <c r="E308">
        <v>371.35998499999999</v>
      </c>
      <c r="F308">
        <v>417.08999599999999</v>
      </c>
      <c r="G308">
        <v>417.08999599999999</v>
      </c>
      <c r="H308">
        <v>4155310000</v>
      </c>
      <c r="I308"/>
      <c r="J308" s="30">
        <f t="shared" si="4"/>
        <v>0.11158785482760014</v>
      </c>
    </row>
    <row r="309" spans="2:10" x14ac:dyDescent="0.3">
      <c r="B309" s="29">
        <v>33604</v>
      </c>
      <c r="C309">
        <v>417.02999899999998</v>
      </c>
      <c r="D309">
        <v>421.17999300000002</v>
      </c>
      <c r="E309">
        <v>408.64001500000001</v>
      </c>
      <c r="F309">
        <v>408.77999899999998</v>
      </c>
      <c r="G309">
        <v>408.77999899999998</v>
      </c>
      <c r="H309">
        <v>5286280000</v>
      </c>
      <c r="I309"/>
      <c r="J309" s="30">
        <f t="shared" si="4"/>
        <v>-1.9923750460799861E-2</v>
      </c>
    </row>
    <row r="310" spans="2:10" x14ac:dyDescent="0.3">
      <c r="B310" s="29">
        <v>33635</v>
      </c>
      <c r="C310">
        <v>408.790009</v>
      </c>
      <c r="D310">
        <v>418.07998700000002</v>
      </c>
      <c r="E310">
        <v>406.33999599999999</v>
      </c>
      <c r="F310">
        <v>412.70001200000002</v>
      </c>
      <c r="G310">
        <v>412.70001200000002</v>
      </c>
      <c r="H310">
        <v>4267610000</v>
      </c>
      <c r="I310"/>
      <c r="J310" s="30">
        <f t="shared" si="4"/>
        <v>9.5895420754186222E-3</v>
      </c>
    </row>
    <row r="311" spans="2:10" x14ac:dyDescent="0.3">
      <c r="B311" s="29">
        <v>33664</v>
      </c>
      <c r="C311">
        <v>412.67999300000002</v>
      </c>
      <c r="D311">
        <v>413.77999899999998</v>
      </c>
      <c r="E311">
        <v>401.94000199999999</v>
      </c>
      <c r="F311">
        <v>403.69000199999999</v>
      </c>
      <c r="G311">
        <v>403.69000199999999</v>
      </c>
      <c r="H311">
        <v>4066240000</v>
      </c>
      <c r="I311"/>
      <c r="J311" s="30">
        <f t="shared" si="4"/>
        <v>-2.1831862704186245E-2</v>
      </c>
    </row>
    <row r="312" spans="2:10" x14ac:dyDescent="0.3">
      <c r="B312" s="29">
        <v>33695</v>
      </c>
      <c r="C312">
        <v>403.67001299999998</v>
      </c>
      <c r="D312">
        <v>416.27999899999998</v>
      </c>
      <c r="E312">
        <v>392.41000400000001</v>
      </c>
      <c r="F312">
        <v>414.95001200000002</v>
      </c>
      <c r="G312">
        <v>414.95001200000002</v>
      </c>
      <c r="H312">
        <v>4315840000</v>
      </c>
      <c r="I312"/>
      <c r="J312" s="30">
        <f t="shared" si="4"/>
        <v>2.7892714568640731E-2</v>
      </c>
    </row>
    <row r="313" spans="2:10" x14ac:dyDescent="0.3">
      <c r="B313" s="29">
        <v>33725</v>
      </c>
      <c r="C313">
        <v>414.95001200000002</v>
      </c>
      <c r="D313">
        <v>418.75</v>
      </c>
      <c r="E313">
        <v>409.85000600000001</v>
      </c>
      <c r="F313">
        <v>415.35000600000001</v>
      </c>
      <c r="G313">
        <v>415.35000600000001</v>
      </c>
      <c r="H313">
        <v>3643980000</v>
      </c>
      <c r="I313"/>
      <c r="J313" s="30">
        <f t="shared" si="4"/>
        <v>9.6395707538854403E-4</v>
      </c>
    </row>
    <row r="314" spans="2:10" x14ac:dyDescent="0.3">
      <c r="B314" s="29">
        <v>33756</v>
      </c>
      <c r="C314">
        <v>415.35000600000001</v>
      </c>
      <c r="D314">
        <v>417.29998799999998</v>
      </c>
      <c r="E314">
        <v>399.92001299999998</v>
      </c>
      <c r="F314">
        <v>408.14001500000001</v>
      </c>
      <c r="G314">
        <v>408.14001500000001</v>
      </c>
      <c r="H314">
        <v>4259830000</v>
      </c>
      <c r="I314"/>
      <c r="J314" s="30">
        <f t="shared" si="4"/>
        <v>-1.7358832059340301E-2</v>
      </c>
    </row>
    <row r="315" spans="2:10" x14ac:dyDescent="0.3">
      <c r="B315" s="29">
        <v>33786</v>
      </c>
      <c r="C315">
        <v>408.20001200000002</v>
      </c>
      <c r="D315">
        <v>424.79998799999998</v>
      </c>
      <c r="E315">
        <v>407.20001200000002</v>
      </c>
      <c r="F315">
        <v>424.209991</v>
      </c>
      <c r="G315">
        <v>424.209991</v>
      </c>
      <c r="H315">
        <v>4265220000</v>
      </c>
      <c r="I315"/>
      <c r="J315" s="30">
        <f t="shared" si="4"/>
        <v>3.9373684053008118E-2</v>
      </c>
    </row>
    <row r="316" spans="2:10" x14ac:dyDescent="0.3">
      <c r="B316" s="29">
        <v>33817</v>
      </c>
      <c r="C316">
        <v>424.19000199999999</v>
      </c>
      <c r="D316">
        <v>425.14001500000001</v>
      </c>
      <c r="E316">
        <v>408.29998799999998</v>
      </c>
      <c r="F316">
        <v>414.02999899999998</v>
      </c>
      <c r="G316">
        <v>414.02999899999998</v>
      </c>
      <c r="H316">
        <v>3653820000</v>
      </c>
      <c r="I316"/>
      <c r="J316" s="30">
        <f t="shared" si="4"/>
        <v>-2.3997530034600256E-2</v>
      </c>
    </row>
    <row r="317" spans="2:10" x14ac:dyDescent="0.3">
      <c r="B317" s="29">
        <v>33848</v>
      </c>
      <c r="C317">
        <v>414.02999899999998</v>
      </c>
      <c r="D317">
        <v>425.26998900000001</v>
      </c>
      <c r="E317">
        <v>412.709991</v>
      </c>
      <c r="F317">
        <v>417.79998799999998</v>
      </c>
      <c r="G317">
        <v>417.79998799999998</v>
      </c>
      <c r="H317">
        <v>4023850000</v>
      </c>
      <c r="I317"/>
      <c r="J317" s="30">
        <f t="shared" si="4"/>
        <v>9.105593819543456E-3</v>
      </c>
    </row>
    <row r="318" spans="2:10" x14ac:dyDescent="0.3">
      <c r="B318" s="29">
        <v>33878</v>
      </c>
      <c r="C318">
        <v>417.79998799999998</v>
      </c>
      <c r="D318">
        <v>421.16000400000001</v>
      </c>
      <c r="E318">
        <v>396.79998799999998</v>
      </c>
      <c r="F318">
        <v>418.67999300000002</v>
      </c>
      <c r="G318">
        <v>418.67999300000002</v>
      </c>
      <c r="H318">
        <v>4507010000</v>
      </c>
      <c r="I318"/>
      <c r="J318" s="30">
        <f t="shared" si="4"/>
        <v>2.1062829709799225E-3</v>
      </c>
    </row>
    <row r="319" spans="2:10" x14ac:dyDescent="0.3">
      <c r="B319" s="29">
        <v>33909</v>
      </c>
      <c r="C319">
        <v>418.66000400000001</v>
      </c>
      <c r="D319">
        <v>431.92999300000002</v>
      </c>
      <c r="E319">
        <v>415.57998700000002</v>
      </c>
      <c r="F319">
        <v>431.35000600000001</v>
      </c>
      <c r="G319">
        <v>431.35000600000001</v>
      </c>
      <c r="H319">
        <v>4148770000</v>
      </c>
      <c r="I319"/>
      <c r="J319" s="30">
        <f t="shared" si="4"/>
        <v>3.0261806658623769E-2</v>
      </c>
    </row>
    <row r="320" spans="2:10" x14ac:dyDescent="0.3">
      <c r="B320" s="29">
        <v>33939</v>
      </c>
      <c r="C320">
        <v>431.35000600000001</v>
      </c>
      <c r="D320">
        <v>442.64999399999999</v>
      </c>
      <c r="E320">
        <v>428.60998499999999</v>
      </c>
      <c r="F320">
        <v>435.709991</v>
      </c>
      <c r="G320">
        <v>435.709991</v>
      </c>
      <c r="H320">
        <v>4876150000</v>
      </c>
      <c r="I320"/>
      <c r="J320" s="30">
        <f t="shared" si="4"/>
        <v>1.0107766174460187E-2</v>
      </c>
    </row>
    <row r="321" spans="2:10" x14ac:dyDescent="0.3">
      <c r="B321" s="29">
        <v>33970</v>
      </c>
      <c r="C321">
        <v>435.70001200000002</v>
      </c>
      <c r="D321">
        <v>442.66000400000001</v>
      </c>
      <c r="E321">
        <v>426.88000499999998</v>
      </c>
      <c r="F321">
        <v>438.77999899999998</v>
      </c>
      <c r="G321">
        <v>438.77999899999998</v>
      </c>
      <c r="H321">
        <v>5280850000</v>
      </c>
      <c r="I321"/>
      <c r="J321" s="30">
        <f t="shared" si="4"/>
        <v>7.0459894503542841E-3</v>
      </c>
    </row>
    <row r="322" spans="2:10" x14ac:dyDescent="0.3">
      <c r="B322" s="29">
        <v>34001</v>
      </c>
      <c r="C322">
        <v>438.77999899999998</v>
      </c>
      <c r="D322">
        <v>450.040009</v>
      </c>
      <c r="E322">
        <v>428.25</v>
      </c>
      <c r="F322">
        <v>443.38000499999998</v>
      </c>
      <c r="G322">
        <v>443.38000499999998</v>
      </c>
      <c r="H322">
        <v>5442450000</v>
      </c>
      <c r="I322"/>
      <c r="J322" s="30">
        <f t="shared" si="4"/>
        <v>1.0483627354217706E-2</v>
      </c>
    </row>
    <row r="323" spans="2:10" x14ac:dyDescent="0.3">
      <c r="B323" s="29">
        <v>34029</v>
      </c>
      <c r="C323">
        <v>443.38000499999998</v>
      </c>
      <c r="D323">
        <v>456.76001000000002</v>
      </c>
      <c r="E323">
        <v>441.07000699999998</v>
      </c>
      <c r="F323">
        <v>451.67001299999998</v>
      </c>
      <c r="G323">
        <v>451.67001299999998</v>
      </c>
      <c r="H323">
        <v>5766950000</v>
      </c>
      <c r="I323"/>
      <c r="J323" s="30">
        <f t="shared" si="4"/>
        <v>1.8697297817929392E-2</v>
      </c>
    </row>
    <row r="324" spans="2:10" x14ac:dyDescent="0.3">
      <c r="B324" s="29">
        <v>34060</v>
      </c>
      <c r="C324">
        <v>451.67001299999998</v>
      </c>
      <c r="D324">
        <v>452.63000499999998</v>
      </c>
      <c r="E324">
        <v>432.29998799999998</v>
      </c>
      <c r="F324">
        <v>440.19000199999999</v>
      </c>
      <c r="G324">
        <v>440.19000199999999</v>
      </c>
      <c r="H324">
        <v>5853170000</v>
      </c>
      <c r="I324"/>
      <c r="J324" s="30">
        <f t="shared" si="4"/>
        <v>-2.5416810214496155E-2</v>
      </c>
    </row>
    <row r="325" spans="2:10" x14ac:dyDescent="0.3">
      <c r="B325" s="29">
        <v>34090</v>
      </c>
      <c r="C325">
        <v>440.19000199999999</v>
      </c>
      <c r="D325">
        <v>454.54998799999998</v>
      </c>
      <c r="E325">
        <v>436.85998499999999</v>
      </c>
      <c r="F325">
        <v>450.19000199999999</v>
      </c>
      <c r="G325">
        <v>450.19000199999999</v>
      </c>
      <c r="H325">
        <v>5108640000</v>
      </c>
      <c r="I325"/>
      <c r="J325" s="30">
        <f t="shared" si="4"/>
        <v>2.2717462810525113E-2</v>
      </c>
    </row>
    <row r="326" spans="2:10" x14ac:dyDescent="0.3">
      <c r="B326" s="29">
        <v>34121</v>
      </c>
      <c r="C326">
        <v>450.23001099999999</v>
      </c>
      <c r="D326">
        <v>455.63000499999998</v>
      </c>
      <c r="E326">
        <v>442.5</v>
      </c>
      <c r="F326">
        <v>450.52999899999998</v>
      </c>
      <c r="G326">
        <v>450.52999899999998</v>
      </c>
      <c r="H326">
        <v>5544400000</v>
      </c>
      <c r="I326"/>
      <c r="J326" s="30">
        <f t="shared" si="4"/>
        <v>7.5523001063881878E-4</v>
      </c>
    </row>
    <row r="327" spans="2:10" x14ac:dyDescent="0.3">
      <c r="B327" s="29">
        <v>34151</v>
      </c>
      <c r="C327">
        <v>450.540009</v>
      </c>
      <c r="D327">
        <v>451.14999399999999</v>
      </c>
      <c r="E327">
        <v>441.39999399999999</v>
      </c>
      <c r="F327">
        <v>448.13000499999998</v>
      </c>
      <c r="G327">
        <v>448.13000499999998</v>
      </c>
      <c r="H327">
        <v>5308530000</v>
      </c>
      <c r="I327"/>
      <c r="J327" s="30">
        <f t="shared" si="4"/>
        <v>-5.3270459355138078E-3</v>
      </c>
    </row>
    <row r="328" spans="2:10" x14ac:dyDescent="0.3">
      <c r="B328" s="29">
        <v>34182</v>
      </c>
      <c r="C328">
        <v>448.13000499999998</v>
      </c>
      <c r="D328">
        <v>463.55999800000001</v>
      </c>
      <c r="E328">
        <v>446.94000199999999</v>
      </c>
      <c r="F328">
        <v>463.55999800000001</v>
      </c>
      <c r="G328">
        <v>463.55999800000001</v>
      </c>
      <c r="H328">
        <v>5506200000</v>
      </c>
      <c r="I328"/>
      <c r="J328" s="30">
        <f t="shared" si="4"/>
        <v>3.4431956860375923E-2</v>
      </c>
    </row>
    <row r="329" spans="2:10" x14ac:dyDescent="0.3">
      <c r="B329" s="29">
        <v>34213</v>
      </c>
      <c r="C329">
        <v>463.54998799999998</v>
      </c>
      <c r="D329">
        <v>463.79998799999998</v>
      </c>
      <c r="E329">
        <v>449.64001500000001</v>
      </c>
      <c r="F329">
        <v>458.92999300000002</v>
      </c>
      <c r="G329">
        <v>458.92999300000002</v>
      </c>
      <c r="H329">
        <v>5552720000</v>
      </c>
      <c r="I329"/>
      <c r="J329" s="30">
        <f t="shared" si="4"/>
        <v>-9.9879304080935372E-3</v>
      </c>
    </row>
    <row r="330" spans="2:10" x14ac:dyDescent="0.3">
      <c r="B330" s="29">
        <v>34243</v>
      </c>
      <c r="C330">
        <v>458.92999300000002</v>
      </c>
      <c r="D330">
        <v>471.10000600000001</v>
      </c>
      <c r="E330">
        <v>456.39999399999999</v>
      </c>
      <c r="F330">
        <v>467.82998700000002</v>
      </c>
      <c r="G330">
        <v>467.82998700000002</v>
      </c>
      <c r="H330">
        <v>5940460000</v>
      </c>
      <c r="I330"/>
      <c r="J330" s="30">
        <f t="shared" si="4"/>
        <v>1.9392922963742842E-2</v>
      </c>
    </row>
    <row r="331" spans="2:10" x14ac:dyDescent="0.3">
      <c r="B331" s="29">
        <v>34274</v>
      </c>
      <c r="C331">
        <v>467.82998700000002</v>
      </c>
      <c r="D331">
        <v>469.10998499999999</v>
      </c>
      <c r="E331">
        <v>454.35998499999999</v>
      </c>
      <c r="F331">
        <v>461.790009</v>
      </c>
      <c r="G331">
        <v>461.790009</v>
      </c>
      <c r="H331">
        <v>5876610000</v>
      </c>
      <c r="I331"/>
      <c r="J331" s="30">
        <f t="shared" ref="J331:J394" si="5">F331/F330-1</f>
        <v>-1.2910626013377002E-2</v>
      </c>
    </row>
    <row r="332" spans="2:10" x14ac:dyDescent="0.3">
      <c r="B332" s="29">
        <v>34304</v>
      </c>
      <c r="C332">
        <v>461.92999300000002</v>
      </c>
      <c r="D332">
        <v>471.290009</v>
      </c>
      <c r="E332">
        <v>461.45001200000002</v>
      </c>
      <c r="F332">
        <v>466.45001200000002</v>
      </c>
      <c r="G332">
        <v>466.45001200000002</v>
      </c>
      <c r="H332">
        <v>5791210000</v>
      </c>
      <c r="I332"/>
      <c r="J332" s="30">
        <f t="shared" si="5"/>
        <v>1.0091173280450949E-2</v>
      </c>
    </row>
    <row r="333" spans="2:10" x14ac:dyDescent="0.3">
      <c r="B333" s="29">
        <v>34335</v>
      </c>
      <c r="C333">
        <v>466.51001000000002</v>
      </c>
      <c r="D333">
        <v>482.85000600000001</v>
      </c>
      <c r="E333">
        <v>464.35998499999999</v>
      </c>
      <c r="F333">
        <v>481.60998499999999</v>
      </c>
      <c r="G333">
        <v>481.60998499999999</v>
      </c>
      <c r="H333">
        <v>6627390000</v>
      </c>
      <c r="I333"/>
      <c r="J333" s="30">
        <f t="shared" si="5"/>
        <v>3.2500745224549377E-2</v>
      </c>
    </row>
    <row r="334" spans="2:10" x14ac:dyDescent="0.3">
      <c r="B334" s="29">
        <v>34366</v>
      </c>
      <c r="C334">
        <v>481.60000600000001</v>
      </c>
      <c r="D334">
        <v>482.23001099999999</v>
      </c>
      <c r="E334">
        <v>464.26001000000002</v>
      </c>
      <c r="F334">
        <v>467.14001500000001</v>
      </c>
      <c r="G334">
        <v>467.14001500000001</v>
      </c>
      <c r="H334">
        <v>5853100000</v>
      </c>
      <c r="I334"/>
      <c r="J334" s="30">
        <f t="shared" si="5"/>
        <v>-3.0044995848663714E-2</v>
      </c>
    </row>
    <row r="335" spans="2:10" x14ac:dyDescent="0.3">
      <c r="B335" s="29">
        <v>34394</v>
      </c>
      <c r="C335">
        <v>467.19000199999999</v>
      </c>
      <c r="D335">
        <v>471.08999599999999</v>
      </c>
      <c r="E335">
        <v>436.16000400000001</v>
      </c>
      <c r="F335">
        <v>445.76998900000001</v>
      </c>
      <c r="G335">
        <v>445.76998900000001</v>
      </c>
      <c r="H335">
        <v>7225010000</v>
      </c>
      <c r="I335"/>
      <c r="J335" s="30">
        <f t="shared" si="5"/>
        <v>-4.5746511353774721E-2</v>
      </c>
    </row>
    <row r="336" spans="2:10" x14ac:dyDescent="0.3">
      <c r="B336" s="29">
        <v>34425</v>
      </c>
      <c r="C336">
        <v>445.66000400000001</v>
      </c>
      <c r="D336">
        <v>452.790009</v>
      </c>
      <c r="E336">
        <v>435.85998499999999</v>
      </c>
      <c r="F336">
        <v>450.91000400000001</v>
      </c>
      <c r="G336">
        <v>450.91000400000001</v>
      </c>
      <c r="H336">
        <v>5735010000</v>
      </c>
      <c r="I336"/>
      <c r="J336" s="30">
        <f t="shared" si="5"/>
        <v>1.1530643889981596E-2</v>
      </c>
    </row>
    <row r="337" spans="2:10" x14ac:dyDescent="0.3">
      <c r="B337" s="29">
        <v>34455</v>
      </c>
      <c r="C337">
        <v>450.91000400000001</v>
      </c>
      <c r="D337">
        <v>457.76998900000001</v>
      </c>
      <c r="E337">
        <v>440.77999899999998</v>
      </c>
      <c r="F337">
        <v>456.5</v>
      </c>
      <c r="G337">
        <v>456.5</v>
      </c>
      <c r="H337">
        <v>5675970000</v>
      </c>
      <c r="I337"/>
      <c r="J337" s="30">
        <f t="shared" si="5"/>
        <v>1.2397143444171643E-2</v>
      </c>
    </row>
    <row r="338" spans="2:10" x14ac:dyDescent="0.3">
      <c r="B338" s="29">
        <v>34486</v>
      </c>
      <c r="C338">
        <v>456.5</v>
      </c>
      <c r="D338">
        <v>463.23001099999999</v>
      </c>
      <c r="E338">
        <v>439.82998700000002</v>
      </c>
      <c r="F338">
        <v>444.26998900000001</v>
      </c>
      <c r="G338">
        <v>444.26998900000001</v>
      </c>
      <c r="H338">
        <v>5852670000</v>
      </c>
      <c r="I338"/>
      <c r="J338" s="30">
        <f t="shared" si="5"/>
        <v>-2.6790823658269458E-2</v>
      </c>
    </row>
    <row r="339" spans="2:10" x14ac:dyDescent="0.3">
      <c r="B339" s="29">
        <v>34516</v>
      </c>
      <c r="C339">
        <v>444.26998900000001</v>
      </c>
      <c r="D339">
        <v>459.32998700000002</v>
      </c>
      <c r="E339">
        <v>443.57998700000002</v>
      </c>
      <c r="F339">
        <v>458.26001000000002</v>
      </c>
      <c r="G339">
        <v>458.26001000000002</v>
      </c>
      <c r="H339">
        <v>4980100000</v>
      </c>
      <c r="I339"/>
      <c r="J339" s="30">
        <f t="shared" si="5"/>
        <v>3.148990781819383E-2</v>
      </c>
    </row>
    <row r="340" spans="2:10" x14ac:dyDescent="0.3">
      <c r="B340" s="29">
        <v>34547</v>
      </c>
      <c r="C340">
        <v>458.27999899999998</v>
      </c>
      <c r="D340">
        <v>477.58999599999999</v>
      </c>
      <c r="E340">
        <v>456.07998700000002</v>
      </c>
      <c r="F340">
        <v>475.48998999999998</v>
      </c>
      <c r="G340">
        <v>475.48998999999998</v>
      </c>
      <c r="H340">
        <v>6398750000</v>
      </c>
      <c r="I340"/>
      <c r="J340" s="30">
        <f t="shared" si="5"/>
        <v>3.7598698607805625E-2</v>
      </c>
    </row>
    <row r="341" spans="2:10" x14ac:dyDescent="0.3">
      <c r="B341" s="29">
        <v>34578</v>
      </c>
      <c r="C341">
        <v>475.48998999999998</v>
      </c>
      <c r="D341">
        <v>475.48998999999998</v>
      </c>
      <c r="E341">
        <v>458.47000100000002</v>
      </c>
      <c r="F341">
        <v>462.709991</v>
      </c>
      <c r="G341">
        <v>462.709991</v>
      </c>
      <c r="H341">
        <v>6152870000</v>
      </c>
      <c r="I341"/>
      <c r="J341" s="30">
        <f t="shared" si="5"/>
        <v>-2.6877535318882262E-2</v>
      </c>
    </row>
    <row r="342" spans="2:10" x14ac:dyDescent="0.3">
      <c r="B342" s="29">
        <v>34608</v>
      </c>
      <c r="C342">
        <v>462.69000199999999</v>
      </c>
      <c r="D342">
        <v>474.73998999999998</v>
      </c>
      <c r="E342">
        <v>449.26998900000001</v>
      </c>
      <c r="F342">
        <v>472.35000600000001</v>
      </c>
      <c r="G342">
        <v>472.35000600000001</v>
      </c>
      <c r="H342">
        <v>6344700000</v>
      </c>
      <c r="I342"/>
      <c r="J342" s="30">
        <f t="shared" si="5"/>
        <v>2.0833816402291649E-2</v>
      </c>
    </row>
    <row r="343" spans="2:10" x14ac:dyDescent="0.3">
      <c r="B343" s="29">
        <v>34639</v>
      </c>
      <c r="C343">
        <v>472.26001000000002</v>
      </c>
      <c r="D343">
        <v>472.26001000000002</v>
      </c>
      <c r="E343">
        <v>444.17999300000002</v>
      </c>
      <c r="F343">
        <v>453.69000199999999</v>
      </c>
      <c r="G343">
        <v>453.69000199999999</v>
      </c>
      <c r="H343">
        <v>6251240000</v>
      </c>
      <c r="I343"/>
      <c r="J343" s="30">
        <f t="shared" si="5"/>
        <v>-3.9504612602884182E-2</v>
      </c>
    </row>
    <row r="344" spans="2:10" x14ac:dyDescent="0.3">
      <c r="B344" s="29">
        <v>34669</v>
      </c>
      <c r="C344">
        <v>453.54998799999998</v>
      </c>
      <c r="D344">
        <v>462.73001099999999</v>
      </c>
      <c r="E344">
        <v>442.88000499999998</v>
      </c>
      <c r="F344">
        <v>459.26998900000001</v>
      </c>
      <c r="G344">
        <v>459.26998900000001</v>
      </c>
      <c r="H344">
        <v>6351530000</v>
      </c>
      <c r="I344"/>
      <c r="J344" s="30">
        <f t="shared" si="5"/>
        <v>1.22991182864991E-2</v>
      </c>
    </row>
    <row r="345" spans="2:10" x14ac:dyDescent="0.3">
      <c r="B345" s="29">
        <v>34700</v>
      </c>
      <c r="C345">
        <v>459.209991</v>
      </c>
      <c r="D345">
        <v>471.35998499999999</v>
      </c>
      <c r="E345">
        <v>457.20001200000002</v>
      </c>
      <c r="F345">
        <v>470.42001299999998</v>
      </c>
      <c r="G345">
        <v>470.42001299999998</v>
      </c>
      <c r="H345">
        <v>6852060000</v>
      </c>
      <c r="I345"/>
      <c r="J345" s="30">
        <f t="shared" si="5"/>
        <v>2.4277710860832968E-2</v>
      </c>
    </row>
    <row r="346" spans="2:10" x14ac:dyDescent="0.3">
      <c r="B346" s="29">
        <v>34731</v>
      </c>
      <c r="C346">
        <v>470.42001299999998</v>
      </c>
      <c r="D346">
        <v>489.19000199999999</v>
      </c>
      <c r="E346">
        <v>469.290009</v>
      </c>
      <c r="F346">
        <v>487.39001500000001</v>
      </c>
      <c r="G346">
        <v>487.39001500000001</v>
      </c>
      <c r="H346">
        <v>6330100000</v>
      </c>
      <c r="I346"/>
      <c r="J346" s="30">
        <f t="shared" si="5"/>
        <v>3.6074149761991636E-2</v>
      </c>
    </row>
    <row r="347" spans="2:10" x14ac:dyDescent="0.3">
      <c r="B347" s="29">
        <v>34759</v>
      </c>
      <c r="C347">
        <v>487.39001500000001</v>
      </c>
      <c r="D347">
        <v>508.14999399999999</v>
      </c>
      <c r="E347">
        <v>479.70001200000002</v>
      </c>
      <c r="F347">
        <v>500.709991</v>
      </c>
      <c r="G347">
        <v>500.709991</v>
      </c>
      <c r="H347">
        <v>7792400000</v>
      </c>
      <c r="I347"/>
      <c r="J347" s="30">
        <f t="shared" si="5"/>
        <v>2.7329193438646815E-2</v>
      </c>
    </row>
    <row r="348" spans="2:10" x14ac:dyDescent="0.3">
      <c r="B348" s="29">
        <v>34790</v>
      </c>
      <c r="C348">
        <v>500.70001200000002</v>
      </c>
      <c r="D348">
        <v>515.28997800000002</v>
      </c>
      <c r="E348">
        <v>500.20001200000002</v>
      </c>
      <c r="F348">
        <v>514.71002199999998</v>
      </c>
      <c r="G348">
        <v>514.71002199999998</v>
      </c>
      <c r="H348">
        <v>6307030000</v>
      </c>
      <c r="I348"/>
      <c r="J348" s="30">
        <f t="shared" si="5"/>
        <v>2.7960358793799323E-2</v>
      </c>
    </row>
    <row r="349" spans="2:10" x14ac:dyDescent="0.3">
      <c r="B349" s="29">
        <v>34820</v>
      </c>
      <c r="C349">
        <v>514.76000999999997</v>
      </c>
      <c r="D349">
        <v>533.40997300000004</v>
      </c>
      <c r="E349">
        <v>513.03002900000001</v>
      </c>
      <c r="F349">
        <v>533.40002400000003</v>
      </c>
      <c r="G349">
        <v>533.40002400000003</v>
      </c>
      <c r="H349">
        <v>7555690000</v>
      </c>
      <c r="I349"/>
      <c r="J349" s="30">
        <f t="shared" si="5"/>
        <v>3.6311711839953409E-2</v>
      </c>
    </row>
    <row r="350" spans="2:10" x14ac:dyDescent="0.3">
      <c r="B350" s="29">
        <v>34851</v>
      </c>
      <c r="C350">
        <v>533.40002400000003</v>
      </c>
      <c r="D350">
        <v>551.07000700000003</v>
      </c>
      <c r="E350">
        <v>526</v>
      </c>
      <c r="F350">
        <v>544.75</v>
      </c>
      <c r="G350">
        <v>544.75</v>
      </c>
      <c r="H350">
        <v>7555650000</v>
      </c>
      <c r="I350"/>
      <c r="J350" s="30">
        <f t="shared" si="5"/>
        <v>2.1278544224437423E-2</v>
      </c>
    </row>
    <row r="351" spans="2:10" x14ac:dyDescent="0.3">
      <c r="B351" s="29">
        <v>34881</v>
      </c>
      <c r="C351">
        <v>544.75</v>
      </c>
      <c r="D351">
        <v>565.40002400000003</v>
      </c>
      <c r="E351">
        <v>542.51000999999997</v>
      </c>
      <c r="F351">
        <v>562.05999799999995</v>
      </c>
      <c r="G351">
        <v>562.05999799999995</v>
      </c>
      <c r="H351">
        <v>7307960000</v>
      </c>
      <c r="I351"/>
      <c r="J351" s="30">
        <f t="shared" si="5"/>
        <v>3.1776040385497861E-2</v>
      </c>
    </row>
    <row r="352" spans="2:10" x14ac:dyDescent="0.3">
      <c r="B352" s="29">
        <v>34912</v>
      </c>
      <c r="C352">
        <v>562.05999799999995</v>
      </c>
      <c r="D352">
        <v>565.61999500000002</v>
      </c>
      <c r="E352">
        <v>553.03997800000002</v>
      </c>
      <c r="F352">
        <v>561.88000499999998</v>
      </c>
      <c r="G352">
        <v>561.88000499999998</v>
      </c>
      <c r="H352">
        <v>7146620000</v>
      </c>
      <c r="I352"/>
      <c r="J352" s="30">
        <f t="shared" si="5"/>
        <v>-3.2023805401637517E-4</v>
      </c>
    </row>
    <row r="353" spans="2:10" x14ac:dyDescent="0.3">
      <c r="B353" s="29">
        <v>34943</v>
      </c>
      <c r="C353">
        <v>561.88000499999998</v>
      </c>
      <c r="D353">
        <v>587.60998500000005</v>
      </c>
      <c r="E353">
        <v>561.01000999999997</v>
      </c>
      <c r="F353">
        <v>584.40997300000004</v>
      </c>
      <c r="G353">
        <v>584.40997300000004</v>
      </c>
      <c r="H353">
        <v>7052830000</v>
      </c>
      <c r="I353"/>
      <c r="J353" s="30">
        <f t="shared" si="5"/>
        <v>4.0097472413171298E-2</v>
      </c>
    </row>
    <row r="354" spans="2:10" x14ac:dyDescent="0.3">
      <c r="B354" s="29">
        <v>34973</v>
      </c>
      <c r="C354">
        <v>584.40997300000004</v>
      </c>
      <c r="D354">
        <v>590.65997300000004</v>
      </c>
      <c r="E354">
        <v>571.54998799999998</v>
      </c>
      <c r="F354">
        <v>581.5</v>
      </c>
      <c r="G354">
        <v>581.5</v>
      </c>
      <c r="H354">
        <v>8043320000</v>
      </c>
      <c r="I354"/>
      <c r="J354" s="30">
        <f t="shared" si="5"/>
        <v>-4.9793349436904055E-3</v>
      </c>
    </row>
    <row r="355" spans="2:10" x14ac:dyDescent="0.3">
      <c r="B355" s="29">
        <v>35004</v>
      </c>
      <c r="C355">
        <v>581.5</v>
      </c>
      <c r="D355">
        <v>608.69000200000005</v>
      </c>
      <c r="E355">
        <v>581.03997800000002</v>
      </c>
      <c r="F355">
        <v>605.36999500000002</v>
      </c>
      <c r="G355">
        <v>605.36999500000002</v>
      </c>
      <c r="H355">
        <v>7602150000</v>
      </c>
      <c r="I355"/>
      <c r="J355" s="30">
        <f t="shared" si="5"/>
        <v>4.1049002579535809E-2</v>
      </c>
    </row>
    <row r="356" spans="2:10" x14ac:dyDescent="0.3">
      <c r="B356" s="29">
        <v>35034</v>
      </c>
      <c r="C356">
        <v>605.36999500000002</v>
      </c>
      <c r="D356">
        <v>622.88000499999998</v>
      </c>
      <c r="E356">
        <v>605.04998799999998</v>
      </c>
      <c r="F356">
        <v>615.92999299999997</v>
      </c>
      <c r="G356">
        <v>615.92999299999997</v>
      </c>
      <c r="H356">
        <v>7697540000</v>
      </c>
      <c r="I356"/>
      <c r="J356" s="30">
        <f t="shared" si="5"/>
        <v>1.7443874138492799E-2</v>
      </c>
    </row>
    <row r="357" spans="2:10" x14ac:dyDescent="0.3">
      <c r="B357" s="29">
        <v>35065</v>
      </c>
      <c r="C357">
        <v>615.92999299999997</v>
      </c>
      <c r="D357">
        <v>636.17999299999997</v>
      </c>
      <c r="E357">
        <v>597.28997800000002</v>
      </c>
      <c r="F357">
        <v>636.02002000000005</v>
      </c>
      <c r="G357">
        <v>636.02002000000005</v>
      </c>
      <c r="H357">
        <v>9188050000</v>
      </c>
      <c r="I357"/>
      <c r="J357" s="30">
        <f t="shared" si="5"/>
        <v>3.2617387086717242E-2</v>
      </c>
    </row>
    <row r="358" spans="2:10" x14ac:dyDescent="0.3">
      <c r="B358" s="29">
        <v>35096</v>
      </c>
      <c r="C358">
        <v>636.02002000000005</v>
      </c>
      <c r="D358">
        <v>664.22997999999995</v>
      </c>
      <c r="E358">
        <v>633.71002199999998</v>
      </c>
      <c r="F358">
        <v>640.42999299999997</v>
      </c>
      <c r="G358">
        <v>640.42999299999997</v>
      </c>
      <c r="H358">
        <v>8749960000</v>
      </c>
      <c r="I358"/>
      <c r="J358" s="30">
        <f t="shared" si="5"/>
        <v>6.933701552350291E-3</v>
      </c>
    </row>
    <row r="359" spans="2:10" x14ac:dyDescent="0.3">
      <c r="B359" s="29">
        <v>35125</v>
      </c>
      <c r="C359">
        <v>640.42999299999997</v>
      </c>
      <c r="D359">
        <v>656.96997099999999</v>
      </c>
      <c r="E359">
        <v>627.63000499999998</v>
      </c>
      <c r="F359">
        <v>645.5</v>
      </c>
      <c r="G359">
        <v>645.5</v>
      </c>
      <c r="H359">
        <v>8984200000</v>
      </c>
      <c r="I359"/>
      <c r="J359" s="30">
        <f t="shared" si="5"/>
        <v>7.9165670805803057E-3</v>
      </c>
    </row>
    <row r="360" spans="2:10" x14ac:dyDescent="0.3">
      <c r="B360" s="29">
        <v>35156</v>
      </c>
      <c r="C360">
        <v>645.5</v>
      </c>
      <c r="D360">
        <v>656.67999299999997</v>
      </c>
      <c r="E360">
        <v>624.14001499999995</v>
      </c>
      <c r="F360">
        <v>654.169983</v>
      </c>
      <c r="G360">
        <v>654.169983</v>
      </c>
      <c r="H360">
        <v>8875580000</v>
      </c>
      <c r="I360"/>
      <c r="J360" s="30">
        <f t="shared" si="5"/>
        <v>1.3431422153369565E-2</v>
      </c>
    </row>
    <row r="361" spans="2:10" x14ac:dyDescent="0.3">
      <c r="B361" s="29">
        <v>35186</v>
      </c>
      <c r="C361">
        <v>654.169983</v>
      </c>
      <c r="D361">
        <v>681.09997599999997</v>
      </c>
      <c r="E361">
        <v>630.07000700000003</v>
      </c>
      <c r="F361">
        <v>669.11999500000002</v>
      </c>
      <c r="G361">
        <v>669.11999500000002</v>
      </c>
      <c r="H361">
        <v>8921140000</v>
      </c>
      <c r="I361"/>
      <c r="J361" s="30">
        <f t="shared" si="5"/>
        <v>2.2853405672085048E-2</v>
      </c>
    </row>
    <row r="362" spans="2:10" x14ac:dyDescent="0.3">
      <c r="B362" s="29">
        <v>35217</v>
      </c>
      <c r="C362">
        <v>669.11999500000002</v>
      </c>
      <c r="D362">
        <v>680.32000700000003</v>
      </c>
      <c r="E362">
        <v>658.75</v>
      </c>
      <c r="F362">
        <v>670.63000499999998</v>
      </c>
      <c r="G362">
        <v>670.63000499999998</v>
      </c>
      <c r="H362">
        <v>7930840000</v>
      </c>
      <c r="I362"/>
      <c r="J362" s="30">
        <f t="shared" si="5"/>
        <v>2.2567103229369501E-3</v>
      </c>
    </row>
    <row r="363" spans="2:10" x14ac:dyDescent="0.3">
      <c r="B363" s="29">
        <v>35247</v>
      </c>
      <c r="C363">
        <v>670.63000499999998</v>
      </c>
      <c r="D363">
        <v>675.88000499999998</v>
      </c>
      <c r="E363">
        <v>605.88000499999998</v>
      </c>
      <c r="F363">
        <v>639.95001200000002</v>
      </c>
      <c r="G363">
        <v>639.95001200000002</v>
      </c>
      <c r="H363">
        <v>8849860000</v>
      </c>
      <c r="I363"/>
      <c r="J363" s="30">
        <f t="shared" si="5"/>
        <v>-4.5748017194667479E-2</v>
      </c>
    </row>
    <row r="364" spans="2:10" x14ac:dyDescent="0.3">
      <c r="B364" s="29">
        <v>35278</v>
      </c>
      <c r="C364">
        <v>639.95001200000002</v>
      </c>
      <c r="D364">
        <v>670.67999299999997</v>
      </c>
      <c r="E364">
        <v>639.48999000000003</v>
      </c>
      <c r="F364">
        <v>651.98999000000003</v>
      </c>
      <c r="G364">
        <v>651.98999000000003</v>
      </c>
      <c r="H364">
        <v>7380320000</v>
      </c>
      <c r="I364"/>
      <c r="J364" s="30">
        <f t="shared" si="5"/>
        <v>1.8813935110919333E-2</v>
      </c>
    </row>
    <row r="365" spans="2:10" x14ac:dyDescent="0.3">
      <c r="B365" s="29">
        <v>35309</v>
      </c>
      <c r="C365">
        <v>651.98999000000003</v>
      </c>
      <c r="D365">
        <v>690.88000499999998</v>
      </c>
      <c r="E365">
        <v>643.96997099999999</v>
      </c>
      <c r="F365">
        <v>687.330017</v>
      </c>
      <c r="G365">
        <v>687.330017</v>
      </c>
      <c r="H365">
        <v>8064070000</v>
      </c>
      <c r="I365"/>
      <c r="J365" s="30">
        <f t="shared" si="5"/>
        <v>5.4203327569492199E-2</v>
      </c>
    </row>
    <row r="366" spans="2:10" x14ac:dyDescent="0.3">
      <c r="B366" s="29">
        <v>35339</v>
      </c>
      <c r="C366">
        <v>687.30999799999995</v>
      </c>
      <c r="D366">
        <v>714.09997599999997</v>
      </c>
      <c r="E366">
        <v>684.44000200000005</v>
      </c>
      <c r="F366">
        <v>705.27002000000005</v>
      </c>
      <c r="G366">
        <v>705.27002000000005</v>
      </c>
      <c r="H366">
        <v>9703670000</v>
      </c>
      <c r="I366"/>
      <c r="J366" s="30">
        <f t="shared" si="5"/>
        <v>2.6101003239030751E-2</v>
      </c>
    </row>
    <row r="367" spans="2:10" x14ac:dyDescent="0.3">
      <c r="B367" s="29">
        <v>35370</v>
      </c>
      <c r="C367">
        <v>705.27002000000005</v>
      </c>
      <c r="D367">
        <v>762.11999500000002</v>
      </c>
      <c r="E367">
        <v>701.29998799999998</v>
      </c>
      <c r="F367">
        <v>757.02002000000005</v>
      </c>
      <c r="G367">
        <v>757.02002000000005</v>
      </c>
      <c r="H367">
        <v>8763850000</v>
      </c>
      <c r="I367"/>
      <c r="J367" s="30">
        <f t="shared" si="5"/>
        <v>7.3376151732637007E-2</v>
      </c>
    </row>
    <row r="368" spans="2:10" x14ac:dyDescent="0.3">
      <c r="B368" s="29">
        <v>35400</v>
      </c>
      <c r="C368">
        <v>757.02002000000005</v>
      </c>
      <c r="D368">
        <v>761.75</v>
      </c>
      <c r="E368">
        <v>716.69000200000005</v>
      </c>
      <c r="F368">
        <v>740.73999000000003</v>
      </c>
      <c r="G368">
        <v>740.73999000000003</v>
      </c>
      <c r="H368">
        <v>9089170000</v>
      </c>
      <c r="I368"/>
      <c r="J368" s="30">
        <f t="shared" si="5"/>
        <v>-2.1505415404998174E-2</v>
      </c>
    </row>
    <row r="369" spans="2:10" x14ac:dyDescent="0.3">
      <c r="B369" s="29">
        <v>35431</v>
      </c>
      <c r="C369">
        <v>740.73999000000003</v>
      </c>
      <c r="D369">
        <v>794.669983</v>
      </c>
      <c r="E369">
        <v>729.54998799999998</v>
      </c>
      <c r="F369">
        <v>786.15997300000004</v>
      </c>
      <c r="G369">
        <v>786.15997300000004</v>
      </c>
      <c r="H369">
        <v>11635830000</v>
      </c>
      <c r="I369"/>
      <c r="J369" s="30">
        <f t="shared" si="5"/>
        <v>6.1317039194819234E-2</v>
      </c>
    </row>
    <row r="370" spans="2:10" x14ac:dyDescent="0.3">
      <c r="B370" s="29">
        <v>35462</v>
      </c>
      <c r="C370">
        <v>786.15997300000004</v>
      </c>
      <c r="D370">
        <v>817.67999299999997</v>
      </c>
      <c r="E370">
        <v>773.42999299999997</v>
      </c>
      <c r="F370">
        <v>790.82000700000003</v>
      </c>
      <c r="G370">
        <v>790.82000700000003</v>
      </c>
      <c r="H370">
        <v>9715930000</v>
      </c>
      <c r="I370"/>
      <c r="J370" s="30">
        <f t="shared" si="5"/>
        <v>5.927590007180461E-3</v>
      </c>
    </row>
    <row r="371" spans="2:10" x14ac:dyDescent="0.3">
      <c r="B371" s="29">
        <v>35490</v>
      </c>
      <c r="C371">
        <v>790.82000700000003</v>
      </c>
      <c r="D371">
        <v>814.90002400000003</v>
      </c>
      <c r="E371">
        <v>756.13000499999998</v>
      </c>
      <c r="F371">
        <v>757.11999500000002</v>
      </c>
      <c r="G371">
        <v>757.11999500000002</v>
      </c>
      <c r="H371">
        <v>10120760000</v>
      </c>
      <c r="I371"/>
      <c r="J371" s="30">
        <f t="shared" si="5"/>
        <v>-4.2614010396426427E-2</v>
      </c>
    </row>
    <row r="372" spans="2:10" x14ac:dyDescent="0.3">
      <c r="B372" s="29">
        <v>35521</v>
      </c>
      <c r="C372">
        <v>757.11999500000002</v>
      </c>
      <c r="D372">
        <v>804.13000499999998</v>
      </c>
      <c r="E372">
        <v>733.53997800000002</v>
      </c>
      <c r="F372">
        <v>801.34002699999996</v>
      </c>
      <c r="G372">
        <v>801.34002699999996</v>
      </c>
      <c r="H372">
        <v>10454880000</v>
      </c>
      <c r="I372"/>
      <c r="J372" s="30">
        <f t="shared" si="5"/>
        <v>5.8405579422057041E-2</v>
      </c>
    </row>
    <row r="373" spans="2:10" x14ac:dyDescent="0.3">
      <c r="B373" s="29">
        <v>35551</v>
      </c>
      <c r="C373">
        <v>801.34002699999996</v>
      </c>
      <c r="D373">
        <v>851.86999500000002</v>
      </c>
      <c r="E373">
        <v>793.21002199999998</v>
      </c>
      <c r="F373">
        <v>848.28002900000001</v>
      </c>
      <c r="G373">
        <v>848.28002900000001</v>
      </c>
      <c r="H373">
        <v>10106650000</v>
      </c>
      <c r="I373"/>
      <c r="J373" s="30">
        <f t="shared" si="5"/>
        <v>5.8576884241924976E-2</v>
      </c>
    </row>
    <row r="374" spans="2:10" x14ac:dyDescent="0.3">
      <c r="B374" s="29">
        <v>35582</v>
      </c>
      <c r="C374">
        <v>848.28002900000001</v>
      </c>
      <c r="D374">
        <v>902.09002699999996</v>
      </c>
      <c r="E374">
        <v>838.82000700000003</v>
      </c>
      <c r="F374">
        <v>885.14001499999995</v>
      </c>
      <c r="G374">
        <v>885.14001499999995</v>
      </c>
      <c r="H374">
        <v>10857950000</v>
      </c>
      <c r="I374"/>
      <c r="J374" s="30">
        <f t="shared" si="5"/>
        <v>4.3452615574897546E-2</v>
      </c>
    </row>
    <row r="375" spans="2:10" x14ac:dyDescent="0.3">
      <c r="B375" s="29">
        <v>35612</v>
      </c>
      <c r="C375">
        <v>885.14001499999995</v>
      </c>
      <c r="D375">
        <v>957.72997999999995</v>
      </c>
      <c r="E375">
        <v>884.53997800000002</v>
      </c>
      <c r="F375">
        <v>954.30999799999995</v>
      </c>
      <c r="G375">
        <v>954.30999799999995</v>
      </c>
      <c r="H375">
        <v>11958120000</v>
      </c>
      <c r="I375"/>
      <c r="J375" s="30">
        <f t="shared" si="5"/>
        <v>7.8145809507889075E-2</v>
      </c>
    </row>
    <row r="376" spans="2:10" x14ac:dyDescent="0.3">
      <c r="B376" s="29">
        <v>35643</v>
      </c>
      <c r="C376">
        <v>954.28997800000002</v>
      </c>
      <c r="D376">
        <v>964.169983</v>
      </c>
      <c r="E376">
        <v>893.34002699999996</v>
      </c>
      <c r="F376">
        <v>899.46997099999999</v>
      </c>
      <c r="G376">
        <v>899.46997099999999</v>
      </c>
      <c r="H376">
        <v>10606100000</v>
      </c>
      <c r="I376"/>
      <c r="J376" s="30">
        <f t="shared" si="5"/>
        <v>-5.7465631833399256E-2</v>
      </c>
    </row>
    <row r="377" spans="2:10" x14ac:dyDescent="0.3">
      <c r="B377" s="29">
        <v>35674</v>
      </c>
      <c r="C377">
        <v>899.46997099999999</v>
      </c>
      <c r="D377">
        <v>960.59002699999996</v>
      </c>
      <c r="E377">
        <v>899.46997099999999</v>
      </c>
      <c r="F377">
        <v>947.28002900000001</v>
      </c>
      <c r="G377">
        <v>947.28002900000001</v>
      </c>
      <c r="H377">
        <v>11383000000</v>
      </c>
      <c r="I377"/>
      <c r="J377" s="30">
        <f t="shared" si="5"/>
        <v>5.3153589937912527E-2</v>
      </c>
    </row>
    <row r="378" spans="2:10" x14ac:dyDescent="0.3">
      <c r="B378" s="29">
        <v>35704</v>
      </c>
      <c r="C378">
        <v>947.28002900000001</v>
      </c>
      <c r="D378">
        <v>983.11999500000002</v>
      </c>
      <c r="E378">
        <v>855.27002000000005</v>
      </c>
      <c r="F378">
        <v>914.61999500000002</v>
      </c>
      <c r="G378">
        <v>914.61999500000002</v>
      </c>
      <c r="H378">
        <v>14017260000</v>
      </c>
      <c r="I378"/>
      <c r="J378" s="30">
        <f t="shared" si="5"/>
        <v>-3.4477697196337753E-2</v>
      </c>
    </row>
    <row r="379" spans="2:10" x14ac:dyDescent="0.3">
      <c r="B379" s="29">
        <v>35735</v>
      </c>
      <c r="C379">
        <v>914.61999500000002</v>
      </c>
      <c r="D379">
        <v>964.54998799999998</v>
      </c>
      <c r="E379">
        <v>900.60998500000005</v>
      </c>
      <c r="F379">
        <v>955.40002400000003</v>
      </c>
      <c r="G379">
        <v>955.40002400000003</v>
      </c>
      <c r="H379">
        <v>10173620000</v>
      </c>
      <c r="I379"/>
      <c r="J379" s="30">
        <f t="shared" si="5"/>
        <v>4.4586854893763794E-2</v>
      </c>
    </row>
    <row r="380" spans="2:10" x14ac:dyDescent="0.3">
      <c r="B380" s="29">
        <v>35765</v>
      </c>
      <c r="C380">
        <v>955.40002400000003</v>
      </c>
      <c r="D380">
        <v>986.25</v>
      </c>
      <c r="E380">
        <v>924.919983</v>
      </c>
      <c r="F380">
        <v>970.42999299999997</v>
      </c>
      <c r="G380">
        <v>970.42999299999997</v>
      </c>
      <c r="H380">
        <v>11958880000</v>
      </c>
      <c r="I380"/>
      <c r="J380" s="30">
        <f t="shared" si="5"/>
        <v>1.5731597888257953E-2</v>
      </c>
    </row>
    <row r="381" spans="2:10" x14ac:dyDescent="0.3">
      <c r="B381" s="29">
        <v>35796</v>
      </c>
      <c r="C381">
        <v>970.42999299999997</v>
      </c>
      <c r="D381">
        <v>992.65002400000003</v>
      </c>
      <c r="E381">
        <v>912.830017</v>
      </c>
      <c r="F381">
        <v>980.28002900000001</v>
      </c>
      <c r="G381">
        <v>980.28002900000001</v>
      </c>
      <c r="H381">
        <v>12733830000</v>
      </c>
      <c r="I381"/>
      <c r="J381" s="30">
        <f t="shared" si="5"/>
        <v>1.0150176798997546E-2</v>
      </c>
    </row>
    <row r="382" spans="2:10" x14ac:dyDescent="0.3">
      <c r="B382" s="29">
        <v>35827</v>
      </c>
      <c r="C382">
        <v>980.28002900000001</v>
      </c>
      <c r="D382">
        <v>1051.660034</v>
      </c>
      <c r="E382">
        <v>980.28002900000001</v>
      </c>
      <c r="F382">
        <v>1049.339966</v>
      </c>
      <c r="G382">
        <v>1049.339966</v>
      </c>
      <c r="H382">
        <v>11656550000</v>
      </c>
      <c r="I382"/>
      <c r="J382" s="30">
        <f t="shared" si="5"/>
        <v>7.0449193043797154E-2</v>
      </c>
    </row>
    <row r="383" spans="2:10" x14ac:dyDescent="0.3">
      <c r="B383" s="29">
        <v>35855</v>
      </c>
      <c r="C383">
        <v>1049.339966</v>
      </c>
      <c r="D383">
        <v>1113.0699460000001</v>
      </c>
      <c r="E383">
        <v>1030.869995</v>
      </c>
      <c r="F383">
        <v>1101.75</v>
      </c>
      <c r="G383">
        <v>1101.75</v>
      </c>
      <c r="H383">
        <v>13719590000</v>
      </c>
      <c r="I383"/>
      <c r="J383" s="30">
        <f t="shared" si="5"/>
        <v>4.9945714161429455E-2</v>
      </c>
    </row>
    <row r="384" spans="2:10" x14ac:dyDescent="0.3">
      <c r="B384" s="29">
        <v>35886</v>
      </c>
      <c r="C384">
        <v>1101.75</v>
      </c>
      <c r="D384">
        <v>1132.9799800000001</v>
      </c>
      <c r="E384">
        <v>1076.6999510000001</v>
      </c>
      <c r="F384">
        <v>1111.75</v>
      </c>
      <c r="G384">
        <v>1111.75</v>
      </c>
      <c r="H384">
        <v>13656060000</v>
      </c>
      <c r="I384"/>
      <c r="J384" s="30">
        <f t="shared" si="5"/>
        <v>9.0764692534603952E-3</v>
      </c>
    </row>
    <row r="385" spans="2:10" x14ac:dyDescent="0.3">
      <c r="B385" s="29">
        <v>35916</v>
      </c>
      <c r="C385">
        <v>1111.75</v>
      </c>
      <c r="D385">
        <v>1130.5200199999999</v>
      </c>
      <c r="E385">
        <v>1074.3900149999999</v>
      </c>
      <c r="F385">
        <v>1090.8199460000001</v>
      </c>
      <c r="G385">
        <v>1090.8199460000001</v>
      </c>
      <c r="H385">
        <v>11477140000</v>
      </c>
      <c r="I385"/>
      <c r="J385" s="30">
        <f t="shared" si="5"/>
        <v>-1.8826223521475116E-2</v>
      </c>
    </row>
    <row r="386" spans="2:10" x14ac:dyDescent="0.3">
      <c r="B386" s="29">
        <v>35947</v>
      </c>
      <c r="C386">
        <v>1090.8199460000001</v>
      </c>
      <c r="D386">
        <v>1145.150024</v>
      </c>
      <c r="E386">
        <v>1074.670044</v>
      </c>
      <c r="F386">
        <v>1133.839966</v>
      </c>
      <c r="G386">
        <v>1133.839966</v>
      </c>
      <c r="H386">
        <v>13551970000</v>
      </c>
      <c r="I386"/>
      <c r="J386" s="30">
        <f t="shared" si="5"/>
        <v>3.9438241075214098E-2</v>
      </c>
    </row>
    <row r="387" spans="2:10" x14ac:dyDescent="0.3">
      <c r="B387" s="29">
        <v>35977</v>
      </c>
      <c r="C387">
        <v>1133.839966</v>
      </c>
      <c r="D387">
        <v>1190.579956</v>
      </c>
      <c r="E387">
        <v>1114.3000489999999</v>
      </c>
      <c r="F387">
        <v>1120.670044</v>
      </c>
      <c r="G387">
        <v>1120.670044</v>
      </c>
      <c r="H387">
        <v>14194800000</v>
      </c>
      <c r="I387"/>
      <c r="J387" s="30">
        <f t="shared" si="5"/>
        <v>-1.161532702578949E-2</v>
      </c>
    </row>
    <row r="388" spans="2:10" x14ac:dyDescent="0.3">
      <c r="B388" s="29">
        <v>36008</v>
      </c>
      <c r="C388">
        <v>1120.670044</v>
      </c>
      <c r="D388">
        <v>1121.790039</v>
      </c>
      <c r="E388">
        <v>957.28002900000001</v>
      </c>
      <c r="F388">
        <v>957.28002900000001</v>
      </c>
      <c r="G388">
        <v>957.28002900000001</v>
      </c>
      <c r="H388">
        <v>15071550000</v>
      </c>
      <c r="I388"/>
      <c r="J388" s="30">
        <f t="shared" si="5"/>
        <v>-0.14579671855670651</v>
      </c>
    </row>
    <row r="389" spans="2:10" x14ac:dyDescent="0.3">
      <c r="B389" s="29">
        <v>36039</v>
      </c>
      <c r="C389">
        <v>957.28002900000001</v>
      </c>
      <c r="D389">
        <v>1066.1099850000001</v>
      </c>
      <c r="E389">
        <v>939.97997999999995</v>
      </c>
      <c r="F389">
        <v>1017.01001</v>
      </c>
      <c r="G389">
        <v>1017.01001</v>
      </c>
      <c r="H389">
        <v>16714080000</v>
      </c>
      <c r="I389"/>
      <c r="J389" s="30">
        <f t="shared" si="5"/>
        <v>6.2395515617718944E-2</v>
      </c>
    </row>
    <row r="390" spans="2:10" x14ac:dyDescent="0.3">
      <c r="B390" s="29">
        <v>36069</v>
      </c>
      <c r="C390">
        <v>1017.01001</v>
      </c>
      <c r="D390">
        <v>1103.780029</v>
      </c>
      <c r="E390">
        <v>923.32000700000003</v>
      </c>
      <c r="F390">
        <v>1098.670044</v>
      </c>
      <c r="G390">
        <v>1098.670044</v>
      </c>
      <c r="H390">
        <v>18001650000</v>
      </c>
      <c r="I390"/>
      <c r="J390" s="30">
        <f t="shared" si="5"/>
        <v>8.0294228372442378E-2</v>
      </c>
    </row>
    <row r="391" spans="2:10" x14ac:dyDescent="0.3">
      <c r="B391" s="29">
        <v>36100</v>
      </c>
      <c r="C391">
        <v>1098.670044</v>
      </c>
      <c r="D391">
        <v>1192.969971</v>
      </c>
      <c r="E391">
        <v>1098.670044</v>
      </c>
      <c r="F391">
        <v>1163.630005</v>
      </c>
      <c r="G391">
        <v>1163.630005</v>
      </c>
      <c r="H391">
        <v>13451280000</v>
      </c>
      <c r="I391"/>
      <c r="J391" s="30">
        <f t="shared" si="5"/>
        <v>5.9125996339625342E-2</v>
      </c>
    </row>
    <row r="392" spans="2:10" x14ac:dyDescent="0.3">
      <c r="B392" s="29">
        <v>36130</v>
      </c>
      <c r="C392">
        <v>1163.630005</v>
      </c>
      <c r="D392">
        <v>1244.9300539999999</v>
      </c>
      <c r="E392">
        <v>1136.8900149999999</v>
      </c>
      <c r="F392">
        <v>1229.2299800000001</v>
      </c>
      <c r="G392">
        <v>1229.2299800000001</v>
      </c>
      <c r="H392">
        <v>15181450000</v>
      </c>
      <c r="I392"/>
      <c r="J392" s="30">
        <f t="shared" si="5"/>
        <v>5.6375286575735872E-2</v>
      </c>
    </row>
    <row r="393" spans="2:10" x14ac:dyDescent="0.3">
      <c r="B393" s="29">
        <v>36161</v>
      </c>
      <c r="C393">
        <v>1229.2299800000001</v>
      </c>
      <c r="D393">
        <v>1280.369995</v>
      </c>
      <c r="E393">
        <v>1205.459961</v>
      </c>
      <c r="F393">
        <v>1279.6400149999999</v>
      </c>
      <c r="G393">
        <v>1279.6400149999999</v>
      </c>
      <c r="H393">
        <v>16213500000</v>
      </c>
      <c r="I393"/>
      <c r="J393" s="30">
        <f t="shared" si="5"/>
        <v>4.1009441536725255E-2</v>
      </c>
    </row>
    <row r="394" spans="2:10" x14ac:dyDescent="0.3">
      <c r="B394" s="29">
        <v>36192</v>
      </c>
      <c r="C394">
        <v>1279.6400149999999</v>
      </c>
      <c r="D394">
        <v>1283.839966</v>
      </c>
      <c r="E394">
        <v>1211.8900149999999</v>
      </c>
      <c r="F394">
        <v>1238.329956</v>
      </c>
      <c r="G394">
        <v>1238.329956</v>
      </c>
      <c r="H394">
        <v>14555860000</v>
      </c>
      <c r="I394"/>
      <c r="J394" s="30">
        <f t="shared" si="5"/>
        <v>-3.2282562686194116E-2</v>
      </c>
    </row>
    <row r="395" spans="2:10" x14ac:dyDescent="0.3">
      <c r="B395" s="29">
        <v>36220</v>
      </c>
      <c r="C395">
        <v>1238.329956</v>
      </c>
      <c r="D395">
        <v>1323.8199460000001</v>
      </c>
      <c r="E395">
        <v>1216.030029</v>
      </c>
      <c r="F395">
        <v>1286.369995</v>
      </c>
      <c r="G395">
        <v>1286.369995</v>
      </c>
      <c r="H395">
        <v>18002500000</v>
      </c>
      <c r="I395"/>
      <c r="J395" s="30">
        <f t="shared" ref="J395:J458" si="6">F395/F394-1</f>
        <v>3.8794215360158812E-2</v>
      </c>
    </row>
    <row r="396" spans="2:10" x14ac:dyDescent="0.3">
      <c r="B396" s="29">
        <v>36251</v>
      </c>
      <c r="C396">
        <v>1286.369995</v>
      </c>
      <c r="D396">
        <v>1371.5600589999999</v>
      </c>
      <c r="E396">
        <v>1282.5600589999999</v>
      </c>
      <c r="F396">
        <v>1335.1800539999999</v>
      </c>
      <c r="G396">
        <v>1335.1800539999999</v>
      </c>
      <c r="H396">
        <v>18523200000</v>
      </c>
      <c r="I396"/>
      <c r="J396" s="30">
        <f t="shared" si="6"/>
        <v>3.7944027915545409E-2</v>
      </c>
    </row>
    <row r="397" spans="2:10" x14ac:dyDescent="0.3">
      <c r="B397" s="29">
        <v>36281</v>
      </c>
      <c r="C397">
        <v>1335.1800539999999</v>
      </c>
      <c r="D397">
        <v>1375.9799800000001</v>
      </c>
      <c r="E397">
        <v>1277.3100589999999</v>
      </c>
      <c r="F397">
        <v>1301.839966</v>
      </c>
      <c r="G397">
        <v>1301.839966</v>
      </c>
      <c r="H397">
        <v>15880260000</v>
      </c>
      <c r="I397"/>
      <c r="J397" s="30">
        <f t="shared" si="6"/>
        <v>-2.4970480872686829E-2</v>
      </c>
    </row>
    <row r="398" spans="2:10" x14ac:dyDescent="0.3">
      <c r="B398" s="29">
        <v>36312</v>
      </c>
      <c r="C398">
        <v>1301.839966</v>
      </c>
      <c r="D398">
        <v>1372.9300539999999</v>
      </c>
      <c r="E398">
        <v>1277.469971</v>
      </c>
      <c r="F398">
        <v>1372.709961</v>
      </c>
      <c r="G398">
        <v>1372.709961</v>
      </c>
      <c r="H398">
        <v>16079170000</v>
      </c>
      <c r="I398"/>
      <c r="J398" s="30">
        <f t="shared" si="6"/>
        <v>5.4438331016794184E-2</v>
      </c>
    </row>
    <row r="399" spans="2:10" x14ac:dyDescent="0.3">
      <c r="B399" s="29">
        <v>36342</v>
      </c>
      <c r="C399">
        <v>1372.709961</v>
      </c>
      <c r="D399">
        <v>1420.329956</v>
      </c>
      <c r="E399">
        <v>1328.48999</v>
      </c>
      <c r="F399">
        <v>1328.719971</v>
      </c>
      <c r="G399">
        <v>1328.719971</v>
      </c>
      <c r="H399">
        <v>15332930000</v>
      </c>
      <c r="I399"/>
      <c r="J399" s="30">
        <f t="shared" si="6"/>
        <v>-3.2046092218893762E-2</v>
      </c>
    </row>
    <row r="400" spans="2:10" x14ac:dyDescent="0.3">
      <c r="B400" s="29">
        <v>36373</v>
      </c>
      <c r="C400">
        <v>1328.719971</v>
      </c>
      <c r="D400">
        <v>1382.839966</v>
      </c>
      <c r="E400">
        <v>1267.7299800000001</v>
      </c>
      <c r="F400">
        <v>1320.410034</v>
      </c>
      <c r="G400">
        <v>1320.410034</v>
      </c>
      <c r="H400">
        <v>15818550000</v>
      </c>
      <c r="I400"/>
      <c r="J400" s="30">
        <f t="shared" si="6"/>
        <v>-6.2540920445004478E-3</v>
      </c>
    </row>
    <row r="401" spans="2:10" x14ac:dyDescent="0.3">
      <c r="B401" s="29">
        <v>36404</v>
      </c>
      <c r="C401">
        <v>1320.410034</v>
      </c>
      <c r="D401">
        <v>1361.3900149999999</v>
      </c>
      <c r="E401">
        <v>1256.26001</v>
      </c>
      <c r="F401">
        <v>1282.709961</v>
      </c>
      <c r="G401">
        <v>1282.709961</v>
      </c>
      <c r="H401">
        <v>16438700000</v>
      </c>
      <c r="I401"/>
      <c r="J401" s="30">
        <f t="shared" si="6"/>
        <v>-2.8551792268491583E-2</v>
      </c>
    </row>
    <row r="402" spans="2:10" x14ac:dyDescent="0.3">
      <c r="B402" s="29">
        <v>36434</v>
      </c>
      <c r="C402">
        <v>1282.709961</v>
      </c>
      <c r="D402">
        <v>1373.170044</v>
      </c>
      <c r="E402">
        <v>1233.6999510000001</v>
      </c>
      <c r="F402">
        <v>1362.9300539999999</v>
      </c>
      <c r="G402">
        <v>1362.9300539999999</v>
      </c>
      <c r="H402">
        <v>18832000000</v>
      </c>
      <c r="I402"/>
      <c r="J402" s="30">
        <f t="shared" si="6"/>
        <v>6.2539541625965311E-2</v>
      </c>
    </row>
    <row r="403" spans="2:10" x14ac:dyDescent="0.3">
      <c r="B403" s="29">
        <v>36465</v>
      </c>
      <c r="C403">
        <v>1362.9300539999999</v>
      </c>
      <c r="D403">
        <v>1425.3100589999999</v>
      </c>
      <c r="E403">
        <v>1346.410034</v>
      </c>
      <c r="F403">
        <v>1388.910034</v>
      </c>
      <c r="G403">
        <v>1388.910034</v>
      </c>
      <c r="H403">
        <v>18384820000</v>
      </c>
      <c r="I403"/>
      <c r="J403" s="30">
        <f t="shared" si="6"/>
        <v>1.906185862124965E-2</v>
      </c>
    </row>
    <row r="404" spans="2:10" x14ac:dyDescent="0.3">
      <c r="B404" s="29">
        <v>36495</v>
      </c>
      <c r="C404">
        <v>1388.910034</v>
      </c>
      <c r="D404">
        <v>1473.099976</v>
      </c>
      <c r="E404">
        <v>1387.380005</v>
      </c>
      <c r="F404">
        <v>1469.25</v>
      </c>
      <c r="G404">
        <v>1469.25</v>
      </c>
      <c r="H404">
        <v>19640690000</v>
      </c>
      <c r="I404"/>
      <c r="J404" s="30">
        <f t="shared" si="6"/>
        <v>5.7843894876779434E-2</v>
      </c>
    </row>
    <row r="405" spans="2:10" x14ac:dyDescent="0.3">
      <c r="B405" s="29">
        <v>36526</v>
      </c>
      <c r="C405">
        <v>1469.25</v>
      </c>
      <c r="D405">
        <v>1478</v>
      </c>
      <c r="E405">
        <v>1350.1400149999999</v>
      </c>
      <c r="F405">
        <v>1394.459961</v>
      </c>
      <c r="G405">
        <v>1394.459961</v>
      </c>
      <c r="H405">
        <v>21494400000</v>
      </c>
      <c r="I405"/>
      <c r="J405" s="30">
        <f t="shared" si="6"/>
        <v>-5.0903548749361871E-2</v>
      </c>
    </row>
    <row r="406" spans="2:10" x14ac:dyDescent="0.3">
      <c r="B406" s="29">
        <v>36557</v>
      </c>
      <c r="C406">
        <v>1394.459961</v>
      </c>
      <c r="D406">
        <v>1444.5500489999999</v>
      </c>
      <c r="E406">
        <v>1325.0699460000001</v>
      </c>
      <c r="F406">
        <v>1366.420044</v>
      </c>
      <c r="G406">
        <v>1366.420044</v>
      </c>
      <c r="H406">
        <v>20912000000</v>
      </c>
      <c r="I406"/>
      <c r="J406" s="30">
        <f t="shared" si="6"/>
        <v>-2.0108083261058285E-2</v>
      </c>
    </row>
    <row r="407" spans="2:10" x14ac:dyDescent="0.3">
      <c r="B407" s="29">
        <v>36586</v>
      </c>
      <c r="C407">
        <v>1366.420044</v>
      </c>
      <c r="D407">
        <v>1552.869995</v>
      </c>
      <c r="E407">
        <v>1346.619995</v>
      </c>
      <c r="F407">
        <v>1498.579956</v>
      </c>
      <c r="G407">
        <v>1498.579956</v>
      </c>
      <c r="H407">
        <v>26156200000</v>
      </c>
      <c r="I407"/>
      <c r="J407" s="30">
        <f t="shared" si="6"/>
        <v>9.6719828269732355E-2</v>
      </c>
    </row>
    <row r="408" spans="2:10" x14ac:dyDescent="0.3">
      <c r="B408" s="29">
        <v>36617</v>
      </c>
      <c r="C408">
        <v>1498.579956</v>
      </c>
      <c r="D408">
        <v>1527.1899410000001</v>
      </c>
      <c r="E408">
        <v>1339.400024</v>
      </c>
      <c r="F408">
        <v>1452.4300539999999</v>
      </c>
      <c r="G408">
        <v>1452.4300539999999</v>
      </c>
      <c r="H408">
        <v>20106460000</v>
      </c>
      <c r="I408"/>
      <c r="J408" s="30">
        <f t="shared" si="6"/>
        <v>-3.079575555193137E-2</v>
      </c>
    </row>
    <row r="409" spans="2:10" x14ac:dyDescent="0.3">
      <c r="B409" s="29">
        <v>36647</v>
      </c>
      <c r="C409">
        <v>1452.4300539999999</v>
      </c>
      <c r="D409">
        <v>1481.51001</v>
      </c>
      <c r="E409">
        <v>1361.089966</v>
      </c>
      <c r="F409">
        <v>1420.599976</v>
      </c>
      <c r="G409">
        <v>1420.599976</v>
      </c>
      <c r="H409">
        <v>19898300000</v>
      </c>
      <c r="I409"/>
      <c r="J409" s="30">
        <f t="shared" si="6"/>
        <v>-2.1915050512993584E-2</v>
      </c>
    </row>
    <row r="410" spans="2:10" x14ac:dyDescent="0.3">
      <c r="B410" s="29">
        <v>36678</v>
      </c>
      <c r="C410">
        <v>1420.599976</v>
      </c>
      <c r="D410">
        <v>1488.9300539999999</v>
      </c>
      <c r="E410">
        <v>1420.599976</v>
      </c>
      <c r="F410">
        <v>1454.599976</v>
      </c>
      <c r="G410">
        <v>1454.599976</v>
      </c>
      <c r="H410">
        <v>21738300000</v>
      </c>
      <c r="I410"/>
      <c r="J410" s="30">
        <f t="shared" si="6"/>
        <v>2.3933549608901261E-2</v>
      </c>
    </row>
    <row r="411" spans="2:10" x14ac:dyDescent="0.3">
      <c r="B411" s="29">
        <v>36708</v>
      </c>
      <c r="C411">
        <v>1454.599976</v>
      </c>
      <c r="D411">
        <v>1517.3199460000001</v>
      </c>
      <c r="E411">
        <v>1413.8900149999999</v>
      </c>
      <c r="F411">
        <v>1430.829956</v>
      </c>
      <c r="G411">
        <v>1430.829956</v>
      </c>
      <c r="H411">
        <v>19089100000</v>
      </c>
      <c r="I411"/>
      <c r="J411" s="30">
        <f t="shared" si="6"/>
        <v>-1.6341276221772727E-2</v>
      </c>
    </row>
    <row r="412" spans="2:10" x14ac:dyDescent="0.3">
      <c r="B412" s="29">
        <v>36739</v>
      </c>
      <c r="C412">
        <v>1430.829956</v>
      </c>
      <c r="D412">
        <v>1525.209961</v>
      </c>
      <c r="E412">
        <v>1425.4300539999999</v>
      </c>
      <c r="F412">
        <v>1517.6800539999999</v>
      </c>
      <c r="G412">
        <v>1517.6800539999999</v>
      </c>
      <c r="H412">
        <v>20363700000</v>
      </c>
      <c r="I412"/>
      <c r="J412" s="30">
        <f t="shared" si="6"/>
        <v>6.0699105184236046E-2</v>
      </c>
    </row>
    <row r="413" spans="2:10" x14ac:dyDescent="0.3">
      <c r="B413" s="29">
        <v>36770</v>
      </c>
      <c r="C413">
        <v>1517.6800539999999</v>
      </c>
      <c r="D413">
        <v>1530.089966</v>
      </c>
      <c r="E413">
        <v>1419.4399410000001</v>
      </c>
      <c r="F413">
        <v>1436.51001</v>
      </c>
      <c r="G413">
        <v>1436.51001</v>
      </c>
      <c r="H413">
        <v>20838300000</v>
      </c>
      <c r="I413"/>
      <c r="J413" s="30">
        <f t="shared" si="6"/>
        <v>-5.3482974745611256E-2</v>
      </c>
    </row>
    <row r="414" spans="2:10" x14ac:dyDescent="0.3">
      <c r="B414" s="29">
        <v>36800</v>
      </c>
      <c r="C414">
        <v>1436.5200199999999</v>
      </c>
      <c r="D414">
        <v>1454.8199460000001</v>
      </c>
      <c r="E414">
        <v>1305.790039</v>
      </c>
      <c r="F414">
        <v>1429.400024</v>
      </c>
      <c r="G414">
        <v>1429.400024</v>
      </c>
      <c r="H414">
        <v>25951400000</v>
      </c>
      <c r="I414"/>
      <c r="J414" s="30">
        <f t="shared" si="6"/>
        <v>-4.9494858723608814E-3</v>
      </c>
    </row>
    <row r="415" spans="2:10" x14ac:dyDescent="0.3">
      <c r="B415" s="29">
        <v>36831</v>
      </c>
      <c r="C415">
        <v>1429.400024</v>
      </c>
      <c r="D415">
        <v>1438.459961</v>
      </c>
      <c r="E415">
        <v>1294.900024</v>
      </c>
      <c r="F415">
        <v>1314.9499510000001</v>
      </c>
      <c r="G415">
        <v>1314.9499510000001</v>
      </c>
      <c r="H415">
        <v>20532300000</v>
      </c>
      <c r="I415"/>
      <c r="J415" s="30">
        <f t="shared" si="6"/>
        <v>-8.0068609961069903E-2</v>
      </c>
    </row>
    <row r="416" spans="2:10" x14ac:dyDescent="0.3">
      <c r="B416" s="29">
        <v>36861</v>
      </c>
      <c r="C416">
        <v>1314.9499510000001</v>
      </c>
      <c r="D416">
        <v>1389.0500489999999</v>
      </c>
      <c r="E416">
        <v>1254.0699460000001</v>
      </c>
      <c r="F416">
        <v>1320.280029</v>
      </c>
      <c r="G416">
        <v>1320.280029</v>
      </c>
      <c r="H416">
        <v>23610800000</v>
      </c>
      <c r="I416"/>
      <c r="J416" s="30">
        <f t="shared" si="6"/>
        <v>4.0534455291978411E-3</v>
      </c>
    </row>
    <row r="417" spans="2:10" x14ac:dyDescent="0.3">
      <c r="B417" s="29">
        <v>36892</v>
      </c>
      <c r="C417">
        <v>1320.280029</v>
      </c>
      <c r="D417">
        <v>1383.369995</v>
      </c>
      <c r="E417">
        <v>1274.619995</v>
      </c>
      <c r="F417">
        <v>1366.01001</v>
      </c>
      <c r="G417">
        <v>1366.01001</v>
      </c>
      <c r="H417">
        <v>27829800000</v>
      </c>
      <c r="I417"/>
      <c r="J417" s="30">
        <f t="shared" si="6"/>
        <v>3.4636577086329501E-2</v>
      </c>
    </row>
    <row r="418" spans="2:10" x14ac:dyDescent="0.3">
      <c r="B418" s="29">
        <v>36923</v>
      </c>
      <c r="C418">
        <v>1366.01001</v>
      </c>
      <c r="D418">
        <v>1376.380005</v>
      </c>
      <c r="E418">
        <v>1215.4399410000001</v>
      </c>
      <c r="F418">
        <v>1239.9399410000001</v>
      </c>
      <c r="G418">
        <v>1239.9399410000001</v>
      </c>
      <c r="H418">
        <v>21644400000</v>
      </c>
      <c r="I418"/>
      <c r="J418" s="30">
        <f t="shared" si="6"/>
        <v>-9.229073584900005E-2</v>
      </c>
    </row>
    <row r="419" spans="2:10" x14ac:dyDescent="0.3">
      <c r="B419" s="29">
        <v>36951</v>
      </c>
      <c r="C419">
        <v>1239.9399410000001</v>
      </c>
      <c r="D419">
        <v>1267.420044</v>
      </c>
      <c r="E419">
        <v>1081.1899410000001</v>
      </c>
      <c r="F419">
        <v>1160.329956</v>
      </c>
      <c r="G419">
        <v>1160.329956</v>
      </c>
      <c r="H419">
        <v>27806610000</v>
      </c>
      <c r="I419"/>
      <c r="J419" s="30">
        <f t="shared" si="6"/>
        <v>-6.4204710540895493E-2</v>
      </c>
    </row>
    <row r="420" spans="2:10" x14ac:dyDescent="0.3">
      <c r="B420" s="29">
        <v>36982</v>
      </c>
      <c r="C420">
        <v>1160.329956</v>
      </c>
      <c r="D420">
        <v>1269.3000489999999</v>
      </c>
      <c r="E420">
        <v>1091.98999</v>
      </c>
      <c r="F420">
        <v>1249.459961</v>
      </c>
      <c r="G420">
        <v>1249.459961</v>
      </c>
      <c r="H420">
        <v>25409990000</v>
      </c>
      <c r="I420"/>
      <c r="J420" s="30">
        <f t="shared" si="6"/>
        <v>7.6814361759009797E-2</v>
      </c>
    </row>
    <row r="421" spans="2:10" x14ac:dyDescent="0.3">
      <c r="B421" s="29">
        <v>37012</v>
      </c>
      <c r="C421">
        <v>1249.459961</v>
      </c>
      <c r="D421">
        <v>1315.9300539999999</v>
      </c>
      <c r="E421">
        <v>1232</v>
      </c>
      <c r="F421">
        <v>1255.8199460000001</v>
      </c>
      <c r="G421">
        <v>1255.8199460000001</v>
      </c>
      <c r="H421">
        <v>24525900000</v>
      </c>
      <c r="I421"/>
      <c r="J421" s="30">
        <f t="shared" si="6"/>
        <v>5.0901871196495918E-3</v>
      </c>
    </row>
    <row r="422" spans="2:10" x14ac:dyDescent="0.3">
      <c r="B422" s="29">
        <v>37043</v>
      </c>
      <c r="C422">
        <v>1255.8199460000001</v>
      </c>
      <c r="D422">
        <v>1286.619995</v>
      </c>
      <c r="E422">
        <v>1203.030029</v>
      </c>
      <c r="F422">
        <v>1224.380005</v>
      </c>
      <c r="G422">
        <v>1224.380005</v>
      </c>
      <c r="H422">
        <v>24748030000</v>
      </c>
      <c r="I422"/>
      <c r="J422" s="30">
        <f t="shared" si="6"/>
        <v>-2.5035389109833495E-2</v>
      </c>
    </row>
    <row r="423" spans="2:10" x14ac:dyDescent="0.3">
      <c r="B423" s="29">
        <v>37073</v>
      </c>
      <c r="C423">
        <v>1224.420044</v>
      </c>
      <c r="D423">
        <v>1239.780029</v>
      </c>
      <c r="E423">
        <v>1165.540039</v>
      </c>
      <c r="F423">
        <v>1211.2299800000001</v>
      </c>
      <c r="G423">
        <v>1211.2299800000001</v>
      </c>
      <c r="H423">
        <v>23793710000</v>
      </c>
      <c r="I423"/>
      <c r="J423" s="30">
        <f t="shared" si="6"/>
        <v>-1.0740150072934163E-2</v>
      </c>
    </row>
    <row r="424" spans="2:10" x14ac:dyDescent="0.3">
      <c r="B424" s="29">
        <v>37104</v>
      </c>
      <c r="C424">
        <v>1211.2299800000001</v>
      </c>
      <c r="D424">
        <v>1226.2700199999999</v>
      </c>
      <c r="E424">
        <v>1124.869995</v>
      </c>
      <c r="F424">
        <v>1133.579956</v>
      </c>
      <c r="G424">
        <v>1133.579956</v>
      </c>
      <c r="H424">
        <v>23359200000</v>
      </c>
      <c r="I424"/>
      <c r="J424" s="30">
        <f t="shared" si="6"/>
        <v>-6.4108406563714748E-2</v>
      </c>
    </row>
    <row r="425" spans="2:10" x14ac:dyDescent="0.3">
      <c r="B425" s="29">
        <v>37135</v>
      </c>
      <c r="C425">
        <v>1133.579956</v>
      </c>
      <c r="D425">
        <v>1155.400024</v>
      </c>
      <c r="E425">
        <v>944.75</v>
      </c>
      <c r="F425">
        <v>1040.9399410000001</v>
      </c>
      <c r="G425">
        <v>1040.9399410000001</v>
      </c>
      <c r="H425">
        <v>25025290000</v>
      </c>
      <c r="I425"/>
      <c r="J425" s="30">
        <f t="shared" si="6"/>
        <v>-8.1723406019716172E-2</v>
      </c>
    </row>
    <row r="426" spans="2:10" x14ac:dyDescent="0.3">
      <c r="B426" s="29">
        <v>37165</v>
      </c>
      <c r="C426">
        <v>1040.9399410000001</v>
      </c>
      <c r="D426">
        <v>1110.6099850000001</v>
      </c>
      <c r="E426">
        <v>1026.76001</v>
      </c>
      <c r="F426">
        <v>1059.780029</v>
      </c>
      <c r="G426">
        <v>1059.780029</v>
      </c>
      <c r="H426">
        <v>29951280000</v>
      </c>
      <c r="I426"/>
      <c r="J426" s="30">
        <f t="shared" si="6"/>
        <v>1.809911144527776E-2</v>
      </c>
    </row>
    <row r="427" spans="2:10" x14ac:dyDescent="0.3">
      <c r="B427" s="29">
        <v>37196</v>
      </c>
      <c r="C427">
        <v>1059.780029</v>
      </c>
      <c r="D427">
        <v>1163.380005</v>
      </c>
      <c r="E427">
        <v>1054.3100589999999</v>
      </c>
      <c r="F427">
        <v>1139.4499510000001</v>
      </c>
      <c r="G427">
        <v>1139.4499510000001</v>
      </c>
      <c r="H427">
        <v>26330000000</v>
      </c>
      <c r="I427"/>
      <c r="J427" s="30">
        <f t="shared" si="6"/>
        <v>7.5175904263053539E-2</v>
      </c>
    </row>
    <row r="428" spans="2:10" x14ac:dyDescent="0.3">
      <c r="B428" s="29">
        <v>37226</v>
      </c>
      <c r="C428">
        <v>1139.4499510000001</v>
      </c>
      <c r="D428">
        <v>1173.619995</v>
      </c>
      <c r="E428">
        <v>1114.530029</v>
      </c>
      <c r="F428">
        <v>1148.079956</v>
      </c>
      <c r="G428">
        <v>1148.079956</v>
      </c>
      <c r="H428">
        <v>25128570000</v>
      </c>
      <c r="I428"/>
      <c r="J428" s="30">
        <f t="shared" si="6"/>
        <v>7.5738341929156849E-3</v>
      </c>
    </row>
    <row r="429" spans="2:10" x14ac:dyDescent="0.3">
      <c r="B429" s="29">
        <v>37257</v>
      </c>
      <c r="C429">
        <v>1148.079956</v>
      </c>
      <c r="D429">
        <v>1176.969971</v>
      </c>
      <c r="E429">
        <v>1081.660034</v>
      </c>
      <c r="F429">
        <v>1130.1999510000001</v>
      </c>
      <c r="G429">
        <v>1130.1999510000001</v>
      </c>
      <c r="H429">
        <v>29746200000</v>
      </c>
      <c r="I429"/>
      <c r="J429" s="30">
        <f t="shared" si="6"/>
        <v>-1.5573832559794276E-2</v>
      </c>
    </row>
    <row r="430" spans="2:10" x14ac:dyDescent="0.3">
      <c r="B430" s="29">
        <v>37288</v>
      </c>
      <c r="C430">
        <v>1130.1999510000001</v>
      </c>
      <c r="D430">
        <v>1130.1999510000001</v>
      </c>
      <c r="E430">
        <v>1074.3599850000001</v>
      </c>
      <c r="F430">
        <v>1106.7299800000001</v>
      </c>
      <c r="G430">
        <v>1106.7299800000001</v>
      </c>
      <c r="H430">
        <v>26047600000</v>
      </c>
      <c r="I430"/>
      <c r="J430" s="30">
        <f t="shared" si="6"/>
        <v>-2.0766211305560334E-2</v>
      </c>
    </row>
    <row r="431" spans="2:10" x14ac:dyDescent="0.3">
      <c r="B431" s="29">
        <v>37316</v>
      </c>
      <c r="C431">
        <v>1106.7299800000001</v>
      </c>
      <c r="D431">
        <v>1173.9399410000001</v>
      </c>
      <c r="E431">
        <v>1106.7299800000001</v>
      </c>
      <c r="F431">
        <v>1147.3900149999999</v>
      </c>
      <c r="G431">
        <v>1147.3900149999999</v>
      </c>
      <c r="H431">
        <v>26563200000</v>
      </c>
      <c r="I431"/>
      <c r="J431" s="30">
        <f t="shared" si="6"/>
        <v>3.6738893618839086E-2</v>
      </c>
    </row>
    <row r="432" spans="2:10" x14ac:dyDescent="0.3">
      <c r="B432" s="29">
        <v>37347</v>
      </c>
      <c r="C432">
        <v>1147.3900149999999</v>
      </c>
      <c r="D432">
        <v>1147.839966</v>
      </c>
      <c r="E432">
        <v>1063.459961</v>
      </c>
      <c r="F432">
        <v>1076.920044</v>
      </c>
      <c r="G432">
        <v>1076.920044</v>
      </c>
      <c r="H432">
        <v>28568900000</v>
      </c>
      <c r="I432"/>
      <c r="J432" s="30">
        <f t="shared" si="6"/>
        <v>-6.1417626159139926E-2</v>
      </c>
    </row>
    <row r="433" spans="2:10" x14ac:dyDescent="0.3">
      <c r="B433" s="29">
        <v>37377</v>
      </c>
      <c r="C433">
        <v>1076.920044</v>
      </c>
      <c r="D433">
        <v>1106.589966</v>
      </c>
      <c r="E433">
        <v>1048.959961</v>
      </c>
      <c r="F433">
        <v>1067.1400149999999</v>
      </c>
      <c r="G433">
        <v>1067.1400149999999</v>
      </c>
      <c r="H433">
        <v>26905500000</v>
      </c>
      <c r="I433"/>
      <c r="J433" s="30">
        <f t="shared" si="6"/>
        <v>-9.0814810760454501E-3</v>
      </c>
    </row>
    <row r="434" spans="2:10" x14ac:dyDescent="0.3">
      <c r="B434" s="29">
        <v>37408</v>
      </c>
      <c r="C434">
        <v>1067.1400149999999</v>
      </c>
      <c r="D434">
        <v>1070.73999</v>
      </c>
      <c r="E434">
        <v>952.919983</v>
      </c>
      <c r="F434">
        <v>989.82000700000003</v>
      </c>
      <c r="G434">
        <v>989.82000700000003</v>
      </c>
      <c r="H434">
        <v>29981510000</v>
      </c>
      <c r="I434"/>
      <c r="J434" s="30">
        <f t="shared" si="6"/>
        <v>-7.245535441757367E-2</v>
      </c>
    </row>
    <row r="435" spans="2:10" x14ac:dyDescent="0.3">
      <c r="B435" s="29">
        <v>37438</v>
      </c>
      <c r="C435">
        <v>989.82000700000003</v>
      </c>
      <c r="D435">
        <v>994.46002199999998</v>
      </c>
      <c r="E435">
        <v>775.67999299999997</v>
      </c>
      <c r="F435">
        <v>911.61999500000002</v>
      </c>
      <c r="G435">
        <v>911.61999500000002</v>
      </c>
      <c r="H435">
        <v>42228720000</v>
      </c>
      <c r="I435"/>
      <c r="J435" s="30">
        <f t="shared" si="6"/>
        <v>-7.9004274966125276E-2</v>
      </c>
    </row>
    <row r="436" spans="2:10" x14ac:dyDescent="0.3">
      <c r="B436" s="29">
        <v>37469</v>
      </c>
      <c r="C436">
        <v>911.61999500000002</v>
      </c>
      <c r="D436">
        <v>965</v>
      </c>
      <c r="E436">
        <v>833.44000200000005</v>
      </c>
      <c r="F436">
        <v>916.07000700000003</v>
      </c>
      <c r="G436">
        <v>916.07000700000003</v>
      </c>
      <c r="H436">
        <v>29298400000</v>
      </c>
      <c r="I436"/>
      <c r="J436" s="30">
        <f t="shared" si="6"/>
        <v>4.8814330800193151E-3</v>
      </c>
    </row>
    <row r="437" spans="2:10" x14ac:dyDescent="0.3">
      <c r="B437" s="29">
        <v>37500</v>
      </c>
      <c r="C437">
        <v>916.07000700000003</v>
      </c>
      <c r="D437">
        <v>924.02002000000005</v>
      </c>
      <c r="E437">
        <v>800.20001200000002</v>
      </c>
      <c r="F437">
        <v>815.28002900000001</v>
      </c>
      <c r="G437">
        <v>815.28002900000001</v>
      </c>
      <c r="H437">
        <v>27723710000</v>
      </c>
      <c r="I437"/>
      <c r="J437" s="30">
        <f t="shared" si="6"/>
        <v>-0.11002431826151904</v>
      </c>
    </row>
    <row r="438" spans="2:10" x14ac:dyDescent="0.3">
      <c r="B438" s="29">
        <v>37530</v>
      </c>
      <c r="C438">
        <v>815.28002900000001</v>
      </c>
      <c r="D438">
        <v>907.44000200000005</v>
      </c>
      <c r="E438">
        <v>768.63000499999998</v>
      </c>
      <c r="F438">
        <v>885.76000999999997</v>
      </c>
      <c r="G438">
        <v>885.76000999999997</v>
      </c>
      <c r="H438">
        <v>37856310000</v>
      </c>
      <c r="I438"/>
      <c r="J438" s="30">
        <f t="shared" si="6"/>
        <v>8.6448801016809851E-2</v>
      </c>
    </row>
    <row r="439" spans="2:10" x14ac:dyDescent="0.3">
      <c r="B439" s="29">
        <v>37561</v>
      </c>
      <c r="C439">
        <v>885.76000999999997</v>
      </c>
      <c r="D439">
        <v>941.82000700000003</v>
      </c>
      <c r="E439">
        <v>872.04998799999998</v>
      </c>
      <c r="F439">
        <v>936.30999799999995</v>
      </c>
      <c r="G439">
        <v>936.30999799999995</v>
      </c>
      <c r="H439">
        <v>29200960000</v>
      </c>
      <c r="I439"/>
      <c r="J439" s="30">
        <f t="shared" si="6"/>
        <v>5.7069620923617892E-2</v>
      </c>
    </row>
    <row r="440" spans="2:10" x14ac:dyDescent="0.3">
      <c r="B440" s="29">
        <v>37591</v>
      </c>
      <c r="C440">
        <v>936.30999799999995</v>
      </c>
      <c r="D440">
        <v>954.28002900000001</v>
      </c>
      <c r="E440">
        <v>869.45001200000002</v>
      </c>
      <c r="F440">
        <v>879.82000700000003</v>
      </c>
      <c r="G440">
        <v>879.82000700000003</v>
      </c>
      <c r="H440">
        <v>25993640000</v>
      </c>
      <c r="I440"/>
      <c r="J440" s="30">
        <f t="shared" si="6"/>
        <v>-6.0332572674290597E-2</v>
      </c>
    </row>
    <row r="441" spans="2:10" x14ac:dyDescent="0.3">
      <c r="B441" s="29">
        <v>37622</v>
      </c>
      <c r="C441">
        <v>879.82000700000003</v>
      </c>
      <c r="D441">
        <v>935.04998799999998</v>
      </c>
      <c r="E441">
        <v>840.34002699999996</v>
      </c>
      <c r="F441">
        <v>855.70001200000002</v>
      </c>
      <c r="G441">
        <v>855.70001200000002</v>
      </c>
      <c r="H441">
        <v>30749580000</v>
      </c>
      <c r="I441"/>
      <c r="J441" s="30">
        <f t="shared" si="6"/>
        <v>-2.7414692559952214E-2</v>
      </c>
    </row>
    <row r="442" spans="2:10" x14ac:dyDescent="0.3">
      <c r="B442" s="29">
        <v>37653</v>
      </c>
      <c r="C442">
        <v>855.70001200000002</v>
      </c>
      <c r="D442">
        <v>864.64001499999995</v>
      </c>
      <c r="E442">
        <v>806.28997800000002</v>
      </c>
      <c r="F442">
        <v>841.15002400000003</v>
      </c>
      <c r="G442">
        <v>841.15002400000003</v>
      </c>
      <c r="H442">
        <v>25235300000</v>
      </c>
      <c r="I442"/>
      <c r="J442" s="30">
        <f t="shared" si="6"/>
        <v>-1.7003608502929368E-2</v>
      </c>
    </row>
    <row r="443" spans="2:10" x14ac:dyDescent="0.3">
      <c r="B443" s="29">
        <v>37681</v>
      </c>
      <c r="C443">
        <v>841.15002400000003</v>
      </c>
      <c r="D443">
        <v>895.90002400000003</v>
      </c>
      <c r="E443">
        <v>788.90002400000003</v>
      </c>
      <c r="F443">
        <v>848.17999299999997</v>
      </c>
      <c r="G443">
        <v>848.17999299999997</v>
      </c>
      <c r="H443">
        <v>30080030000</v>
      </c>
      <c r="I443"/>
      <c r="J443" s="30">
        <f t="shared" si="6"/>
        <v>8.3575685661514409E-3</v>
      </c>
    </row>
    <row r="444" spans="2:10" x14ac:dyDescent="0.3">
      <c r="B444" s="29">
        <v>37712</v>
      </c>
      <c r="C444">
        <v>848.17999299999997</v>
      </c>
      <c r="D444">
        <v>924.23999000000003</v>
      </c>
      <c r="E444">
        <v>847.84997599999997</v>
      </c>
      <c r="F444">
        <v>916.919983</v>
      </c>
      <c r="G444">
        <v>916.919983</v>
      </c>
      <c r="H444">
        <v>29669610000</v>
      </c>
      <c r="I444"/>
      <c r="J444" s="30">
        <f t="shared" si="6"/>
        <v>8.1044106872726118E-2</v>
      </c>
    </row>
    <row r="445" spans="2:10" x14ac:dyDescent="0.3">
      <c r="B445" s="29">
        <v>37742</v>
      </c>
      <c r="C445">
        <v>916.919983</v>
      </c>
      <c r="D445">
        <v>965.38000499999998</v>
      </c>
      <c r="E445">
        <v>902.830017</v>
      </c>
      <c r="F445">
        <v>963.59002699999996</v>
      </c>
      <c r="G445">
        <v>963.59002699999996</v>
      </c>
      <c r="H445">
        <v>30952100000</v>
      </c>
      <c r="I445"/>
      <c r="J445" s="30">
        <f t="shared" si="6"/>
        <v>5.0898709664177977E-2</v>
      </c>
    </row>
    <row r="446" spans="2:10" x14ac:dyDescent="0.3">
      <c r="B446" s="29">
        <v>37773</v>
      </c>
      <c r="C446">
        <v>963.59002699999996</v>
      </c>
      <c r="D446">
        <v>1015.330017</v>
      </c>
      <c r="E446">
        <v>963.59002699999996</v>
      </c>
      <c r="F446">
        <v>974.5</v>
      </c>
      <c r="G446">
        <v>974.5</v>
      </c>
      <c r="H446">
        <v>31219400000</v>
      </c>
      <c r="I446"/>
      <c r="J446" s="30">
        <f t="shared" si="6"/>
        <v>1.1322214525161467E-2</v>
      </c>
    </row>
    <row r="447" spans="2:10" x14ac:dyDescent="0.3">
      <c r="B447" s="29">
        <v>37803</v>
      </c>
      <c r="C447">
        <v>974.5</v>
      </c>
      <c r="D447">
        <v>1015.409973</v>
      </c>
      <c r="E447">
        <v>962.09997599999997</v>
      </c>
      <c r="F447">
        <v>990.30999799999995</v>
      </c>
      <c r="G447">
        <v>990.30999799999995</v>
      </c>
      <c r="H447">
        <v>31553200000</v>
      </c>
      <c r="I447"/>
      <c r="J447" s="30">
        <f t="shared" si="6"/>
        <v>1.6223702411493068E-2</v>
      </c>
    </row>
    <row r="448" spans="2:10" x14ac:dyDescent="0.3">
      <c r="B448" s="29">
        <v>37834</v>
      </c>
      <c r="C448">
        <v>990.30999799999995</v>
      </c>
      <c r="D448">
        <v>1011.01001</v>
      </c>
      <c r="E448">
        <v>960.84002699999996</v>
      </c>
      <c r="F448">
        <v>1008.01001</v>
      </c>
      <c r="G448">
        <v>1008.01001</v>
      </c>
      <c r="H448">
        <v>24881470000</v>
      </c>
      <c r="I448"/>
      <c r="J448" s="30">
        <f t="shared" si="6"/>
        <v>1.7873203376464364E-2</v>
      </c>
    </row>
    <row r="449" spans="2:10" x14ac:dyDescent="0.3">
      <c r="B449" s="29">
        <v>37865</v>
      </c>
      <c r="C449">
        <v>1008.01001</v>
      </c>
      <c r="D449">
        <v>1040.290039</v>
      </c>
      <c r="E449">
        <v>990.35998500000005</v>
      </c>
      <c r="F449">
        <v>995.96997099999999</v>
      </c>
      <c r="G449">
        <v>995.96997099999999</v>
      </c>
      <c r="H449">
        <v>29940110000</v>
      </c>
      <c r="I449"/>
      <c r="J449" s="30">
        <f t="shared" si="6"/>
        <v>-1.194436452074521E-2</v>
      </c>
    </row>
    <row r="450" spans="2:10" x14ac:dyDescent="0.3">
      <c r="B450" s="29">
        <v>37895</v>
      </c>
      <c r="C450">
        <v>995.96997099999999</v>
      </c>
      <c r="D450">
        <v>1053.790039</v>
      </c>
      <c r="E450">
        <v>995.96997099999999</v>
      </c>
      <c r="F450">
        <v>1050.709961</v>
      </c>
      <c r="G450">
        <v>1050.709961</v>
      </c>
      <c r="H450">
        <v>32298500000</v>
      </c>
      <c r="I450"/>
      <c r="J450" s="30">
        <f t="shared" si="6"/>
        <v>5.496148638401066E-2</v>
      </c>
    </row>
    <row r="451" spans="2:10" x14ac:dyDescent="0.3">
      <c r="B451" s="29">
        <v>37926</v>
      </c>
      <c r="C451">
        <v>1050.709961</v>
      </c>
      <c r="D451">
        <v>1063.650024</v>
      </c>
      <c r="E451">
        <v>1031.1999510000001</v>
      </c>
      <c r="F451">
        <v>1058.1999510000001</v>
      </c>
      <c r="G451">
        <v>1058.1999510000001</v>
      </c>
      <c r="H451">
        <v>24463220000</v>
      </c>
      <c r="I451"/>
      <c r="J451" s="30">
        <f t="shared" si="6"/>
        <v>7.1285038478854368E-3</v>
      </c>
    </row>
    <row r="452" spans="2:10" x14ac:dyDescent="0.3">
      <c r="B452" s="29">
        <v>37956</v>
      </c>
      <c r="C452">
        <v>1058.1999510000001</v>
      </c>
      <c r="D452">
        <v>1112.5600589999999</v>
      </c>
      <c r="E452">
        <v>1053.410034</v>
      </c>
      <c r="F452">
        <v>1111.920044</v>
      </c>
      <c r="G452">
        <v>1111.920044</v>
      </c>
      <c r="H452">
        <v>27839130000</v>
      </c>
      <c r="I452"/>
      <c r="J452" s="30">
        <f t="shared" si="6"/>
        <v>5.0765541001239312E-2</v>
      </c>
    </row>
    <row r="453" spans="2:10" x14ac:dyDescent="0.3">
      <c r="B453" s="29">
        <v>37987</v>
      </c>
      <c r="C453">
        <v>1111.920044</v>
      </c>
      <c r="D453">
        <v>1155.380005</v>
      </c>
      <c r="E453">
        <v>1105.079956</v>
      </c>
      <c r="F453">
        <v>1131.130005</v>
      </c>
      <c r="G453">
        <v>1131.130005</v>
      </c>
      <c r="H453">
        <v>32820000000</v>
      </c>
      <c r="I453"/>
      <c r="J453" s="30">
        <f t="shared" si="6"/>
        <v>1.7276387006114557E-2</v>
      </c>
    </row>
    <row r="454" spans="2:10" x14ac:dyDescent="0.3">
      <c r="B454" s="29">
        <v>38018</v>
      </c>
      <c r="C454">
        <v>1131.130005</v>
      </c>
      <c r="D454">
        <v>1158.9799800000001</v>
      </c>
      <c r="E454">
        <v>1124.4399410000001</v>
      </c>
      <c r="F454">
        <v>1144.9399410000001</v>
      </c>
      <c r="G454">
        <v>1144.9399410000001</v>
      </c>
      <c r="H454">
        <v>27985600000</v>
      </c>
      <c r="I454"/>
      <c r="J454" s="30">
        <f t="shared" si="6"/>
        <v>1.2208973273589496E-2</v>
      </c>
    </row>
    <row r="455" spans="2:10" x14ac:dyDescent="0.3">
      <c r="B455" s="29">
        <v>38047</v>
      </c>
      <c r="C455">
        <v>1144.9399410000001</v>
      </c>
      <c r="D455">
        <v>1163.2299800000001</v>
      </c>
      <c r="E455">
        <v>1087.160034</v>
      </c>
      <c r="F455">
        <v>1126.209961</v>
      </c>
      <c r="G455">
        <v>1126.209961</v>
      </c>
      <c r="H455">
        <v>33597900000</v>
      </c>
      <c r="I455"/>
      <c r="J455" s="30">
        <f t="shared" si="6"/>
        <v>-1.6358919214261247E-2</v>
      </c>
    </row>
    <row r="456" spans="2:10" x14ac:dyDescent="0.3">
      <c r="B456" s="29">
        <v>38078</v>
      </c>
      <c r="C456">
        <v>1126.209961</v>
      </c>
      <c r="D456">
        <v>1150.5699460000001</v>
      </c>
      <c r="E456">
        <v>1107.2299800000001</v>
      </c>
      <c r="F456">
        <v>1107.3000489999999</v>
      </c>
      <c r="G456">
        <v>1107.3000489999999</v>
      </c>
      <c r="H456">
        <v>31611900000</v>
      </c>
      <c r="I456"/>
      <c r="J456" s="30">
        <f t="shared" si="6"/>
        <v>-1.6790751862298725E-2</v>
      </c>
    </row>
    <row r="457" spans="2:10" x14ac:dyDescent="0.3">
      <c r="B457" s="29">
        <v>38108</v>
      </c>
      <c r="C457">
        <v>1107.3000489999999</v>
      </c>
      <c r="D457">
        <v>1127.73999</v>
      </c>
      <c r="E457">
        <v>1076.3199460000001</v>
      </c>
      <c r="F457">
        <v>1120.6800539999999</v>
      </c>
      <c r="G457">
        <v>1120.6800539999999</v>
      </c>
      <c r="H457">
        <v>29326400000</v>
      </c>
      <c r="I457"/>
      <c r="J457" s="30">
        <f t="shared" si="6"/>
        <v>1.2083450201310297E-2</v>
      </c>
    </row>
    <row r="458" spans="2:10" x14ac:dyDescent="0.3">
      <c r="B458" s="29">
        <v>38139</v>
      </c>
      <c r="C458">
        <v>1120.6800539999999</v>
      </c>
      <c r="D458">
        <v>1146.339966</v>
      </c>
      <c r="E458">
        <v>1113.3199460000001</v>
      </c>
      <c r="F458">
        <v>1140.839966</v>
      </c>
      <c r="G458">
        <v>1140.839966</v>
      </c>
      <c r="H458">
        <v>27529500000</v>
      </c>
      <c r="I458"/>
      <c r="J458" s="30">
        <f t="shared" si="6"/>
        <v>1.7988998669195677E-2</v>
      </c>
    </row>
    <row r="459" spans="2:10" x14ac:dyDescent="0.3">
      <c r="B459" s="29">
        <v>38169</v>
      </c>
      <c r="C459">
        <v>1140.839966</v>
      </c>
      <c r="D459">
        <v>1140.839966</v>
      </c>
      <c r="E459">
        <v>1078.780029</v>
      </c>
      <c r="F459">
        <v>1101.719971</v>
      </c>
      <c r="G459">
        <v>1101.719971</v>
      </c>
      <c r="H459">
        <v>29285600000</v>
      </c>
      <c r="I459"/>
      <c r="J459" s="30">
        <f t="shared" ref="J459:J522" si="7">F459/F458-1</f>
        <v>-3.4290519411904974E-2</v>
      </c>
    </row>
    <row r="460" spans="2:10" x14ac:dyDescent="0.3">
      <c r="B460" s="29">
        <v>38200</v>
      </c>
      <c r="C460">
        <v>1101.719971</v>
      </c>
      <c r="D460">
        <v>1109.6800539999999</v>
      </c>
      <c r="E460">
        <v>1060.719971</v>
      </c>
      <c r="F460">
        <v>1104.23999</v>
      </c>
      <c r="G460">
        <v>1104.23999</v>
      </c>
      <c r="H460">
        <v>26586800000</v>
      </c>
      <c r="I460"/>
      <c r="J460" s="30">
        <f t="shared" si="7"/>
        <v>2.287349840552233E-3</v>
      </c>
    </row>
    <row r="461" spans="2:10" x14ac:dyDescent="0.3">
      <c r="B461" s="29">
        <v>38231</v>
      </c>
      <c r="C461">
        <v>1104.23999</v>
      </c>
      <c r="D461">
        <v>1131.540039</v>
      </c>
      <c r="E461">
        <v>1099.1800539999999</v>
      </c>
      <c r="F461">
        <v>1114.579956</v>
      </c>
      <c r="G461">
        <v>1114.579956</v>
      </c>
      <c r="H461">
        <v>26829870000</v>
      </c>
      <c r="I461"/>
      <c r="J461" s="30">
        <f t="shared" si="7"/>
        <v>9.3638756915515042E-3</v>
      </c>
    </row>
    <row r="462" spans="2:10" x14ac:dyDescent="0.3">
      <c r="B462" s="29">
        <v>38261</v>
      </c>
      <c r="C462">
        <v>1114.579956</v>
      </c>
      <c r="D462">
        <v>1142.0500489999999</v>
      </c>
      <c r="E462">
        <v>1090.290039</v>
      </c>
      <c r="F462">
        <v>1130.1999510000001</v>
      </c>
      <c r="G462">
        <v>1130.1999510000001</v>
      </c>
      <c r="H462">
        <v>31511000000</v>
      </c>
      <c r="I462"/>
      <c r="J462" s="30">
        <f t="shared" si="7"/>
        <v>1.4014243586486952E-2</v>
      </c>
    </row>
    <row r="463" spans="2:10" x14ac:dyDescent="0.3">
      <c r="B463" s="29">
        <v>38292</v>
      </c>
      <c r="C463">
        <v>1130.1999510000001</v>
      </c>
      <c r="D463">
        <v>1188.459961</v>
      </c>
      <c r="E463">
        <v>1127.599976</v>
      </c>
      <c r="F463">
        <v>1173.8199460000001</v>
      </c>
      <c r="G463">
        <v>1173.8199460000001</v>
      </c>
      <c r="H463">
        <v>30460280000</v>
      </c>
      <c r="I463"/>
      <c r="J463" s="30">
        <f t="shared" si="7"/>
        <v>3.8594936198152352E-2</v>
      </c>
    </row>
    <row r="464" spans="2:10" x14ac:dyDescent="0.3">
      <c r="B464" s="29">
        <v>38322</v>
      </c>
      <c r="C464">
        <v>1173.780029</v>
      </c>
      <c r="D464">
        <v>1217.329956</v>
      </c>
      <c r="E464">
        <v>1173.780029</v>
      </c>
      <c r="F464">
        <v>1211.920044</v>
      </c>
      <c r="G464">
        <v>1211.920044</v>
      </c>
      <c r="H464">
        <v>31102500000</v>
      </c>
      <c r="I464"/>
      <c r="J464" s="30">
        <f t="shared" si="7"/>
        <v>3.24582131440454E-2</v>
      </c>
    </row>
    <row r="465" spans="2:10" x14ac:dyDescent="0.3">
      <c r="B465" s="29">
        <v>38353</v>
      </c>
      <c r="C465">
        <v>1211.920044</v>
      </c>
      <c r="D465">
        <v>1217.8000489999999</v>
      </c>
      <c r="E465">
        <v>1163.75</v>
      </c>
      <c r="F465">
        <v>1181.2700199999999</v>
      </c>
      <c r="G465">
        <v>1181.2700199999999</v>
      </c>
      <c r="H465">
        <v>31498800000</v>
      </c>
      <c r="I465"/>
      <c r="J465" s="30">
        <f t="shared" si="7"/>
        <v>-2.5290467099494562E-2</v>
      </c>
    </row>
    <row r="466" spans="2:10" x14ac:dyDescent="0.3">
      <c r="B466" s="29">
        <v>38384</v>
      </c>
      <c r="C466">
        <v>1181.2700199999999</v>
      </c>
      <c r="D466">
        <v>1212.4399410000001</v>
      </c>
      <c r="E466">
        <v>1180.9499510000001</v>
      </c>
      <c r="F466">
        <v>1203.599976</v>
      </c>
      <c r="G466">
        <v>1203.599976</v>
      </c>
      <c r="H466">
        <v>29297410000</v>
      </c>
      <c r="I466"/>
      <c r="J466" s="30">
        <f t="shared" si="7"/>
        <v>1.8903346078316563E-2</v>
      </c>
    </row>
    <row r="467" spans="2:10" x14ac:dyDescent="0.3">
      <c r="B467" s="29">
        <v>38412</v>
      </c>
      <c r="C467">
        <v>1203.599976</v>
      </c>
      <c r="D467">
        <v>1229.1099850000001</v>
      </c>
      <c r="E467">
        <v>1163.6899410000001</v>
      </c>
      <c r="F467">
        <v>1180.589966</v>
      </c>
      <c r="G467">
        <v>1180.589966</v>
      </c>
      <c r="H467">
        <v>39014150000</v>
      </c>
      <c r="I467"/>
      <c r="J467" s="30">
        <f t="shared" si="7"/>
        <v>-1.9117655748441043E-2</v>
      </c>
    </row>
    <row r="468" spans="2:10" x14ac:dyDescent="0.3">
      <c r="B468" s="29">
        <v>38443</v>
      </c>
      <c r="C468">
        <v>1180.589966</v>
      </c>
      <c r="D468">
        <v>1191.880005</v>
      </c>
      <c r="E468">
        <v>1136.150024</v>
      </c>
      <c r="F468">
        <v>1156.849976</v>
      </c>
      <c r="G468">
        <v>1156.849976</v>
      </c>
      <c r="H468">
        <v>43424270000</v>
      </c>
      <c r="I468"/>
      <c r="J468" s="30">
        <f t="shared" si="7"/>
        <v>-2.0108581881679299E-2</v>
      </c>
    </row>
    <row r="469" spans="2:10" x14ac:dyDescent="0.3">
      <c r="B469" s="29">
        <v>38473</v>
      </c>
      <c r="C469">
        <v>1156.849976</v>
      </c>
      <c r="D469">
        <v>1199.5600589999999</v>
      </c>
      <c r="E469">
        <v>1146.1800539999999</v>
      </c>
      <c r="F469">
        <v>1191.5</v>
      </c>
      <c r="G469">
        <v>1191.5</v>
      </c>
      <c r="H469">
        <v>39321990000</v>
      </c>
      <c r="I469"/>
      <c r="J469" s="30">
        <f t="shared" si="7"/>
        <v>2.9952046262565757E-2</v>
      </c>
    </row>
    <row r="470" spans="2:10" x14ac:dyDescent="0.3">
      <c r="B470" s="29">
        <v>38504</v>
      </c>
      <c r="C470">
        <v>1191.5</v>
      </c>
      <c r="D470">
        <v>1219.589966</v>
      </c>
      <c r="E470">
        <v>1188.3000489999999</v>
      </c>
      <c r="F470">
        <v>1191.329956</v>
      </c>
      <c r="G470">
        <v>1191.329956</v>
      </c>
      <c r="H470">
        <v>40334040000</v>
      </c>
      <c r="I470"/>
      <c r="J470" s="30">
        <f t="shared" si="7"/>
        <v>-1.427142257658387E-4</v>
      </c>
    </row>
    <row r="471" spans="2:10" x14ac:dyDescent="0.3">
      <c r="B471" s="29">
        <v>38534</v>
      </c>
      <c r="C471">
        <v>1191.329956</v>
      </c>
      <c r="D471">
        <v>1245.150024</v>
      </c>
      <c r="E471">
        <v>1183.5500489999999</v>
      </c>
      <c r="F471">
        <v>1234.1800539999999</v>
      </c>
      <c r="G471">
        <v>1234.1800539999999</v>
      </c>
      <c r="H471">
        <v>37464670000</v>
      </c>
      <c r="I471"/>
      <c r="J471" s="30">
        <f t="shared" si="7"/>
        <v>3.5968287193812287E-2</v>
      </c>
    </row>
    <row r="472" spans="2:10" x14ac:dyDescent="0.3">
      <c r="B472" s="29">
        <v>38565</v>
      </c>
      <c r="C472">
        <v>1234.1800539999999</v>
      </c>
      <c r="D472">
        <v>1245.8599850000001</v>
      </c>
      <c r="E472">
        <v>1201.0699460000001</v>
      </c>
      <c r="F472">
        <v>1220.329956</v>
      </c>
      <c r="G472">
        <v>1220.329956</v>
      </c>
      <c r="H472">
        <v>42030090000</v>
      </c>
      <c r="I472"/>
      <c r="J472" s="30">
        <f t="shared" si="7"/>
        <v>-1.1222104874496597E-2</v>
      </c>
    </row>
    <row r="473" spans="2:10" x14ac:dyDescent="0.3">
      <c r="B473" s="29">
        <v>38596</v>
      </c>
      <c r="C473">
        <v>1220.329956</v>
      </c>
      <c r="D473">
        <v>1243.130005</v>
      </c>
      <c r="E473">
        <v>1205.349976</v>
      </c>
      <c r="F473">
        <v>1228.8100589999999</v>
      </c>
      <c r="G473">
        <v>1228.8100589999999</v>
      </c>
      <c r="H473">
        <v>44777510000</v>
      </c>
      <c r="I473"/>
      <c r="J473" s="30">
        <f t="shared" si="7"/>
        <v>6.9490246947603307E-3</v>
      </c>
    </row>
    <row r="474" spans="2:10" x14ac:dyDescent="0.3">
      <c r="B474" s="29">
        <v>38626</v>
      </c>
      <c r="C474">
        <v>1228.8100589999999</v>
      </c>
      <c r="D474">
        <v>1233.339966</v>
      </c>
      <c r="E474">
        <v>1168.1999510000001</v>
      </c>
      <c r="F474">
        <v>1207.01001</v>
      </c>
      <c r="G474">
        <v>1207.01001</v>
      </c>
      <c r="H474">
        <v>49793790000</v>
      </c>
      <c r="I474"/>
      <c r="J474" s="30">
        <f t="shared" si="7"/>
        <v>-1.7740780066319406E-2</v>
      </c>
    </row>
    <row r="475" spans="2:10" x14ac:dyDescent="0.3">
      <c r="B475" s="29">
        <v>38657</v>
      </c>
      <c r="C475">
        <v>1207.01001</v>
      </c>
      <c r="D475">
        <v>1270.6400149999999</v>
      </c>
      <c r="E475">
        <v>1201.0699460000001</v>
      </c>
      <c r="F475">
        <v>1249.4799800000001</v>
      </c>
      <c r="G475">
        <v>1249.4799800000001</v>
      </c>
      <c r="H475">
        <v>45102870000</v>
      </c>
      <c r="I475"/>
      <c r="J475" s="30">
        <f t="shared" si="7"/>
        <v>3.5186095929726546E-2</v>
      </c>
    </row>
    <row r="476" spans="2:10" x14ac:dyDescent="0.3">
      <c r="B476" s="29">
        <v>38687</v>
      </c>
      <c r="C476">
        <v>1249.4799800000001</v>
      </c>
      <c r="D476">
        <v>1275.8000489999999</v>
      </c>
      <c r="E476">
        <v>1246.589966</v>
      </c>
      <c r="F476">
        <v>1248.290039</v>
      </c>
      <c r="G476">
        <v>1248.290039</v>
      </c>
      <c r="H476">
        <v>41756130000</v>
      </c>
      <c r="I476"/>
      <c r="J476" s="30">
        <f t="shared" si="7"/>
        <v>-9.5234899241847248E-4</v>
      </c>
    </row>
    <row r="477" spans="2:10" x14ac:dyDescent="0.3">
      <c r="B477" s="29">
        <v>38718</v>
      </c>
      <c r="C477">
        <v>1248.290039</v>
      </c>
      <c r="D477">
        <v>1294.900024</v>
      </c>
      <c r="E477">
        <v>1245.73999</v>
      </c>
      <c r="F477">
        <v>1280.079956</v>
      </c>
      <c r="G477">
        <v>1280.079956</v>
      </c>
      <c r="H477">
        <v>49211650000</v>
      </c>
      <c r="I477"/>
      <c r="J477" s="30">
        <f t="shared" si="7"/>
        <v>2.5466771348641615E-2</v>
      </c>
    </row>
    <row r="478" spans="2:10" x14ac:dyDescent="0.3">
      <c r="B478" s="29">
        <v>38749</v>
      </c>
      <c r="C478">
        <v>1280.079956</v>
      </c>
      <c r="D478">
        <v>1297.5699460000001</v>
      </c>
      <c r="E478">
        <v>1253.6099850000001</v>
      </c>
      <c r="F478">
        <v>1280.660034</v>
      </c>
      <c r="G478">
        <v>1280.660034</v>
      </c>
      <c r="H478">
        <v>42859940000</v>
      </c>
      <c r="I478"/>
      <c r="J478" s="30">
        <f t="shared" si="7"/>
        <v>4.5315763072539816E-4</v>
      </c>
    </row>
    <row r="479" spans="2:10" x14ac:dyDescent="0.3">
      <c r="B479" s="29">
        <v>38777</v>
      </c>
      <c r="C479">
        <v>1280.660034</v>
      </c>
      <c r="D479">
        <v>1310.880005</v>
      </c>
      <c r="E479">
        <v>1268.420044</v>
      </c>
      <c r="F479">
        <v>1294.869995</v>
      </c>
      <c r="G479">
        <v>1294.869995</v>
      </c>
      <c r="H479">
        <v>50905040000</v>
      </c>
      <c r="I479"/>
      <c r="J479" s="30">
        <f t="shared" si="7"/>
        <v>1.1095810459249567E-2</v>
      </c>
    </row>
    <row r="480" spans="2:10" x14ac:dyDescent="0.3">
      <c r="B480" s="29">
        <v>38808</v>
      </c>
      <c r="C480">
        <v>1302.880005</v>
      </c>
      <c r="D480">
        <v>1318.160034</v>
      </c>
      <c r="E480">
        <v>1280.73999</v>
      </c>
      <c r="F480">
        <v>1310.6099850000001</v>
      </c>
      <c r="G480">
        <v>1310.6099850000001</v>
      </c>
      <c r="H480">
        <v>43308430000</v>
      </c>
      <c r="I480"/>
      <c r="J480" s="30">
        <f t="shared" si="7"/>
        <v>1.2155652737941391E-2</v>
      </c>
    </row>
    <row r="481" spans="2:10" x14ac:dyDescent="0.3">
      <c r="B481" s="29">
        <v>38838</v>
      </c>
      <c r="C481">
        <v>1310.6099850000001</v>
      </c>
      <c r="D481">
        <v>1326.6999510000001</v>
      </c>
      <c r="E481">
        <v>1245.339966</v>
      </c>
      <c r="F481">
        <v>1270.089966</v>
      </c>
      <c r="G481">
        <v>1270.089966</v>
      </c>
      <c r="H481">
        <v>54312830000</v>
      </c>
      <c r="I481"/>
      <c r="J481" s="30">
        <f t="shared" si="7"/>
        <v>-3.0916916141150885E-2</v>
      </c>
    </row>
    <row r="482" spans="2:10" x14ac:dyDescent="0.3">
      <c r="B482" s="29">
        <v>38869</v>
      </c>
      <c r="C482">
        <v>1270.0500489999999</v>
      </c>
      <c r="D482">
        <v>1290.6800539999999</v>
      </c>
      <c r="E482">
        <v>1219.290039</v>
      </c>
      <c r="F482">
        <v>1270.1999510000001</v>
      </c>
      <c r="G482">
        <v>1270.1999510000001</v>
      </c>
      <c r="H482">
        <v>54873260000</v>
      </c>
      <c r="I482"/>
      <c r="J482" s="30">
        <f t="shared" si="7"/>
        <v>8.6596227782509416E-5</v>
      </c>
    </row>
    <row r="483" spans="2:10" x14ac:dyDescent="0.3">
      <c r="B483" s="29">
        <v>38899</v>
      </c>
      <c r="C483">
        <v>1270.0600589999999</v>
      </c>
      <c r="D483">
        <v>1280.420044</v>
      </c>
      <c r="E483">
        <v>1224.540039</v>
      </c>
      <c r="F483">
        <v>1276.660034</v>
      </c>
      <c r="G483">
        <v>1276.660034</v>
      </c>
      <c r="H483">
        <v>46348220000</v>
      </c>
      <c r="I483"/>
      <c r="J483" s="30">
        <f t="shared" si="7"/>
        <v>5.0858787979908282E-3</v>
      </c>
    </row>
    <row r="484" spans="2:10" x14ac:dyDescent="0.3">
      <c r="B484" s="29">
        <v>38930</v>
      </c>
      <c r="C484">
        <v>1278.530029</v>
      </c>
      <c r="D484">
        <v>1306.73999</v>
      </c>
      <c r="E484">
        <v>1261.3000489999999</v>
      </c>
      <c r="F484">
        <v>1303.8199460000001</v>
      </c>
      <c r="G484">
        <v>1303.8199460000001</v>
      </c>
      <c r="H484">
        <v>50485620000</v>
      </c>
      <c r="I484"/>
      <c r="J484" s="30">
        <f t="shared" si="7"/>
        <v>2.1274193032348121E-2</v>
      </c>
    </row>
    <row r="485" spans="2:10" x14ac:dyDescent="0.3">
      <c r="B485" s="29">
        <v>38961</v>
      </c>
      <c r="C485">
        <v>1303.8000489999999</v>
      </c>
      <c r="D485">
        <v>1340.280029</v>
      </c>
      <c r="E485">
        <v>1290.9300539999999</v>
      </c>
      <c r="F485">
        <v>1335.849976</v>
      </c>
      <c r="G485">
        <v>1335.849976</v>
      </c>
      <c r="H485">
        <v>49001440000</v>
      </c>
      <c r="I485"/>
      <c r="J485" s="30">
        <f t="shared" si="7"/>
        <v>2.4566298512509466E-2</v>
      </c>
    </row>
    <row r="486" spans="2:10" x14ac:dyDescent="0.3">
      <c r="B486" s="29">
        <v>38991</v>
      </c>
      <c r="C486">
        <v>1335.8199460000001</v>
      </c>
      <c r="D486">
        <v>1389.4499510000001</v>
      </c>
      <c r="E486">
        <v>1327.099976</v>
      </c>
      <c r="F486">
        <v>1377.9399410000001</v>
      </c>
      <c r="G486">
        <v>1377.9399410000001</v>
      </c>
      <c r="H486">
        <v>56793620000</v>
      </c>
      <c r="I486"/>
      <c r="J486" s="30">
        <f t="shared" si="7"/>
        <v>3.1508002961554205E-2</v>
      </c>
    </row>
    <row r="487" spans="2:10" x14ac:dyDescent="0.3">
      <c r="B487" s="29">
        <v>39022</v>
      </c>
      <c r="C487">
        <v>1377.76001</v>
      </c>
      <c r="D487">
        <v>1407.8900149999999</v>
      </c>
      <c r="E487">
        <v>1360.9799800000001</v>
      </c>
      <c r="F487">
        <v>1400.630005</v>
      </c>
      <c r="G487">
        <v>1400.630005</v>
      </c>
      <c r="H487">
        <v>55343930000</v>
      </c>
      <c r="I487"/>
      <c r="J487" s="30">
        <f t="shared" si="7"/>
        <v>1.6466656727820217E-2</v>
      </c>
    </row>
    <row r="488" spans="2:10" x14ac:dyDescent="0.3">
      <c r="B488" s="29">
        <v>39052</v>
      </c>
      <c r="C488">
        <v>1400.630005</v>
      </c>
      <c r="D488">
        <v>1431.8100589999999</v>
      </c>
      <c r="E488">
        <v>1385.9300539999999</v>
      </c>
      <c r="F488">
        <v>1418.3000489999999</v>
      </c>
      <c r="G488">
        <v>1418.3000489999999</v>
      </c>
      <c r="H488">
        <v>47578780000</v>
      </c>
      <c r="I488"/>
      <c r="J488" s="30">
        <f t="shared" si="7"/>
        <v>1.2615782852659851E-2</v>
      </c>
    </row>
    <row r="489" spans="2:10" x14ac:dyDescent="0.3">
      <c r="B489" s="29">
        <v>39083</v>
      </c>
      <c r="C489">
        <v>1418.030029</v>
      </c>
      <c r="D489">
        <v>1441.6099850000001</v>
      </c>
      <c r="E489">
        <v>1403.969971</v>
      </c>
      <c r="F489">
        <v>1438.23999</v>
      </c>
      <c r="G489">
        <v>1438.23999</v>
      </c>
      <c r="H489">
        <v>56686200000</v>
      </c>
      <c r="I489"/>
      <c r="J489" s="30">
        <f t="shared" si="7"/>
        <v>1.4059042735039773E-2</v>
      </c>
    </row>
    <row r="490" spans="2:10" x14ac:dyDescent="0.3">
      <c r="B490" s="29">
        <v>39114</v>
      </c>
      <c r="C490">
        <v>1437.900024</v>
      </c>
      <c r="D490">
        <v>1461.5699460000001</v>
      </c>
      <c r="E490">
        <v>1389.420044</v>
      </c>
      <c r="F490">
        <v>1406.8199460000001</v>
      </c>
      <c r="G490">
        <v>1406.8199460000001</v>
      </c>
      <c r="H490">
        <v>51844990000</v>
      </c>
      <c r="I490"/>
      <c r="J490" s="30">
        <f t="shared" si="7"/>
        <v>-2.1846176033528231E-2</v>
      </c>
    </row>
    <row r="491" spans="2:10" x14ac:dyDescent="0.3">
      <c r="B491" s="29">
        <v>39142</v>
      </c>
      <c r="C491">
        <v>1406.8000489999999</v>
      </c>
      <c r="D491">
        <v>1438.8900149999999</v>
      </c>
      <c r="E491">
        <v>1363.9799800000001</v>
      </c>
      <c r="F491">
        <v>1420.8599850000001</v>
      </c>
      <c r="G491">
        <v>1420.8599850000001</v>
      </c>
      <c r="H491">
        <v>67622250000</v>
      </c>
      <c r="I491"/>
      <c r="J491" s="30">
        <f t="shared" si="7"/>
        <v>9.9799828968305526E-3</v>
      </c>
    </row>
    <row r="492" spans="2:10" x14ac:dyDescent="0.3">
      <c r="B492" s="29">
        <v>39173</v>
      </c>
      <c r="C492">
        <v>1420.829956</v>
      </c>
      <c r="D492">
        <v>1498.0200199999999</v>
      </c>
      <c r="E492">
        <v>1416.369995</v>
      </c>
      <c r="F492">
        <v>1482.369995</v>
      </c>
      <c r="G492">
        <v>1482.369995</v>
      </c>
      <c r="H492">
        <v>57032470000</v>
      </c>
      <c r="I492"/>
      <c r="J492" s="30">
        <f t="shared" si="7"/>
        <v>4.3290690602424187E-2</v>
      </c>
    </row>
    <row r="493" spans="2:10" x14ac:dyDescent="0.3">
      <c r="B493" s="29">
        <v>39203</v>
      </c>
      <c r="C493">
        <v>1482.369995</v>
      </c>
      <c r="D493">
        <v>1535.5600589999999</v>
      </c>
      <c r="E493">
        <v>1476.6999510000001</v>
      </c>
      <c r="F493">
        <v>1530.619995</v>
      </c>
      <c r="G493">
        <v>1530.619995</v>
      </c>
      <c r="H493">
        <v>64958050000</v>
      </c>
      <c r="I493"/>
      <c r="J493" s="30">
        <f t="shared" si="7"/>
        <v>3.254922870993493E-2</v>
      </c>
    </row>
    <row r="494" spans="2:10" x14ac:dyDescent="0.3">
      <c r="B494" s="29">
        <v>39234</v>
      </c>
      <c r="C494">
        <v>1530.619995</v>
      </c>
      <c r="D494">
        <v>1540.5600589999999</v>
      </c>
      <c r="E494">
        <v>1484.1800539999999</v>
      </c>
      <c r="F494">
        <v>1503.349976</v>
      </c>
      <c r="G494">
        <v>1503.349976</v>
      </c>
      <c r="H494">
        <v>65322800000</v>
      </c>
      <c r="I494"/>
      <c r="J494" s="30">
        <f t="shared" si="7"/>
        <v>-1.7816322202167556E-2</v>
      </c>
    </row>
    <row r="495" spans="2:10" x14ac:dyDescent="0.3">
      <c r="B495" s="29">
        <v>39264</v>
      </c>
      <c r="C495">
        <v>1504.660034</v>
      </c>
      <c r="D495">
        <v>1555.900024</v>
      </c>
      <c r="E495">
        <v>1454.25</v>
      </c>
      <c r="F495">
        <v>1455.2700199999999</v>
      </c>
      <c r="G495">
        <v>1455.2700199999999</v>
      </c>
      <c r="H495">
        <v>70337430000</v>
      </c>
      <c r="I495"/>
      <c r="J495" s="30">
        <f t="shared" si="7"/>
        <v>-3.1981878316802548E-2</v>
      </c>
    </row>
    <row r="496" spans="2:10" x14ac:dyDescent="0.3">
      <c r="B496" s="29">
        <v>39295</v>
      </c>
      <c r="C496">
        <v>1455.1800539999999</v>
      </c>
      <c r="D496">
        <v>1503.8900149999999</v>
      </c>
      <c r="E496">
        <v>1370.599976</v>
      </c>
      <c r="F496">
        <v>1473.98999</v>
      </c>
      <c r="G496">
        <v>1473.98999</v>
      </c>
      <c r="H496">
        <v>91381760000</v>
      </c>
      <c r="I496"/>
      <c r="J496" s="30">
        <f t="shared" si="7"/>
        <v>1.2863571531556817E-2</v>
      </c>
    </row>
    <row r="497" spans="2:10" x14ac:dyDescent="0.3">
      <c r="B497" s="29">
        <v>39326</v>
      </c>
      <c r="C497">
        <v>1473.959961</v>
      </c>
      <c r="D497">
        <v>1538.73999</v>
      </c>
      <c r="E497">
        <v>1439.290039</v>
      </c>
      <c r="F497">
        <v>1526.75</v>
      </c>
      <c r="G497">
        <v>1526.75</v>
      </c>
      <c r="H497">
        <v>57809700000</v>
      </c>
      <c r="I497"/>
      <c r="J497" s="30">
        <f t="shared" si="7"/>
        <v>3.5794008343299488E-2</v>
      </c>
    </row>
    <row r="498" spans="2:10" x14ac:dyDescent="0.3">
      <c r="B498" s="29">
        <v>39356</v>
      </c>
      <c r="C498">
        <v>1527.290039</v>
      </c>
      <c r="D498">
        <v>1576.089966</v>
      </c>
      <c r="E498">
        <v>1489.5600589999999</v>
      </c>
      <c r="F498">
        <v>1549.380005</v>
      </c>
      <c r="G498">
        <v>1549.380005</v>
      </c>
      <c r="H498">
        <v>76022580000</v>
      </c>
      <c r="I498"/>
      <c r="J498" s="30">
        <f t="shared" si="7"/>
        <v>1.4822338300311211E-2</v>
      </c>
    </row>
    <row r="499" spans="2:10" x14ac:dyDescent="0.3">
      <c r="B499" s="29">
        <v>39387</v>
      </c>
      <c r="C499">
        <v>1545.790039</v>
      </c>
      <c r="D499">
        <v>1545.790039</v>
      </c>
      <c r="E499">
        <v>1406.099976</v>
      </c>
      <c r="F499">
        <v>1481.1400149999999</v>
      </c>
      <c r="G499">
        <v>1481.1400149999999</v>
      </c>
      <c r="H499">
        <v>86246950000</v>
      </c>
      <c r="I499"/>
      <c r="J499" s="30">
        <f t="shared" si="7"/>
        <v>-4.4043417224814418E-2</v>
      </c>
    </row>
    <row r="500" spans="2:10" x14ac:dyDescent="0.3">
      <c r="B500" s="29">
        <v>39417</v>
      </c>
      <c r="C500">
        <v>1479.630005</v>
      </c>
      <c r="D500">
        <v>1523.5699460000001</v>
      </c>
      <c r="E500">
        <v>1435.650024</v>
      </c>
      <c r="F500">
        <v>1468.3599850000001</v>
      </c>
      <c r="G500">
        <v>1468.3599850000001</v>
      </c>
      <c r="H500">
        <v>64821670000</v>
      </c>
      <c r="I500"/>
      <c r="J500" s="30">
        <f t="shared" si="7"/>
        <v>-8.6285090339686121E-3</v>
      </c>
    </row>
    <row r="501" spans="2:10" x14ac:dyDescent="0.3">
      <c r="B501" s="29">
        <v>39448</v>
      </c>
      <c r="C501">
        <v>1467.969971</v>
      </c>
      <c r="D501">
        <v>1471.7700199999999</v>
      </c>
      <c r="E501">
        <v>1270.0500489999999</v>
      </c>
      <c r="F501">
        <v>1378.5500489999999</v>
      </c>
      <c r="G501">
        <v>1378.5500489999999</v>
      </c>
      <c r="H501">
        <v>98475340000</v>
      </c>
      <c r="I501"/>
      <c r="J501" s="30">
        <f t="shared" si="7"/>
        <v>-6.116343193593643E-2</v>
      </c>
    </row>
    <row r="502" spans="2:10" x14ac:dyDescent="0.3">
      <c r="B502" s="29">
        <v>39479</v>
      </c>
      <c r="C502">
        <v>1378.599976</v>
      </c>
      <c r="D502">
        <v>1396.0200199999999</v>
      </c>
      <c r="E502">
        <v>1316.75</v>
      </c>
      <c r="F502">
        <v>1330.630005</v>
      </c>
      <c r="G502">
        <v>1330.630005</v>
      </c>
      <c r="H502">
        <v>78536130000</v>
      </c>
      <c r="I502"/>
      <c r="J502" s="30">
        <f t="shared" si="7"/>
        <v>-3.4761192772624461E-2</v>
      </c>
    </row>
    <row r="503" spans="2:10" x14ac:dyDescent="0.3">
      <c r="B503" s="29">
        <v>39508</v>
      </c>
      <c r="C503">
        <v>1330.4499510000001</v>
      </c>
      <c r="D503">
        <v>1359.6800539999999</v>
      </c>
      <c r="E503">
        <v>1256.9799800000001</v>
      </c>
      <c r="F503">
        <v>1322.6999510000001</v>
      </c>
      <c r="G503">
        <v>1322.6999510000001</v>
      </c>
      <c r="H503">
        <v>93189170000</v>
      </c>
      <c r="I503"/>
      <c r="J503" s="30">
        <f t="shared" si="7"/>
        <v>-5.9596236145298409E-3</v>
      </c>
    </row>
    <row r="504" spans="2:10" x14ac:dyDescent="0.3">
      <c r="B504" s="29">
        <v>39539</v>
      </c>
      <c r="C504">
        <v>1326.410034</v>
      </c>
      <c r="D504">
        <v>1404.5699460000001</v>
      </c>
      <c r="E504">
        <v>1324.349976</v>
      </c>
      <c r="F504">
        <v>1385.589966</v>
      </c>
      <c r="G504">
        <v>1385.589966</v>
      </c>
      <c r="H504">
        <v>85978630000</v>
      </c>
      <c r="I504"/>
      <c r="J504" s="30">
        <f t="shared" si="7"/>
        <v>4.7546697913198877E-2</v>
      </c>
    </row>
    <row r="505" spans="2:10" x14ac:dyDescent="0.3">
      <c r="B505" s="29">
        <v>39569</v>
      </c>
      <c r="C505">
        <v>1385.969971</v>
      </c>
      <c r="D505">
        <v>1440.23999</v>
      </c>
      <c r="E505">
        <v>1373.0699460000001</v>
      </c>
      <c r="F505">
        <v>1400.380005</v>
      </c>
      <c r="G505">
        <v>1400.380005</v>
      </c>
      <c r="H505">
        <v>80990480000</v>
      </c>
      <c r="I505"/>
      <c r="J505" s="30">
        <f t="shared" si="7"/>
        <v>1.0674181657577053E-2</v>
      </c>
    </row>
    <row r="506" spans="2:10" x14ac:dyDescent="0.3">
      <c r="B506" s="29">
        <v>39600</v>
      </c>
      <c r="C506">
        <v>1399.619995</v>
      </c>
      <c r="D506">
        <v>1404.0500489999999</v>
      </c>
      <c r="E506">
        <v>1272</v>
      </c>
      <c r="F506">
        <v>1280</v>
      </c>
      <c r="G506">
        <v>1280</v>
      </c>
      <c r="H506">
        <v>96614040000</v>
      </c>
      <c r="I506"/>
      <c r="J506" s="30">
        <f t="shared" si="7"/>
        <v>-8.5962384902803612E-2</v>
      </c>
    </row>
    <row r="507" spans="2:10" x14ac:dyDescent="0.3">
      <c r="B507" s="29">
        <v>39630</v>
      </c>
      <c r="C507">
        <v>1276.6899410000001</v>
      </c>
      <c r="D507">
        <v>1292.170044</v>
      </c>
      <c r="E507">
        <v>1200.4399410000001</v>
      </c>
      <c r="F507">
        <v>1267.380005</v>
      </c>
      <c r="G507">
        <v>1267.380005</v>
      </c>
      <c r="H507" s="31">
        <v>124981000000</v>
      </c>
      <c r="I507"/>
      <c r="J507" s="30">
        <f t="shared" si="7"/>
        <v>-9.8593710937500134E-3</v>
      </c>
    </row>
    <row r="508" spans="2:10" x14ac:dyDescent="0.3">
      <c r="B508" s="29">
        <v>39661</v>
      </c>
      <c r="C508">
        <v>1269.420044</v>
      </c>
      <c r="D508">
        <v>1313.150024</v>
      </c>
      <c r="E508">
        <v>1247.4499510000001</v>
      </c>
      <c r="F508">
        <v>1282.829956</v>
      </c>
      <c r="G508">
        <v>1282.829956</v>
      </c>
      <c r="H508">
        <v>86266010000</v>
      </c>
      <c r="I508"/>
      <c r="J508" s="30">
        <f t="shared" si="7"/>
        <v>1.2190464532380041E-2</v>
      </c>
    </row>
    <row r="509" spans="2:10" x14ac:dyDescent="0.3">
      <c r="B509" s="29">
        <v>39692</v>
      </c>
      <c r="C509">
        <v>1287.829956</v>
      </c>
      <c r="D509">
        <v>1303.040039</v>
      </c>
      <c r="E509">
        <v>1106.420044</v>
      </c>
      <c r="F509">
        <v>1166.3599850000001</v>
      </c>
      <c r="G509">
        <v>1166.3599850000001</v>
      </c>
      <c r="H509" s="31">
        <v>140007000000</v>
      </c>
      <c r="I509"/>
      <c r="J509" s="30">
        <f t="shared" si="7"/>
        <v>-9.0791433779084607E-2</v>
      </c>
    </row>
    <row r="510" spans="2:10" x14ac:dyDescent="0.3">
      <c r="B510" s="29">
        <v>39722</v>
      </c>
      <c r="C510">
        <v>1164.170044</v>
      </c>
      <c r="D510">
        <v>1167.030029</v>
      </c>
      <c r="E510">
        <v>839.79998799999998</v>
      </c>
      <c r="F510">
        <v>968.75</v>
      </c>
      <c r="G510">
        <v>968.75</v>
      </c>
      <c r="H510" s="31">
        <v>159823000000</v>
      </c>
      <c r="I510"/>
      <c r="J510" s="30">
        <f t="shared" si="7"/>
        <v>-0.1694245237674199</v>
      </c>
    </row>
    <row r="511" spans="2:10" x14ac:dyDescent="0.3">
      <c r="B511" s="29">
        <v>39753</v>
      </c>
      <c r="C511">
        <v>968.669983</v>
      </c>
      <c r="D511">
        <v>1007.51001</v>
      </c>
      <c r="E511">
        <v>741.02002000000005</v>
      </c>
      <c r="F511">
        <v>896.23999000000003</v>
      </c>
      <c r="G511">
        <v>896.23999000000003</v>
      </c>
      <c r="H511" s="31">
        <v>115660000000</v>
      </c>
      <c r="I511"/>
      <c r="J511" s="30">
        <f t="shared" si="7"/>
        <v>-7.4849042580645175E-2</v>
      </c>
    </row>
    <row r="512" spans="2:10" x14ac:dyDescent="0.3">
      <c r="B512" s="29">
        <v>39783</v>
      </c>
      <c r="C512">
        <v>888.60998500000005</v>
      </c>
      <c r="D512">
        <v>918.84997599999997</v>
      </c>
      <c r="E512">
        <v>815.69000200000005</v>
      </c>
      <c r="F512">
        <v>903.25</v>
      </c>
      <c r="G512">
        <v>903.25</v>
      </c>
      <c r="H512" s="31">
        <v>112884000000</v>
      </c>
      <c r="I512"/>
      <c r="J512" s="30">
        <f t="shared" si="7"/>
        <v>7.8215768970539834E-3</v>
      </c>
    </row>
    <row r="513" spans="2:10" x14ac:dyDescent="0.3">
      <c r="B513" s="29">
        <v>39814</v>
      </c>
      <c r="C513">
        <v>902.98999000000003</v>
      </c>
      <c r="D513">
        <v>943.84997599999997</v>
      </c>
      <c r="E513">
        <v>804.29998799999998</v>
      </c>
      <c r="F513">
        <v>825.88000499999998</v>
      </c>
      <c r="G513">
        <v>825.88000499999998</v>
      </c>
      <c r="H513" s="31">
        <v>112091000000</v>
      </c>
      <c r="I513"/>
      <c r="J513" s="30">
        <f t="shared" si="7"/>
        <v>-8.5657342928314395E-2</v>
      </c>
    </row>
    <row r="514" spans="2:10" x14ac:dyDescent="0.3">
      <c r="B514" s="29">
        <v>39845</v>
      </c>
      <c r="C514">
        <v>823.09002699999996</v>
      </c>
      <c r="D514">
        <v>875.01000999999997</v>
      </c>
      <c r="E514">
        <v>734.52002000000005</v>
      </c>
      <c r="F514">
        <v>735.09002699999996</v>
      </c>
      <c r="G514">
        <v>735.09002699999996</v>
      </c>
      <c r="H514" s="31">
        <v>124492000000</v>
      </c>
      <c r="I514"/>
      <c r="J514" s="30">
        <f t="shared" si="7"/>
        <v>-0.10993119757149228</v>
      </c>
    </row>
    <row r="515" spans="2:10" x14ac:dyDescent="0.3">
      <c r="B515" s="29">
        <v>39873</v>
      </c>
      <c r="C515">
        <v>729.57000700000003</v>
      </c>
      <c r="D515">
        <v>832.97997999999995</v>
      </c>
      <c r="E515">
        <v>666.78997800000002</v>
      </c>
      <c r="F515">
        <v>797.86999500000002</v>
      </c>
      <c r="G515">
        <v>797.86999500000002</v>
      </c>
      <c r="H515" s="31">
        <v>161844000000</v>
      </c>
      <c r="I515"/>
      <c r="J515" s="30">
        <f t="shared" si="7"/>
        <v>8.540446162249471E-2</v>
      </c>
    </row>
    <row r="516" spans="2:10" x14ac:dyDescent="0.3">
      <c r="B516" s="29">
        <v>39904</v>
      </c>
      <c r="C516">
        <v>793.59002699999996</v>
      </c>
      <c r="D516">
        <v>888.70001200000002</v>
      </c>
      <c r="E516">
        <v>783.32000700000003</v>
      </c>
      <c r="F516">
        <v>872.80999799999995</v>
      </c>
      <c r="G516">
        <v>872.80999799999995</v>
      </c>
      <c r="H516" s="31">
        <v>138855000000</v>
      </c>
      <c r="I516"/>
      <c r="J516" s="30">
        <f t="shared" si="7"/>
        <v>9.3925079862164695E-2</v>
      </c>
    </row>
    <row r="517" spans="2:10" x14ac:dyDescent="0.3">
      <c r="B517" s="29">
        <v>39934</v>
      </c>
      <c r="C517">
        <v>872.73999000000003</v>
      </c>
      <c r="D517">
        <v>930.169983</v>
      </c>
      <c r="E517">
        <v>866.09997599999997</v>
      </c>
      <c r="F517">
        <v>919.14001499999995</v>
      </c>
      <c r="G517">
        <v>919.14001499999995</v>
      </c>
      <c r="H517" s="31">
        <v>131615000000</v>
      </c>
      <c r="I517"/>
      <c r="J517" s="30">
        <f t="shared" si="7"/>
        <v>5.3081446255385467E-2</v>
      </c>
    </row>
    <row r="518" spans="2:10" x14ac:dyDescent="0.3">
      <c r="B518" s="29">
        <v>39965</v>
      </c>
      <c r="C518">
        <v>923.26000999999997</v>
      </c>
      <c r="D518">
        <v>956.22997999999995</v>
      </c>
      <c r="E518">
        <v>888.85998500000005</v>
      </c>
      <c r="F518">
        <v>919.32000700000003</v>
      </c>
      <c r="G518">
        <v>919.32000700000003</v>
      </c>
      <c r="H518" s="31">
        <v>112653000000</v>
      </c>
      <c r="I518"/>
      <c r="J518" s="30">
        <f t="shared" si="7"/>
        <v>1.9582653030303376E-4</v>
      </c>
    </row>
    <row r="519" spans="2:10" x14ac:dyDescent="0.3">
      <c r="B519" s="29">
        <v>39995</v>
      </c>
      <c r="C519">
        <v>920.82000700000003</v>
      </c>
      <c r="D519">
        <v>996.67999299999997</v>
      </c>
      <c r="E519">
        <v>869.32000700000003</v>
      </c>
      <c r="F519">
        <v>987.47997999999995</v>
      </c>
      <c r="G519">
        <v>987.47997999999995</v>
      </c>
      <c r="H519" s="31">
        <v>106636000000</v>
      </c>
      <c r="I519"/>
      <c r="J519" s="30">
        <f t="shared" si="7"/>
        <v>7.4141727016716619E-2</v>
      </c>
    </row>
    <row r="520" spans="2:10" x14ac:dyDescent="0.3">
      <c r="B520" s="29">
        <v>40026</v>
      </c>
      <c r="C520">
        <v>990.21997099999999</v>
      </c>
      <c r="D520">
        <v>1039.469971</v>
      </c>
      <c r="E520">
        <v>978.51000999999997</v>
      </c>
      <c r="F520">
        <v>1020.619995</v>
      </c>
      <c r="G520">
        <v>1020.619995</v>
      </c>
      <c r="H520" s="31">
        <v>116059000000</v>
      </c>
      <c r="I520"/>
      <c r="J520" s="30">
        <f t="shared" si="7"/>
        <v>3.3560189240494864E-2</v>
      </c>
    </row>
    <row r="521" spans="2:10" x14ac:dyDescent="0.3">
      <c r="B521" s="29">
        <v>40057</v>
      </c>
      <c r="C521">
        <v>1019.52002</v>
      </c>
      <c r="D521">
        <v>1080.150024</v>
      </c>
      <c r="E521">
        <v>991.96997099999999</v>
      </c>
      <c r="F521">
        <v>1057.079956</v>
      </c>
      <c r="G521">
        <v>1057.079956</v>
      </c>
      <c r="H521" s="31">
        <v>112295000000</v>
      </c>
      <c r="I521"/>
      <c r="J521" s="30">
        <f t="shared" si="7"/>
        <v>3.5723345788458705E-2</v>
      </c>
    </row>
    <row r="522" spans="2:10" x14ac:dyDescent="0.3">
      <c r="B522" s="29">
        <v>40087</v>
      </c>
      <c r="C522">
        <v>1054.910034</v>
      </c>
      <c r="D522">
        <v>1101.3599850000001</v>
      </c>
      <c r="E522">
        <v>1019.950012</v>
      </c>
      <c r="F522">
        <v>1036.1899410000001</v>
      </c>
      <c r="G522">
        <v>1036.1899410000001</v>
      </c>
      <c r="H522" s="31">
        <v>113411000000</v>
      </c>
      <c r="I522"/>
      <c r="J522" s="30">
        <f t="shared" si="7"/>
        <v>-1.9762000860415463E-2</v>
      </c>
    </row>
    <row r="523" spans="2:10" x14ac:dyDescent="0.3">
      <c r="B523" s="29">
        <v>40118</v>
      </c>
      <c r="C523">
        <v>1036.1800539999999</v>
      </c>
      <c r="D523">
        <v>1113.6899410000001</v>
      </c>
      <c r="E523">
        <v>1029.380005</v>
      </c>
      <c r="F523">
        <v>1095.630005</v>
      </c>
      <c r="G523">
        <v>1095.630005</v>
      </c>
      <c r="H523">
        <v>84981530000</v>
      </c>
      <c r="I523"/>
      <c r="J523" s="30">
        <f t="shared" ref="J523:J586" si="8">F523/F522-1</f>
        <v>5.736406198137356E-2</v>
      </c>
    </row>
    <row r="524" spans="2:10" x14ac:dyDescent="0.3">
      <c r="B524" s="29">
        <v>40148</v>
      </c>
      <c r="C524">
        <v>1098.8900149999999</v>
      </c>
      <c r="D524">
        <v>1130.380005</v>
      </c>
      <c r="E524">
        <v>1085.8900149999999</v>
      </c>
      <c r="F524">
        <v>1115.099976</v>
      </c>
      <c r="G524">
        <v>1115.099976</v>
      </c>
      <c r="H524">
        <v>89515330000</v>
      </c>
      <c r="I524"/>
      <c r="J524" s="30">
        <f t="shared" si="8"/>
        <v>1.7770571188400419E-2</v>
      </c>
    </row>
    <row r="525" spans="2:10" x14ac:dyDescent="0.3">
      <c r="B525" s="29">
        <v>40179</v>
      </c>
      <c r="C525">
        <v>1116.5600589999999</v>
      </c>
      <c r="D525">
        <v>1150.4499510000001</v>
      </c>
      <c r="E525">
        <v>1071.589966</v>
      </c>
      <c r="F525">
        <v>1073.869995</v>
      </c>
      <c r="G525">
        <v>1073.869995</v>
      </c>
      <c r="H525">
        <v>90947580000</v>
      </c>
      <c r="I525"/>
      <c r="J525" s="30">
        <f t="shared" si="8"/>
        <v>-3.6974246154947377E-2</v>
      </c>
    </row>
    <row r="526" spans="2:10" x14ac:dyDescent="0.3">
      <c r="B526" s="29">
        <v>40210</v>
      </c>
      <c r="C526">
        <v>1073.8900149999999</v>
      </c>
      <c r="D526">
        <v>1112.420044</v>
      </c>
      <c r="E526">
        <v>1044.5</v>
      </c>
      <c r="F526">
        <v>1104.48999</v>
      </c>
      <c r="G526">
        <v>1104.48999</v>
      </c>
      <c r="H526">
        <v>84561340000</v>
      </c>
      <c r="I526"/>
      <c r="J526" s="30">
        <f t="shared" si="8"/>
        <v>2.8513688940531301E-2</v>
      </c>
    </row>
    <row r="527" spans="2:10" x14ac:dyDescent="0.3">
      <c r="B527" s="29">
        <v>40238</v>
      </c>
      <c r="C527">
        <v>1105.3599850000001</v>
      </c>
      <c r="D527">
        <v>1180.6899410000001</v>
      </c>
      <c r="E527">
        <v>1105.3599850000001</v>
      </c>
      <c r="F527">
        <v>1169.4300539999999</v>
      </c>
      <c r="G527">
        <v>1169.4300539999999</v>
      </c>
      <c r="H527" s="31">
        <v>103684000000</v>
      </c>
      <c r="I527"/>
      <c r="J527" s="30">
        <f t="shared" si="8"/>
        <v>5.8796426031891835E-2</v>
      </c>
    </row>
    <row r="528" spans="2:10" x14ac:dyDescent="0.3">
      <c r="B528" s="29">
        <v>40269</v>
      </c>
      <c r="C528">
        <v>1171.2299800000001</v>
      </c>
      <c r="D528">
        <v>1219.8000489999999</v>
      </c>
      <c r="E528">
        <v>1170.6899410000001</v>
      </c>
      <c r="F528">
        <v>1186.6899410000001</v>
      </c>
      <c r="G528">
        <v>1186.6899410000001</v>
      </c>
      <c r="H528" s="31">
        <v>116742000000</v>
      </c>
      <c r="I528"/>
      <c r="J528" s="30">
        <f t="shared" si="8"/>
        <v>1.4759229883791081E-2</v>
      </c>
    </row>
    <row r="529" spans="2:10" x14ac:dyDescent="0.3">
      <c r="B529" s="29">
        <v>40299</v>
      </c>
      <c r="C529">
        <v>1188.579956</v>
      </c>
      <c r="D529">
        <v>1205.130005</v>
      </c>
      <c r="E529">
        <v>1040.780029</v>
      </c>
      <c r="F529">
        <v>1089.410034</v>
      </c>
      <c r="G529">
        <v>1089.410034</v>
      </c>
      <c r="H529" s="31">
        <v>127663000000</v>
      </c>
      <c r="I529"/>
      <c r="J529" s="30">
        <f t="shared" si="8"/>
        <v>-8.1975841910334468E-2</v>
      </c>
    </row>
    <row r="530" spans="2:10" x14ac:dyDescent="0.3">
      <c r="B530" s="29">
        <v>40330</v>
      </c>
      <c r="C530">
        <v>1087.3000489999999</v>
      </c>
      <c r="D530">
        <v>1131.2299800000001</v>
      </c>
      <c r="E530">
        <v>1028.329956</v>
      </c>
      <c r="F530">
        <v>1030.709961</v>
      </c>
      <c r="G530">
        <v>1030.709961</v>
      </c>
      <c r="H530" s="31">
        <v>110107000000</v>
      </c>
      <c r="I530"/>
      <c r="J530" s="30">
        <f t="shared" si="8"/>
        <v>-5.3882442026415123E-2</v>
      </c>
    </row>
    <row r="531" spans="2:10" x14ac:dyDescent="0.3">
      <c r="B531" s="29">
        <v>40360</v>
      </c>
      <c r="C531">
        <v>1031.099976</v>
      </c>
      <c r="D531">
        <v>1120.9499510000001</v>
      </c>
      <c r="E531">
        <v>1010.909973</v>
      </c>
      <c r="F531">
        <v>1101.599976</v>
      </c>
      <c r="G531">
        <v>1101.599976</v>
      </c>
      <c r="H531">
        <v>94778110000</v>
      </c>
      <c r="I531"/>
      <c r="J531" s="30">
        <f t="shared" si="8"/>
        <v>6.8777849911552336E-2</v>
      </c>
    </row>
    <row r="532" spans="2:10" x14ac:dyDescent="0.3">
      <c r="B532" s="29">
        <v>40391</v>
      </c>
      <c r="C532">
        <v>1107.530029</v>
      </c>
      <c r="D532">
        <v>1129.23999</v>
      </c>
      <c r="E532">
        <v>1039.6999510000001</v>
      </c>
      <c r="F532">
        <v>1049.329956</v>
      </c>
      <c r="G532">
        <v>1049.329956</v>
      </c>
      <c r="H532">
        <v>85738250000</v>
      </c>
      <c r="I532"/>
      <c r="J532" s="30">
        <f t="shared" si="8"/>
        <v>-4.7449184040287196E-2</v>
      </c>
    </row>
    <row r="533" spans="2:10" x14ac:dyDescent="0.3">
      <c r="B533" s="29">
        <v>40422</v>
      </c>
      <c r="C533">
        <v>1049.719971</v>
      </c>
      <c r="D533">
        <v>1157.160034</v>
      </c>
      <c r="E533">
        <v>1049.719971</v>
      </c>
      <c r="F533">
        <v>1141.1999510000001</v>
      </c>
      <c r="G533">
        <v>1141.1999510000001</v>
      </c>
      <c r="H533">
        <v>79589450000</v>
      </c>
      <c r="I533"/>
      <c r="J533" s="30">
        <f t="shared" si="8"/>
        <v>8.7551102944020132E-2</v>
      </c>
    </row>
    <row r="534" spans="2:10" x14ac:dyDescent="0.3">
      <c r="B534" s="29">
        <v>40452</v>
      </c>
      <c r="C534">
        <v>1143.48999</v>
      </c>
      <c r="D534">
        <v>1196.1400149999999</v>
      </c>
      <c r="E534">
        <v>1131.869995</v>
      </c>
      <c r="F534">
        <v>1183.26001</v>
      </c>
      <c r="G534">
        <v>1183.26001</v>
      </c>
      <c r="H534">
        <v>89536270000</v>
      </c>
      <c r="I534"/>
      <c r="J534" s="30">
        <f t="shared" si="8"/>
        <v>3.6855994397076541E-2</v>
      </c>
    </row>
    <row r="535" spans="2:10" x14ac:dyDescent="0.3">
      <c r="B535" s="29">
        <v>40483</v>
      </c>
      <c r="C535">
        <v>1185.709961</v>
      </c>
      <c r="D535">
        <v>1227.079956</v>
      </c>
      <c r="E535">
        <v>1173</v>
      </c>
      <c r="F535">
        <v>1180.5500489999999</v>
      </c>
      <c r="G535">
        <v>1180.5500489999999</v>
      </c>
      <c r="H535">
        <v>87151070000</v>
      </c>
      <c r="I535"/>
      <c r="J535" s="30">
        <f t="shared" si="8"/>
        <v>-2.2902497989432113E-3</v>
      </c>
    </row>
    <row r="536" spans="2:10" x14ac:dyDescent="0.3">
      <c r="B536" s="29">
        <v>40513</v>
      </c>
      <c r="C536">
        <v>1186.599976</v>
      </c>
      <c r="D536">
        <v>1262.599976</v>
      </c>
      <c r="E536">
        <v>1186.599976</v>
      </c>
      <c r="F536">
        <v>1257.6400149999999</v>
      </c>
      <c r="G536">
        <v>1257.6400149999999</v>
      </c>
      <c r="H536">
        <v>80984530000</v>
      </c>
      <c r="I536"/>
      <c r="J536" s="30">
        <f t="shared" si="8"/>
        <v>6.5300040489854716E-2</v>
      </c>
    </row>
    <row r="537" spans="2:10" x14ac:dyDescent="0.3">
      <c r="B537" s="29">
        <v>40544</v>
      </c>
      <c r="C537">
        <v>1257.619995</v>
      </c>
      <c r="D537">
        <v>1302.670044</v>
      </c>
      <c r="E537">
        <v>1257.619995</v>
      </c>
      <c r="F537">
        <v>1286.119995</v>
      </c>
      <c r="G537">
        <v>1286.119995</v>
      </c>
      <c r="H537">
        <v>92164940000</v>
      </c>
      <c r="I537"/>
      <c r="J537" s="30">
        <f t="shared" si="8"/>
        <v>2.2645573980086819E-2</v>
      </c>
    </row>
    <row r="538" spans="2:10" x14ac:dyDescent="0.3">
      <c r="B538" s="29">
        <v>40575</v>
      </c>
      <c r="C538">
        <v>1289.1400149999999</v>
      </c>
      <c r="D538">
        <v>1344.0699460000001</v>
      </c>
      <c r="E538">
        <v>1289.1400149999999</v>
      </c>
      <c r="F538">
        <v>1327.219971</v>
      </c>
      <c r="G538">
        <v>1327.219971</v>
      </c>
      <c r="H538">
        <v>59223660000</v>
      </c>
      <c r="I538"/>
      <c r="J538" s="30">
        <f t="shared" si="8"/>
        <v>3.1956564052952219E-2</v>
      </c>
    </row>
    <row r="539" spans="2:10" x14ac:dyDescent="0.3">
      <c r="B539" s="29">
        <v>40603</v>
      </c>
      <c r="C539">
        <v>1328.6400149999999</v>
      </c>
      <c r="D539">
        <v>1332.280029</v>
      </c>
      <c r="E539">
        <v>1249.0500489999999</v>
      </c>
      <c r="F539">
        <v>1325.829956</v>
      </c>
      <c r="G539">
        <v>1325.829956</v>
      </c>
      <c r="H539">
        <v>89507640000</v>
      </c>
      <c r="I539"/>
      <c r="J539" s="30">
        <f t="shared" si="8"/>
        <v>-1.0473132038185673E-3</v>
      </c>
    </row>
    <row r="540" spans="2:10" x14ac:dyDescent="0.3">
      <c r="B540" s="29">
        <v>40634</v>
      </c>
      <c r="C540">
        <v>1329.4799800000001</v>
      </c>
      <c r="D540">
        <v>1364.5600589999999</v>
      </c>
      <c r="E540">
        <v>1294.6999510000001</v>
      </c>
      <c r="F540">
        <v>1363.6099850000001</v>
      </c>
      <c r="G540">
        <v>1363.6099850000001</v>
      </c>
      <c r="H540">
        <v>77364810000</v>
      </c>
      <c r="I540"/>
      <c r="J540" s="30">
        <f t="shared" si="8"/>
        <v>2.8495380443795071E-2</v>
      </c>
    </row>
    <row r="541" spans="2:10" x14ac:dyDescent="0.3">
      <c r="B541" s="29">
        <v>40664</v>
      </c>
      <c r="C541">
        <v>1365.209961</v>
      </c>
      <c r="D541">
        <v>1370.579956</v>
      </c>
      <c r="E541">
        <v>1311.8000489999999</v>
      </c>
      <c r="F541">
        <v>1345.1999510000001</v>
      </c>
      <c r="G541">
        <v>1345.1999510000001</v>
      </c>
      <c r="H541">
        <v>81708980000</v>
      </c>
      <c r="I541"/>
      <c r="J541" s="30">
        <f t="shared" si="8"/>
        <v>-1.3500952766930641E-2</v>
      </c>
    </row>
    <row r="542" spans="2:10" x14ac:dyDescent="0.3">
      <c r="B542" s="29">
        <v>40695</v>
      </c>
      <c r="C542">
        <v>1345.1999510000001</v>
      </c>
      <c r="D542">
        <v>1345.1999510000001</v>
      </c>
      <c r="E542">
        <v>1258.0699460000001</v>
      </c>
      <c r="F542">
        <v>1320.6400149999999</v>
      </c>
      <c r="G542">
        <v>1320.6400149999999</v>
      </c>
      <c r="H542">
        <v>86122730000</v>
      </c>
      <c r="I542"/>
      <c r="J542" s="30">
        <f t="shared" si="8"/>
        <v>-1.825746126569705E-2</v>
      </c>
    </row>
    <row r="543" spans="2:10" x14ac:dyDescent="0.3">
      <c r="B543" s="29">
        <v>40725</v>
      </c>
      <c r="C543">
        <v>1320.6400149999999</v>
      </c>
      <c r="D543">
        <v>1356.4799800000001</v>
      </c>
      <c r="E543">
        <v>1282.8599850000001</v>
      </c>
      <c r="F543">
        <v>1292.280029</v>
      </c>
      <c r="G543">
        <v>1292.280029</v>
      </c>
      <c r="H543">
        <v>81102170000</v>
      </c>
      <c r="I543"/>
      <c r="J543" s="30">
        <f t="shared" si="8"/>
        <v>-2.1474425791952023E-2</v>
      </c>
    </row>
    <row r="544" spans="2:10" x14ac:dyDescent="0.3">
      <c r="B544" s="29">
        <v>40756</v>
      </c>
      <c r="C544">
        <v>1292.589966</v>
      </c>
      <c r="D544">
        <v>1307.380005</v>
      </c>
      <c r="E544">
        <v>1101.540039</v>
      </c>
      <c r="F544">
        <v>1218.8900149999999</v>
      </c>
      <c r="G544">
        <v>1218.8900149999999</v>
      </c>
      <c r="H544" s="31">
        <v>108419000000</v>
      </c>
      <c r="I544"/>
      <c r="J544" s="30">
        <f t="shared" si="8"/>
        <v>-5.6791107463597612E-2</v>
      </c>
    </row>
    <row r="545" spans="2:10" x14ac:dyDescent="0.3">
      <c r="B545" s="29">
        <v>40787</v>
      </c>
      <c r="C545">
        <v>1219.119995</v>
      </c>
      <c r="D545">
        <v>1229.290039</v>
      </c>
      <c r="E545">
        <v>1114.219971</v>
      </c>
      <c r="F545">
        <v>1131.420044</v>
      </c>
      <c r="G545">
        <v>1131.420044</v>
      </c>
      <c r="H545" s="31">
        <v>102787000000</v>
      </c>
      <c r="I545"/>
      <c r="J545" s="30">
        <f t="shared" si="8"/>
        <v>-7.1761988303760127E-2</v>
      </c>
    </row>
    <row r="546" spans="2:10" x14ac:dyDescent="0.3">
      <c r="B546" s="29">
        <v>40817</v>
      </c>
      <c r="C546">
        <v>1131.209961</v>
      </c>
      <c r="D546">
        <v>1292.660034</v>
      </c>
      <c r="E546">
        <v>1074.7700199999999</v>
      </c>
      <c r="F546">
        <v>1253.3000489999999</v>
      </c>
      <c r="G546">
        <v>1253.3000489999999</v>
      </c>
      <c r="H546">
        <v>98063670000</v>
      </c>
      <c r="I546"/>
      <c r="J546" s="30">
        <f t="shared" si="8"/>
        <v>0.10772303853581011</v>
      </c>
    </row>
    <row r="547" spans="2:10" x14ac:dyDescent="0.3">
      <c r="B547" s="29">
        <v>40848</v>
      </c>
      <c r="C547">
        <v>1251</v>
      </c>
      <c r="D547">
        <v>1277.5500489999999</v>
      </c>
      <c r="E547">
        <v>1158.660034</v>
      </c>
      <c r="F547">
        <v>1246.959961</v>
      </c>
      <c r="G547">
        <v>1246.959961</v>
      </c>
      <c r="H547">
        <v>84275050000</v>
      </c>
      <c r="I547"/>
      <c r="J547" s="30">
        <f t="shared" si="8"/>
        <v>-5.0587151935872487E-3</v>
      </c>
    </row>
    <row r="548" spans="2:10" x14ac:dyDescent="0.3">
      <c r="B548" s="29">
        <v>40878</v>
      </c>
      <c r="C548">
        <v>1246.910034</v>
      </c>
      <c r="D548">
        <v>1269.369995</v>
      </c>
      <c r="E548">
        <v>1202.369995</v>
      </c>
      <c r="F548">
        <v>1257.599976</v>
      </c>
      <c r="G548">
        <v>1257.599976</v>
      </c>
      <c r="H548">
        <v>74742430000</v>
      </c>
      <c r="I548"/>
      <c r="J548" s="30">
        <f t="shared" si="8"/>
        <v>8.532763948144062E-3</v>
      </c>
    </row>
    <row r="549" spans="2:10" x14ac:dyDescent="0.3">
      <c r="B549" s="29">
        <v>40909</v>
      </c>
      <c r="C549">
        <v>1258.8599850000001</v>
      </c>
      <c r="D549">
        <v>1333.469971</v>
      </c>
      <c r="E549">
        <v>1258.8599850000001</v>
      </c>
      <c r="F549">
        <v>1312.410034</v>
      </c>
      <c r="G549">
        <v>1312.410034</v>
      </c>
      <c r="H549">
        <v>79567560000</v>
      </c>
      <c r="I549"/>
      <c r="J549" s="30">
        <f t="shared" si="8"/>
        <v>4.3583062218506274E-2</v>
      </c>
    </row>
    <row r="550" spans="2:10" x14ac:dyDescent="0.3">
      <c r="B550" s="29">
        <v>40940</v>
      </c>
      <c r="C550">
        <v>1312.4499510000001</v>
      </c>
      <c r="D550">
        <v>1378.040039</v>
      </c>
      <c r="E550">
        <v>1312.4499510000001</v>
      </c>
      <c r="F550">
        <v>1365.6800539999999</v>
      </c>
      <c r="G550">
        <v>1365.6800539999999</v>
      </c>
      <c r="H550">
        <v>78385710000</v>
      </c>
      <c r="I550"/>
      <c r="J550" s="30">
        <f t="shared" si="8"/>
        <v>4.0589464130841746E-2</v>
      </c>
    </row>
    <row r="551" spans="2:10" x14ac:dyDescent="0.3">
      <c r="B551" s="29">
        <v>40969</v>
      </c>
      <c r="C551">
        <v>1365.900024</v>
      </c>
      <c r="D551">
        <v>1419.150024</v>
      </c>
      <c r="E551">
        <v>1340.030029</v>
      </c>
      <c r="F551">
        <v>1408.469971</v>
      </c>
      <c r="G551">
        <v>1408.469971</v>
      </c>
      <c r="H551">
        <v>83899660000</v>
      </c>
      <c r="I551"/>
      <c r="J551" s="30">
        <f t="shared" si="8"/>
        <v>3.1332314530530647E-2</v>
      </c>
    </row>
    <row r="552" spans="2:10" x14ac:dyDescent="0.3">
      <c r="B552" s="29">
        <v>41000</v>
      </c>
      <c r="C552">
        <v>1408.469971</v>
      </c>
      <c r="D552">
        <v>1422.380005</v>
      </c>
      <c r="E552">
        <v>1357.380005</v>
      </c>
      <c r="F552">
        <v>1397.910034</v>
      </c>
      <c r="G552">
        <v>1397.910034</v>
      </c>
      <c r="H552">
        <v>74761710000</v>
      </c>
      <c r="I552"/>
      <c r="J552" s="30">
        <f t="shared" si="8"/>
        <v>-7.4974527092703802E-3</v>
      </c>
    </row>
    <row r="553" spans="2:10" x14ac:dyDescent="0.3">
      <c r="B553" s="29">
        <v>41030</v>
      </c>
      <c r="C553">
        <v>1397.8599850000001</v>
      </c>
      <c r="D553">
        <v>1415.3199460000001</v>
      </c>
      <c r="E553">
        <v>1291.9799800000001</v>
      </c>
      <c r="F553">
        <v>1310.329956</v>
      </c>
      <c r="G553">
        <v>1310.329956</v>
      </c>
      <c r="H553">
        <v>86920490000</v>
      </c>
      <c r="I553"/>
      <c r="J553" s="30">
        <f t="shared" si="8"/>
        <v>-6.265072563317764E-2</v>
      </c>
    </row>
    <row r="554" spans="2:10" x14ac:dyDescent="0.3">
      <c r="B554" s="29">
        <v>41061</v>
      </c>
      <c r="C554">
        <v>1309.869995</v>
      </c>
      <c r="D554">
        <v>1363.459961</v>
      </c>
      <c r="E554">
        <v>1266.73999</v>
      </c>
      <c r="F554">
        <v>1362.160034</v>
      </c>
      <c r="G554">
        <v>1362.160034</v>
      </c>
      <c r="H554">
        <v>81582440000</v>
      </c>
      <c r="I554"/>
      <c r="J554" s="30">
        <f t="shared" si="8"/>
        <v>3.9554982134591521E-2</v>
      </c>
    </row>
    <row r="555" spans="2:10" x14ac:dyDescent="0.3">
      <c r="B555" s="29">
        <v>41091</v>
      </c>
      <c r="C555">
        <v>1362.329956</v>
      </c>
      <c r="D555">
        <v>1391.73999</v>
      </c>
      <c r="E555">
        <v>1325.410034</v>
      </c>
      <c r="F555">
        <v>1379.3199460000001</v>
      </c>
      <c r="G555">
        <v>1379.3199460000001</v>
      </c>
      <c r="H555">
        <v>73103810000</v>
      </c>
      <c r="I555"/>
      <c r="J555" s="30">
        <f t="shared" si="8"/>
        <v>1.2597574126154365E-2</v>
      </c>
    </row>
    <row r="556" spans="2:10" x14ac:dyDescent="0.3">
      <c r="B556" s="29">
        <v>41122</v>
      </c>
      <c r="C556">
        <v>1379.3199460000001</v>
      </c>
      <c r="D556">
        <v>1426.6800539999999</v>
      </c>
      <c r="E556">
        <v>1354.650024</v>
      </c>
      <c r="F556">
        <v>1406.579956</v>
      </c>
      <c r="G556">
        <v>1406.579956</v>
      </c>
      <c r="H556">
        <v>70283810000</v>
      </c>
      <c r="I556"/>
      <c r="J556" s="30">
        <f t="shared" si="8"/>
        <v>1.9763369680148246E-2</v>
      </c>
    </row>
    <row r="557" spans="2:10" x14ac:dyDescent="0.3">
      <c r="B557" s="29">
        <v>41153</v>
      </c>
      <c r="C557">
        <v>1406.540039</v>
      </c>
      <c r="D557">
        <v>1474.51001</v>
      </c>
      <c r="E557">
        <v>1396.5600589999999</v>
      </c>
      <c r="F557">
        <v>1440.670044</v>
      </c>
      <c r="G557">
        <v>1440.670044</v>
      </c>
      <c r="H557">
        <v>69784280000</v>
      </c>
      <c r="I557"/>
      <c r="J557" s="30">
        <f t="shared" si="8"/>
        <v>2.4236153696477025E-2</v>
      </c>
    </row>
    <row r="558" spans="2:10" x14ac:dyDescent="0.3">
      <c r="B558" s="29">
        <v>41183</v>
      </c>
      <c r="C558">
        <v>1440.900024</v>
      </c>
      <c r="D558">
        <v>1470.959961</v>
      </c>
      <c r="E558">
        <v>1403.280029</v>
      </c>
      <c r="F558">
        <v>1412.160034</v>
      </c>
      <c r="G558">
        <v>1412.160034</v>
      </c>
      <c r="H558">
        <v>71752320000</v>
      </c>
      <c r="I558"/>
      <c r="J558" s="30">
        <f t="shared" si="8"/>
        <v>-1.9789409878227415E-2</v>
      </c>
    </row>
    <row r="559" spans="2:10" x14ac:dyDescent="0.3">
      <c r="B559" s="29">
        <v>41214</v>
      </c>
      <c r="C559">
        <v>1412.1999510000001</v>
      </c>
      <c r="D559">
        <v>1434.2700199999999</v>
      </c>
      <c r="E559">
        <v>1343.349976</v>
      </c>
      <c r="F559">
        <v>1416.1800539999999</v>
      </c>
      <c r="G559">
        <v>1416.1800539999999</v>
      </c>
      <c r="H559">
        <v>71489310000</v>
      </c>
      <c r="I559"/>
      <c r="J559" s="30">
        <f t="shared" si="8"/>
        <v>2.8467170173434031E-3</v>
      </c>
    </row>
    <row r="560" spans="2:10" x14ac:dyDescent="0.3">
      <c r="B560" s="29">
        <v>41244</v>
      </c>
      <c r="C560">
        <v>1416.339966</v>
      </c>
      <c r="D560">
        <v>1448</v>
      </c>
      <c r="E560">
        <v>1398.1099850000001</v>
      </c>
      <c r="F560">
        <v>1426.1899410000001</v>
      </c>
      <c r="G560">
        <v>1426.1899410000001</v>
      </c>
      <c r="H560">
        <v>66388180000</v>
      </c>
      <c r="I560"/>
      <c r="J560" s="30">
        <f t="shared" si="8"/>
        <v>7.068230463864511E-3</v>
      </c>
    </row>
    <row r="561" spans="2:10" x14ac:dyDescent="0.3">
      <c r="B561" s="29">
        <v>41275</v>
      </c>
      <c r="C561">
        <v>1426.1899410000001</v>
      </c>
      <c r="D561">
        <v>1509.9399410000001</v>
      </c>
      <c r="E561">
        <v>1426.1899410000001</v>
      </c>
      <c r="F561">
        <v>1498.1099850000001</v>
      </c>
      <c r="G561">
        <v>1498.1099850000001</v>
      </c>
      <c r="H561">
        <v>75848510000</v>
      </c>
      <c r="I561"/>
      <c r="J561" s="30">
        <f t="shared" si="8"/>
        <v>5.0428096519578469E-2</v>
      </c>
    </row>
    <row r="562" spans="2:10" x14ac:dyDescent="0.3">
      <c r="B562" s="29">
        <v>41306</v>
      </c>
      <c r="C562">
        <v>1498.1099850000001</v>
      </c>
      <c r="D562">
        <v>1530.9399410000001</v>
      </c>
      <c r="E562">
        <v>1485.01001</v>
      </c>
      <c r="F562">
        <v>1514.6800539999999</v>
      </c>
      <c r="G562">
        <v>1514.6800539999999</v>
      </c>
      <c r="H562">
        <v>69273480000</v>
      </c>
      <c r="I562"/>
      <c r="J562" s="30">
        <f t="shared" si="8"/>
        <v>1.1060649195259176E-2</v>
      </c>
    </row>
    <row r="563" spans="2:10" x14ac:dyDescent="0.3">
      <c r="B563" s="29">
        <v>41334</v>
      </c>
      <c r="C563">
        <v>1514.6800539999999</v>
      </c>
      <c r="D563">
        <v>1570.280029</v>
      </c>
      <c r="E563">
        <v>1501.4799800000001</v>
      </c>
      <c r="F563">
        <v>1569.1899410000001</v>
      </c>
      <c r="G563">
        <v>1569.1899410000001</v>
      </c>
      <c r="H563">
        <v>68527110000</v>
      </c>
      <c r="I563"/>
      <c r="J563" s="30">
        <f t="shared" si="8"/>
        <v>3.5987723516956116E-2</v>
      </c>
    </row>
    <row r="564" spans="2:10" x14ac:dyDescent="0.3">
      <c r="B564" s="29">
        <v>41365</v>
      </c>
      <c r="C564">
        <v>1569.1800539999999</v>
      </c>
      <c r="D564">
        <v>1597.5699460000001</v>
      </c>
      <c r="E564">
        <v>1536.030029</v>
      </c>
      <c r="F564">
        <v>1597.5699460000001</v>
      </c>
      <c r="G564">
        <v>1597.5699460000001</v>
      </c>
      <c r="H564">
        <v>77098000000</v>
      </c>
      <c r="I564"/>
      <c r="J564" s="30">
        <f t="shared" si="8"/>
        <v>1.8085767859252311E-2</v>
      </c>
    </row>
    <row r="565" spans="2:10" x14ac:dyDescent="0.3">
      <c r="B565" s="29">
        <v>41395</v>
      </c>
      <c r="C565">
        <v>1597.5500489999999</v>
      </c>
      <c r="D565">
        <v>1687.1800539999999</v>
      </c>
      <c r="E565">
        <v>1581.280029</v>
      </c>
      <c r="F565">
        <v>1630.73999</v>
      </c>
      <c r="G565">
        <v>1630.73999</v>
      </c>
      <c r="H565">
        <v>76447250000</v>
      </c>
      <c r="I565"/>
      <c r="J565" s="30">
        <f t="shared" si="8"/>
        <v>2.0762811721046104E-2</v>
      </c>
    </row>
    <row r="566" spans="2:10" x14ac:dyDescent="0.3">
      <c r="B566" s="29">
        <v>41426</v>
      </c>
      <c r="C566">
        <v>1631.709961</v>
      </c>
      <c r="D566">
        <v>1654.1899410000001</v>
      </c>
      <c r="E566">
        <v>1560.329956</v>
      </c>
      <c r="F566">
        <v>1606.280029</v>
      </c>
      <c r="G566">
        <v>1606.280029</v>
      </c>
      <c r="H566">
        <v>74946790000</v>
      </c>
      <c r="I566"/>
      <c r="J566" s="30">
        <f t="shared" si="8"/>
        <v>-1.4999301636062778E-2</v>
      </c>
    </row>
    <row r="567" spans="2:10" x14ac:dyDescent="0.3">
      <c r="B567" s="29">
        <v>41456</v>
      </c>
      <c r="C567">
        <v>1609.780029</v>
      </c>
      <c r="D567">
        <v>1698.780029</v>
      </c>
      <c r="E567">
        <v>1604.5699460000001</v>
      </c>
      <c r="F567">
        <v>1685.7299800000001</v>
      </c>
      <c r="G567">
        <v>1685.7299800000001</v>
      </c>
      <c r="H567">
        <v>68106820000</v>
      </c>
      <c r="I567"/>
      <c r="J567" s="30">
        <f t="shared" si="8"/>
        <v>4.9462079815224991E-2</v>
      </c>
    </row>
    <row r="568" spans="2:10" x14ac:dyDescent="0.3">
      <c r="B568" s="29">
        <v>41487</v>
      </c>
      <c r="C568">
        <v>1689.420044</v>
      </c>
      <c r="D568">
        <v>1709.670044</v>
      </c>
      <c r="E568">
        <v>1627.469971</v>
      </c>
      <c r="F568">
        <v>1632.969971</v>
      </c>
      <c r="G568">
        <v>1632.969971</v>
      </c>
      <c r="H568">
        <v>64802810000</v>
      </c>
      <c r="I568"/>
      <c r="J568" s="30">
        <f t="shared" si="8"/>
        <v>-3.1298019033866864E-2</v>
      </c>
    </row>
    <row r="569" spans="2:10" x14ac:dyDescent="0.3">
      <c r="B569" s="29">
        <v>41518</v>
      </c>
      <c r="C569">
        <v>1635.9499510000001</v>
      </c>
      <c r="D569">
        <v>1729.8599850000001</v>
      </c>
      <c r="E569">
        <v>1633.410034</v>
      </c>
      <c r="F569">
        <v>1681.5500489999999</v>
      </c>
      <c r="G569">
        <v>1681.5500489999999</v>
      </c>
      <c r="H569">
        <v>66174410000</v>
      </c>
      <c r="I569"/>
      <c r="J569" s="30">
        <f t="shared" si="8"/>
        <v>2.9749523177239112E-2</v>
      </c>
    </row>
    <row r="570" spans="2:10" x14ac:dyDescent="0.3">
      <c r="B570" s="29">
        <v>41548</v>
      </c>
      <c r="C570">
        <v>1682.410034</v>
      </c>
      <c r="D570">
        <v>1775.219971</v>
      </c>
      <c r="E570">
        <v>1646.469971</v>
      </c>
      <c r="F570">
        <v>1756.540039</v>
      </c>
      <c r="G570">
        <v>1756.540039</v>
      </c>
      <c r="H570">
        <v>76647400000</v>
      </c>
      <c r="I570"/>
      <c r="J570" s="30">
        <f t="shared" si="8"/>
        <v>4.4595752618006079E-2</v>
      </c>
    </row>
    <row r="571" spans="2:10" x14ac:dyDescent="0.3">
      <c r="B571" s="29">
        <v>41579</v>
      </c>
      <c r="C571">
        <v>1758.6999510000001</v>
      </c>
      <c r="D571">
        <v>1813.5500489999999</v>
      </c>
      <c r="E571">
        <v>1746.1999510000001</v>
      </c>
      <c r="F571">
        <v>1805.8100589999999</v>
      </c>
      <c r="G571">
        <v>1805.8100589999999</v>
      </c>
      <c r="H571">
        <v>63628190000</v>
      </c>
      <c r="I571"/>
      <c r="J571" s="30">
        <f t="shared" si="8"/>
        <v>2.8049471635186451E-2</v>
      </c>
    </row>
    <row r="572" spans="2:10" x14ac:dyDescent="0.3">
      <c r="B572" s="29">
        <v>41609</v>
      </c>
      <c r="C572">
        <v>1806.5500489999999</v>
      </c>
      <c r="D572">
        <v>1849.4399410000001</v>
      </c>
      <c r="E572">
        <v>1767.98999</v>
      </c>
      <c r="F572">
        <v>1848.3599850000001</v>
      </c>
      <c r="G572">
        <v>1848.3599850000001</v>
      </c>
      <c r="H572">
        <v>64958820000</v>
      </c>
      <c r="I572"/>
      <c r="J572" s="30">
        <f t="shared" si="8"/>
        <v>2.356279155049279E-2</v>
      </c>
    </row>
    <row r="573" spans="2:10" x14ac:dyDescent="0.3">
      <c r="B573" s="29">
        <v>41640</v>
      </c>
      <c r="C573">
        <v>1845.8599850000001</v>
      </c>
      <c r="D573">
        <v>1850.839966</v>
      </c>
      <c r="E573">
        <v>1770.4499510000001</v>
      </c>
      <c r="F573">
        <v>1782.589966</v>
      </c>
      <c r="G573">
        <v>1782.589966</v>
      </c>
      <c r="H573">
        <v>75871910000</v>
      </c>
      <c r="I573"/>
      <c r="J573" s="30">
        <f t="shared" si="8"/>
        <v>-3.5582905675162646E-2</v>
      </c>
    </row>
    <row r="574" spans="2:10" x14ac:dyDescent="0.3">
      <c r="B574" s="29">
        <v>41671</v>
      </c>
      <c r="C574">
        <v>1782.6800539999999</v>
      </c>
      <c r="D574">
        <v>1867.920044</v>
      </c>
      <c r="E574">
        <v>1737.920044</v>
      </c>
      <c r="F574">
        <v>1859.4499510000001</v>
      </c>
      <c r="G574">
        <v>1859.4499510000001</v>
      </c>
      <c r="H574">
        <v>69725590000</v>
      </c>
      <c r="I574"/>
      <c r="J574" s="30">
        <f t="shared" si="8"/>
        <v>4.3117029976595278E-2</v>
      </c>
    </row>
    <row r="575" spans="2:10" x14ac:dyDescent="0.3">
      <c r="B575" s="29">
        <v>41699</v>
      </c>
      <c r="C575">
        <v>1857.6800539999999</v>
      </c>
      <c r="D575">
        <v>1883.969971</v>
      </c>
      <c r="E575">
        <v>1834.4399410000001</v>
      </c>
      <c r="F575">
        <v>1872.339966</v>
      </c>
      <c r="G575">
        <v>1872.339966</v>
      </c>
      <c r="H575">
        <v>71885030000</v>
      </c>
      <c r="I575"/>
      <c r="J575" s="30">
        <f t="shared" si="8"/>
        <v>6.9321656079357474E-3</v>
      </c>
    </row>
    <row r="576" spans="2:10" x14ac:dyDescent="0.3">
      <c r="B576" s="29">
        <v>41730</v>
      </c>
      <c r="C576">
        <v>1873.959961</v>
      </c>
      <c r="D576">
        <v>1897.280029</v>
      </c>
      <c r="E576">
        <v>1814.3599850000001</v>
      </c>
      <c r="F576">
        <v>1883.9499510000001</v>
      </c>
      <c r="G576">
        <v>1883.9499510000001</v>
      </c>
      <c r="H576">
        <v>71595810000</v>
      </c>
      <c r="I576"/>
      <c r="J576" s="30">
        <f t="shared" si="8"/>
        <v>6.2007889650528281E-3</v>
      </c>
    </row>
    <row r="577" spans="2:10" x14ac:dyDescent="0.3">
      <c r="B577" s="29">
        <v>41760</v>
      </c>
      <c r="C577">
        <v>1884.3900149999999</v>
      </c>
      <c r="D577">
        <v>1924.030029</v>
      </c>
      <c r="E577">
        <v>1859.790039</v>
      </c>
      <c r="F577">
        <v>1923.5699460000001</v>
      </c>
      <c r="G577">
        <v>1923.5699460000001</v>
      </c>
      <c r="H577">
        <v>63623630000</v>
      </c>
      <c r="I577"/>
      <c r="J577" s="30">
        <f t="shared" si="8"/>
        <v>2.1030280012996005E-2</v>
      </c>
    </row>
    <row r="578" spans="2:10" x14ac:dyDescent="0.3">
      <c r="B578" s="29">
        <v>41791</v>
      </c>
      <c r="C578">
        <v>1923.869995</v>
      </c>
      <c r="D578">
        <v>1968.170044</v>
      </c>
      <c r="E578">
        <v>1915.9799800000001</v>
      </c>
      <c r="F578">
        <v>1960.2299800000001</v>
      </c>
      <c r="G578">
        <v>1960.2299800000001</v>
      </c>
      <c r="H578">
        <v>63283380000</v>
      </c>
      <c r="I578"/>
      <c r="J578" s="30">
        <f t="shared" si="8"/>
        <v>1.9058331658920569E-2</v>
      </c>
    </row>
    <row r="579" spans="2:10" x14ac:dyDescent="0.3">
      <c r="B579" s="29">
        <v>41821</v>
      </c>
      <c r="C579">
        <v>1962.290039</v>
      </c>
      <c r="D579">
        <v>1991.3900149999999</v>
      </c>
      <c r="E579">
        <v>1930.670044</v>
      </c>
      <c r="F579">
        <v>1930.670044</v>
      </c>
      <c r="G579">
        <v>1930.670044</v>
      </c>
      <c r="H579">
        <v>66524690000</v>
      </c>
      <c r="I579"/>
      <c r="J579" s="30">
        <f t="shared" si="8"/>
        <v>-1.5079830581919862E-2</v>
      </c>
    </row>
    <row r="580" spans="2:10" x14ac:dyDescent="0.3">
      <c r="B580" s="29">
        <v>41852</v>
      </c>
      <c r="C580">
        <v>1929.8000489999999</v>
      </c>
      <c r="D580">
        <v>2005.040039</v>
      </c>
      <c r="E580">
        <v>1904.780029</v>
      </c>
      <c r="F580">
        <v>2003.369995</v>
      </c>
      <c r="G580">
        <v>2003.369995</v>
      </c>
      <c r="H580">
        <v>58131140000</v>
      </c>
      <c r="I580"/>
      <c r="J580" s="30">
        <f t="shared" si="8"/>
        <v>3.7655295489735119E-2</v>
      </c>
    </row>
    <row r="581" spans="2:10" x14ac:dyDescent="0.3">
      <c r="B581" s="29">
        <v>41883</v>
      </c>
      <c r="C581">
        <v>2004.0699460000001</v>
      </c>
      <c r="D581">
        <v>2019.26001</v>
      </c>
      <c r="E581">
        <v>1964.040039</v>
      </c>
      <c r="F581">
        <v>1972.290039</v>
      </c>
      <c r="G581">
        <v>1972.290039</v>
      </c>
      <c r="H581">
        <v>66706000000</v>
      </c>
      <c r="I581"/>
      <c r="J581" s="30">
        <f t="shared" si="8"/>
        <v>-1.5513837223063764E-2</v>
      </c>
    </row>
    <row r="582" spans="2:10" x14ac:dyDescent="0.3">
      <c r="B582" s="29">
        <v>41913</v>
      </c>
      <c r="C582">
        <v>1971.4399410000001</v>
      </c>
      <c r="D582">
        <v>2018.1899410000001</v>
      </c>
      <c r="E582">
        <v>1820.660034</v>
      </c>
      <c r="F582">
        <v>2018.0500489999999</v>
      </c>
      <c r="G582">
        <v>2018.0500489999999</v>
      </c>
      <c r="H582">
        <v>93714040000</v>
      </c>
      <c r="I582"/>
      <c r="J582" s="30">
        <f t="shared" si="8"/>
        <v>2.3201460786772321E-2</v>
      </c>
    </row>
    <row r="583" spans="2:10" x14ac:dyDescent="0.3">
      <c r="B583" s="29">
        <v>41944</v>
      </c>
      <c r="C583">
        <v>2018.209961</v>
      </c>
      <c r="D583">
        <v>2075.76001</v>
      </c>
      <c r="E583">
        <v>2001.01001</v>
      </c>
      <c r="F583">
        <v>2067.5600589999999</v>
      </c>
      <c r="G583">
        <v>2067.5600589999999</v>
      </c>
      <c r="H583">
        <v>63600190000</v>
      </c>
      <c r="I583"/>
      <c r="J583" s="30">
        <f t="shared" si="8"/>
        <v>2.4533588760364822E-2</v>
      </c>
    </row>
    <row r="584" spans="2:10" x14ac:dyDescent="0.3">
      <c r="B584" s="29">
        <v>41974</v>
      </c>
      <c r="C584">
        <v>2065.780029</v>
      </c>
      <c r="D584">
        <v>2093.5500489999999</v>
      </c>
      <c r="E584">
        <v>1972.5600589999999</v>
      </c>
      <c r="F584">
        <v>2058.8999020000001</v>
      </c>
      <c r="G584">
        <v>2058.8999020000001</v>
      </c>
      <c r="H584">
        <v>80743820000</v>
      </c>
      <c r="I584"/>
      <c r="J584" s="30">
        <f t="shared" si="8"/>
        <v>-4.1885878779204244E-3</v>
      </c>
    </row>
    <row r="585" spans="2:10" x14ac:dyDescent="0.3">
      <c r="B585" s="29">
        <v>42005</v>
      </c>
      <c r="C585">
        <v>2058.8999020000001</v>
      </c>
      <c r="D585">
        <v>2072.360107</v>
      </c>
      <c r="E585">
        <v>1988.119995</v>
      </c>
      <c r="F585">
        <v>1994.98999</v>
      </c>
      <c r="G585">
        <v>1994.98999</v>
      </c>
      <c r="H585">
        <v>77300040000</v>
      </c>
      <c r="I585"/>
      <c r="J585" s="30">
        <f t="shared" si="8"/>
        <v>-3.1040805790470194E-2</v>
      </c>
    </row>
    <row r="586" spans="2:10" x14ac:dyDescent="0.3">
      <c r="B586" s="29">
        <v>42036</v>
      </c>
      <c r="C586">
        <v>1996.670044</v>
      </c>
      <c r="D586">
        <v>2119.5900879999999</v>
      </c>
      <c r="E586">
        <v>1980.900024</v>
      </c>
      <c r="F586">
        <v>2104.5</v>
      </c>
      <c r="G586">
        <v>2104.5</v>
      </c>
      <c r="H586">
        <v>68775560000</v>
      </c>
      <c r="I586"/>
      <c r="J586" s="30">
        <f t="shared" si="8"/>
        <v>5.4892511014553946E-2</v>
      </c>
    </row>
    <row r="587" spans="2:10" x14ac:dyDescent="0.3">
      <c r="B587" s="29">
        <v>42064</v>
      </c>
      <c r="C587">
        <v>2105.2299800000001</v>
      </c>
      <c r="D587">
        <v>2117.5200199999999</v>
      </c>
      <c r="E587">
        <v>2039.6899410000001</v>
      </c>
      <c r="F587">
        <v>2067.889893</v>
      </c>
      <c r="G587">
        <v>2067.889893</v>
      </c>
      <c r="H587">
        <v>76675850000</v>
      </c>
      <c r="I587"/>
      <c r="J587" s="30">
        <f t="shared" ref="J587:J619" si="9">F587/F586-1</f>
        <v>-1.739610691375626E-2</v>
      </c>
    </row>
    <row r="588" spans="2:10" x14ac:dyDescent="0.3">
      <c r="B588" s="29">
        <v>42095</v>
      </c>
      <c r="C588">
        <v>2067.6298830000001</v>
      </c>
      <c r="D588">
        <v>2125.919922</v>
      </c>
      <c r="E588">
        <v>2048.3798830000001</v>
      </c>
      <c r="F588">
        <v>2085.51001</v>
      </c>
      <c r="G588">
        <v>2085.51001</v>
      </c>
      <c r="H588">
        <v>69440940000</v>
      </c>
      <c r="I588"/>
      <c r="J588" s="30">
        <f t="shared" si="9"/>
        <v>8.5208197301247512E-3</v>
      </c>
    </row>
    <row r="589" spans="2:10" x14ac:dyDescent="0.3">
      <c r="B589" s="29">
        <v>42125</v>
      </c>
      <c r="C589">
        <v>2087.3798830000001</v>
      </c>
      <c r="D589">
        <v>2134.719971</v>
      </c>
      <c r="E589">
        <v>2067.929932</v>
      </c>
      <c r="F589">
        <v>2107.389893</v>
      </c>
      <c r="G589">
        <v>2107.389893</v>
      </c>
      <c r="H589">
        <v>65187730000</v>
      </c>
      <c r="I589"/>
      <c r="J589" s="30">
        <f t="shared" si="9"/>
        <v>1.0491382393316817E-2</v>
      </c>
    </row>
    <row r="590" spans="2:10" x14ac:dyDescent="0.3">
      <c r="B590" s="29">
        <v>42156</v>
      </c>
      <c r="C590">
        <v>2108.639893</v>
      </c>
      <c r="D590">
        <v>2129.8701169999999</v>
      </c>
      <c r="E590">
        <v>2056.320068</v>
      </c>
      <c r="F590">
        <v>2063.110107</v>
      </c>
      <c r="G590">
        <v>2063.110107</v>
      </c>
      <c r="H590">
        <v>73213980000</v>
      </c>
      <c r="I590"/>
      <c r="J590" s="30">
        <f t="shared" si="9"/>
        <v>-2.1011672375900514E-2</v>
      </c>
    </row>
    <row r="591" spans="2:10" x14ac:dyDescent="0.3">
      <c r="B591" s="29">
        <v>42186</v>
      </c>
      <c r="C591">
        <v>2067</v>
      </c>
      <c r="D591">
        <v>2132.820068</v>
      </c>
      <c r="E591">
        <v>2044.0200199999999</v>
      </c>
      <c r="F591">
        <v>2103.8400879999999</v>
      </c>
      <c r="G591">
        <v>2103.8400879999999</v>
      </c>
      <c r="H591">
        <v>77920590000</v>
      </c>
      <c r="I591"/>
      <c r="J591" s="30">
        <f t="shared" si="9"/>
        <v>1.9742029696721453E-2</v>
      </c>
    </row>
    <row r="592" spans="2:10" x14ac:dyDescent="0.3">
      <c r="B592" s="29">
        <v>42217</v>
      </c>
      <c r="C592">
        <v>2104.48999</v>
      </c>
      <c r="D592">
        <v>2112.6599120000001</v>
      </c>
      <c r="E592">
        <v>1867.01001</v>
      </c>
      <c r="F592">
        <v>1972.1800539999999</v>
      </c>
      <c r="G592">
        <v>1972.1800539999999</v>
      </c>
      <c r="H592">
        <v>84626790000</v>
      </c>
      <c r="I592"/>
      <c r="J592" s="30">
        <f t="shared" si="9"/>
        <v>-6.2580818167202845E-2</v>
      </c>
    </row>
    <row r="593" spans="2:10" x14ac:dyDescent="0.3">
      <c r="B593" s="29">
        <v>42248</v>
      </c>
      <c r="C593">
        <v>1970.089966</v>
      </c>
      <c r="D593">
        <v>2020.8599850000001</v>
      </c>
      <c r="E593">
        <v>1871.910034</v>
      </c>
      <c r="F593">
        <v>1920.030029</v>
      </c>
      <c r="G593">
        <v>1920.030029</v>
      </c>
      <c r="H593">
        <v>79968370000</v>
      </c>
      <c r="I593"/>
      <c r="J593" s="30">
        <f t="shared" si="9"/>
        <v>-2.6442831573227132E-2</v>
      </c>
    </row>
    <row r="594" spans="2:10" x14ac:dyDescent="0.3">
      <c r="B594" s="29">
        <v>42278</v>
      </c>
      <c r="C594">
        <v>1919.650024</v>
      </c>
      <c r="D594">
        <v>2094.320068</v>
      </c>
      <c r="E594">
        <v>1893.6999510000001</v>
      </c>
      <c r="F594">
        <v>2079.360107</v>
      </c>
      <c r="G594">
        <v>2079.360107</v>
      </c>
      <c r="H594">
        <v>85844900000</v>
      </c>
      <c r="I594"/>
      <c r="J594" s="30">
        <f t="shared" si="9"/>
        <v>8.2983117760394132E-2</v>
      </c>
    </row>
    <row r="595" spans="2:10" x14ac:dyDescent="0.3">
      <c r="B595" s="29">
        <v>42309</v>
      </c>
      <c r="C595">
        <v>2080.76001</v>
      </c>
      <c r="D595">
        <v>2116.4799800000001</v>
      </c>
      <c r="E595">
        <v>2019.3900149999999</v>
      </c>
      <c r="F595">
        <v>2080.4099120000001</v>
      </c>
      <c r="G595">
        <v>2080.4099120000001</v>
      </c>
      <c r="H595">
        <v>75943590000</v>
      </c>
      <c r="I595"/>
      <c r="J595" s="30">
        <f t="shared" si="9"/>
        <v>5.0486926072412786E-4</v>
      </c>
    </row>
    <row r="596" spans="2:10" x14ac:dyDescent="0.3">
      <c r="B596" s="29">
        <v>42339</v>
      </c>
      <c r="C596">
        <v>2082.929932</v>
      </c>
      <c r="D596">
        <v>2104.2700199999999</v>
      </c>
      <c r="E596">
        <v>1993.26001</v>
      </c>
      <c r="F596">
        <v>2043.9399410000001</v>
      </c>
      <c r="G596">
        <v>2043.9399410000001</v>
      </c>
      <c r="H596">
        <v>83649260000</v>
      </c>
      <c r="I596"/>
      <c r="J596" s="30">
        <f t="shared" si="9"/>
        <v>-1.7530185176314439E-2</v>
      </c>
    </row>
    <row r="597" spans="2:10" x14ac:dyDescent="0.3">
      <c r="B597" s="29">
        <v>42370</v>
      </c>
      <c r="C597">
        <v>2038.1999510000001</v>
      </c>
      <c r="D597">
        <v>2038.1999510000001</v>
      </c>
      <c r="E597">
        <v>1812.290039</v>
      </c>
      <c r="F597">
        <v>1940.23999</v>
      </c>
      <c r="G597">
        <v>1940.23999</v>
      </c>
      <c r="H597">
        <v>92409770000</v>
      </c>
      <c r="I597"/>
      <c r="J597" s="30">
        <f t="shared" si="9"/>
        <v>-5.073532197294639E-2</v>
      </c>
    </row>
    <row r="598" spans="2:10" x14ac:dyDescent="0.3">
      <c r="B598" s="29">
        <v>42401</v>
      </c>
      <c r="C598">
        <v>1936.9399410000001</v>
      </c>
      <c r="D598">
        <v>1962.959961</v>
      </c>
      <c r="E598">
        <v>1810.099976</v>
      </c>
      <c r="F598">
        <v>1932.2299800000001</v>
      </c>
      <c r="G598">
        <v>1932.2299800000001</v>
      </c>
      <c r="H598">
        <v>93049560000</v>
      </c>
      <c r="I598"/>
      <c r="J598" s="30">
        <f t="shared" si="9"/>
        <v>-4.1283604302990717E-3</v>
      </c>
    </row>
    <row r="599" spans="2:10" x14ac:dyDescent="0.3">
      <c r="B599" s="29">
        <v>42430</v>
      </c>
      <c r="C599">
        <v>1937.089966</v>
      </c>
      <c r="D599">
        <v>2072.209961</v>
      </c>
      <c r="E599">
        <v>1937.089966</v>
      </c>
      <c r="F599">
        <v>2059.73999</v>
      </c>
      <c r="G599">
        <v>2059.73999</v>
      </c>
      <c r="H599">
        <v>92639420000</v>
      </c>
      <c r="I599"/>
      <c r="J599" s="30">
        <f t="shared" si="9"/>
        <v>6.5991114577365062E-2</v>
      </c>
    </row>
    <row r="600" spans="2:10" x14ac:dyDescent="0.3">
      <c r="B600" s="29">
        <v>42461</v>
      </c>
      <c r="C600">
        <v>2056.6201169999999</v>
      </c>
      <c r="D600">
        <v>2111.0500489999999</v>
      </c>
      <c r="E600">
        <v>2033.8000489999999</v>
      </c>
      <c r="F600">
        <v>2065.3000489999999</v>
      </c>
      <c r="G600">
        <v>2065.3000489999999</v>
      </c>
      <c r="H600">
        <v>81124990000</v>
      </c>
      <c r="I600"/>
      <c r="J600" s="30">
        <f t="shared" si="9"/>
        <v>2.6993984808731941E-3</v>
      </c>
    </row>
    <row r="601" spans="2:10" x14ac:dyDescent="0.3">
      <c r="B601" s="29">
        <v>42491</v>
      </c>
      <c r="C601">
        <v>2067.169922</v>
      </c>
      <c r="D601">
        <v>2103.4799800000001</v>
      </c>
      <c r="E601">
        <v>2025.910034</v>
      </c>
      <c r="F601">
        <v>2096.9499510000001</v>
      </c>
      <c r="G601">
        <v>2096.9499510000001</v>
      </c>
      <c r="H601">
        <v>78883600000</v>
      </c>
      <c r="I601"/>
      <c r="J601" s="30">
        <f t="shared" si="9"/>
        <v>1.5324602357572603E-2</v>
      </c>
    </row>
    <row r="602" spans="2:10" x14ac:dyDescent="0.3">
      <c r="B602" s="29">
        <v>42522</v>
      </c>
      <c r="C602">
        <v>2093.9399410000001</v>
      </c>
      <c r="D602">
        <v>2120.5500489999999</v>
      </c>
      <c r="E602">
        <v>1991.6800539999999</v>
      </c>
      <c r="F602">
        <v>2098.860107</v>
      </c>
      <c r="G602">
        <v>2098.860107</v>
      </c>
      <c r="H602">
        <v>86852700000</v>
      </c>
      <c r="I602"/>
      <c r="J602" s="30">
        <f t="shared" si="9"/>
        <v>9.1092112097812539E-4</v>
      </c>
    </row>
    <row r="603" spans="2:10" x14ac:dyDescent="0.3">
      <c r="B603" s="29">
        <v>42552</v>
      </c>
      <c r="C603">
        <v>2099.3400879999999</v>
      </c>
      <c r="D603">
        <v>2177.0900879999999</v>
      </c>
      <c r="E603">
        <v>2074.0200199999999</v>
      </c>
      <c r="F603">
        <v>2173.6000979999999</v>
      </c>
      <c r="G603">
        <v>2173.6000979999999</v>
      </c>
      <c r="H603">
        <v>69530250000</v>
      </c>
      <c r="I603"/>
      <c r="J603" s="30">
        <f t="shared" si="9"/>
        <v>3.5609801125254359E-2</v>
      </c>
    </row>
    <row r="604" spans="2:10" x14ac:dyDescent="0.3">
      <c r="B604" s="29">
        <v>42583</v>
      </c>
      <c r="C604">
        <v>2173.1499020000001</v>
      </c>
      <c r="D604">
        <v>2193.8100589999999</v>
      </c>
      <c r="E604">
        <v>2147.580078</v>
      </c>
      <c r="F604">
        <v>2170.9499510000001</v>
      </c>
      <c r="G604">
        <v>2170.9499510000001</v>
      </c>
      <c r="H604">
        <v>75610310000</v>
      </c>
      <c r="I604"/>
      <c r="J604" s="30">
        <f t="shared" si="9"/>
        <v>-1.2192431360480427E-3</v>
      </c>
    </row>
    <row r="605" spans="2:10" x14ac:dyDescent="0.3">
      <c r="B605" s="29">
        <v>42614</v>
      </c>
      <c r="C605">
        <v>2171.330078</v>
      </c>
      <c r="D605">
        <v>2187.8701169999999</v>
      </c>
      <c r="E605">
        <v>2119.1201169999999</v>
      </c>
      <c r="F605">
        <v>2168.2700199999999</v>
      </c>
      <c r="G605">
        <v>2168.2700199999999</v>
      </c>
      <c r="H605">
        <v>77270240000</v>
      </c>
      <c r="I605"/>
      <c r="J605" s="30">
        <f t="shared" si="9"/>
        <v>-1.2344508443253854E-3</v>
      </c>
    </row>
    <row r="606" spans="2:10" x14ac:dyDescent="0.3">
      <c r="B606" s="29">
        <v>42644</v>
      </c>
      <c r="C606">
        <v>2164.330078</v>
      </c>
      <c r="D606">
        <v>2169.6000979999999</v>
      </c>
      <c r="E606">
        <v>2114.719971</v>
      </c>
      <c r="F606">
        <v>2126.1499020000001</v>
      </c>
      <c r="G606">
        <v>2126.1499020000001</v>
      </c>
      <c r="H606">
        <v>73196630000</v>
      </c>
      <c r="I606"/>
      <c r="J606" s="30">
        <f t="shared" si="9"/>
        <v>-1.9425679279557517E-2</v>
      </c>
    </row>
    <row r="607" spans="2:10" x14ac:dyDescent="0.3">
      <c r="B607" s="29">
        <v>42675</v>
      </c>
      <c r="C607">
        <v>2128.679932</v>
      </c>
      <c r="D607">
        <v>2214.1000979999999</v>
      </c>
      <c r="E607">
        <v>2083.790039</v>
      </c>
      <c r="F607">
        <v>2198.8100589999999</v>
      </c>
      <c r="G607">
        <v>2198.8100589999999</v>
      </c>
      <c r="H607">
        <v>88299760000</v>
      </c>
      <c r="I607"/>
      <c r="J607" s="30">
        <f t="shared" si="9"/>
        <v>3.4174522187570444E-2</v>
      </c>
    </row>
    <row r="608" spans="2:10" x14ac:dyDescent="0.3">
      <c r="B608" s="29">
        <v>42705</v>
      </c>
      <c r="C608">
        <v>2200.169922</v>
      </c>
      <c r="D608">
        <v>2277.530029</v>
      </c>
      <c r="E608">
        <v>2187.4399410000001</v>
      </c>
      <c r="F608">
        <v>2238.830078</v>
      </c>
      <c r="G608">
        <v>2238.830078</v>
      </c>
      <c r="H608">
        <v>75251240000</v>
      </c>
      <c r="I608"/>
      <c r="J608" s="30">
        <f t="shared" si="9"/>
        <v>1.8200762196895148E-2</v>
      </c>
    </row>
    <row r="609" spans="2:10" x14ac:dyDescent="0.3">
      <c r="B609" s="29">
        <v>42736</v>
      </c>
      <c r="C609">
        <v>2251.570068</v>
      </c>
      <c r="D609">
        <v>2300.98999</v>
      </c>
      <c r="E609">
        <v>2245.1298830000001</v>
      </c>
      <c r="F609">
        <v>2278.8701169999999</v>
      </c>
      <c r="G609">
        <v>2278.8701169999999</v>
      </c>
      <c r="H609">
        <v>70483180000</v>
      </c>
      <c r="I609"/>
      <c r="J609" s="30">
        <f t="shared" si="9"/>
        <v>1.7884358171464498E-2</v>
      </c>
    </row>
    <row r="610" spans="2:10" x14ac:dyDescent="0.3">
      <c r="B610" s="29">
        <v>42767</v>
      </c>
      <c r="C610">
        <v>2285.5900879999999</v>
      </c>
      <c r="D610">
        <v>2371.540039</v>
      </c>
      <c r="E610">
        <v>2271.6499020000001</v>
      </c>
      <c r="F610">
        <v>2363.639893</v>
      </c>
      <c r="G610">
        <v>2363.639893</v>
      </c>
      <c r="H610">
        <v>69162420000</v>
      </c>
      <c r="I610"/>
      <c r="J610" s="30">
        <f t="shared" si="9"/>
        <v>3.7198160337279074E-2</v>
      </c>
    </row>
    <row r="611" spans="2:10" x14ac:dyDescent="0.3">
      <c r="B611" s="29">
        <v>42795</v>
      </c>
      <c r="C611">
        <v>2380.1298830000001</v>
      </c>
      <c r="D611">
        <v>2400.9799800000001</v>
      </c>
      <c r="E611">
        <v>2322.25</v>
      </c>
      <c r="F611">
        <v>2362.719971</v>
      </c>
      <c r="G611">
        <v>2362.719971</v>
      </c>
      <c r="H611">
        <v>81547770000</v>
      </c>
      <c r="I611"/>
      <c r="J611" s="30">
        <f t="shared" si="9"/>
        <v>-3.8919718808450021E-4</v>
      </c>
    </row>
    <row r="612" spans="2:10" x14ac:dyDescent="0.3">
      <c r="B612" s="29">
        <v>42826</v>
      </c>
      <c r="C612">
        <v>2362.3400879999999</v>
      </c>
      <c r="D612">
        <v>2398.1599120000001</v>
      </c>
      <c r="E612">
        <v>2328.9499510000001</v>
      </c>
      <c r="F612">
        <v>2384.1999510000001</v>
      </c>
      <c r="G612">
        <v>2384.1999510000001</v>
      </c>
      <c r="H612">
        <v>65265670000</v>
      </c>
      <c r="I612"/>
      <c r="J612" s="30">
        <f t="shared" si="9"/>
        <v>9.0912085493182193E-3</v>
      </c>
    </row>
    <row r="613" spans="2:10" x14ac:dyDescent="0.3">
      <c r="B613" s="29">
        <v>42856</v>
      </c>
      <c r="C613">
        <v>2388.5</v>
      </c>
      <c r="D613">
        <v>2418.709961</v>
      </c>
      <c r="E613">
        <v>2352.719971</v>
      </c>
      <c r="F613">
        <v>2411.8000489999999</v>
      </c>
      <c r="G613">
        <v>2411.8000489999999</v>
      </c>
      <c r="H613">
        <v>79607170000</v>
      </c>
      <c r="I613"/>
      <c r="J613" s="30">
        <f t="shared" si="9"/>
        <v>1.157625139134133E-2</v>
      </c>
    </row>
    <row r="614" spans="2:10" x14ac:dyDescent="0.3">
      <c r="B614" s="29">
        <v>42887</v>
      </c>
      <c r="C614">
        <v>2415.6499020000001</v>
      </c>
      <c r="D614">
        <v>2453.820068</v>
      </c>
      <c r="E614">
        <v>2405.6999510000001</v>
      </c>
      <c r="F614">
        <v>2423.4099120000001</v>
      </c>
      <c r="G614">
        <v>2423.4099120000001</v>
      </c>
      <c r="H614">
        <v>81002490000</v>
      </c>
      <c r="I614"/>
      <c r="J614" s="30">
        <f t="shared" si="9"/>
        <v>4.8137750908554544E-3</v>
      </c>
    </row>
    <row r="615" spans="2:10" x14ac:dyDescent="0.3">
      <c r="B615" s="29">
        <v>42917</v>
      </c>
      <c r="C615">
        <v>2431.389893</v>
      </c>
      <c r="D615">
        <v>2484.040039</v>
      </c>
      <c r="E615">
        <v>2407.6999510000001</v>
      </c>
      <c r="F615">
        <v>2470.3000489999999</v>
      </c>
      <c r="G615">
        <v>2470.3000489999999</v>
      </c>
      <c r="H615">
        <v>63169400000</v>
      </c>
      <c r="I615"/>
      <c r="J615" s="30">
        <f t="shared" si="9"/>
        <v>1.9348826118030571E-2</v>
      </c>
    </row>
    <row r="616" spans="2:10" x14ac:dyDescent="0.3">
      <c r="B616" s="29">
        <v>42948</v>
      </c>
      <c r="C616">
        <v>2477.1000979999999</v>
      </c>
      <c r="D616">
        <v>2490.8701169999999</v>
      </c>
      <c r="E616">
        <v>2417.3500979999999</v>
      </c>
      <c r="F616">
        <v>2471.6499020000001</v>
      </c>
      <c r="G616">
        <v>2471.6499020000001</v>
      </c>
      <c r="H616">
        <v>70616030000</v>
      </c>
      <c r="I616"/>
      <c r="J616" s="30">
        <f t="shared" si="9"/>
        <v>5.4643281108557318E-4</v>
      </c>
    </row>
    <row r="617" spans="2:10" x14ac:dyDescent="0.3">
      <c r="B617" s="29">
        <v>42979</v>
      </c>
      <c r="C617">
        <v>2474.419922</v>
      </c>
      <c r="D617">
        <v>2519.4399410000001</v>
      </c>
      <c r="E617">
        <v>2446.5500489999999</v>
      </c>
      <c r="F617">
        <v>2519.360107</v>
      </c>
      <c r="G617">
        <v>2519.360107</v>
      </c>
      <c r="H617">
        <v>63046220000</v>
      </c>
      <c r="I617"/>
      <c r="J617" s="30">
        <f t="shared" si="9"/>
        <v>1.9302978533243698E-2</v>
      </c>
    </row>
    <row r="618" spans="2:10" x14ac:dyDescent="0.3">
      <c r="B618" s="29">
        <v>43009</v>
      </c>
      <c r="C618">
        <v>2521.1999510000001</v>
      </c>
      <c r="D618">
        <v>2557.6499020000001</v>
      </c>
      <c r="E618">
        <v>2520.3999020000001</v>
      </c>
      <c r="F618">
        <v>2553.169922</v>
      </c>
      <c r="G618">
        <v>2553.169922</v>
      </c>
      <c r="H618">
        <v>29936900000</v>
      </c>
      <c r="I618"/>
      <c r="J618" s="30">
        <f t="shared" si="9"/>
        <v>1.3420000938357379E-2</v>
      </c>
    </row>
    <row r="619" spans="2:10" x14ac:dyDescent="0.3">
      <c r="B619" s="29">
        <v>43021</v>
      </c>
      <c r="C619">
        <v>2555.6599120000001</v>
      </c>
      <c r="D619">
        <v>2557.6499020000001</v>
      </c>
      <c r="E619">
        <v>2552.0900879999999</v>
      </c>
      <c r="F619">
        <v>2553.169922</v>
      </c>
      <c r="G619">
        <v>2553.169922</v>
      </c>
      <c r="H619">
        <v>1893931188</v>
      </c>
      <c r="I619"/>
      <c r="J619" s="30">
        <f t="shared" si="9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H11"/>
  <sheetViews>
    <sheetView workbookViewId="0">
      <selection activeCell="F11" sqref="F11"/>
    </sheetView>
  </sheetViews>
  <sheetFormatPr defaultRowHeight="15" x14ac:dyDescent="0.25"/>
  <sheetData>
    <row r="3" spans="2:8" ht="16.5" x14ac:dyDescent="0.3">
      <c r="B3" s="1" t="s">
        <v>25</v>
      </c>
    </row>
    <row r="4" spans="2:8" ht="16.5" x14ac:dyDescent="0.3">
      <c r="B4" s="1" t="s">
        <v>24</v>
      </c>
    </row>
    <row r="6" spans="2:8" x14ac:dyDescent="0.25">
      <c r="D6" s="2" t="s">
        <v>41</v>
      </c>
      <c r="E6" s="15">
        <v>0.03</v>
      </c>
    </row>
    <row r="7" spans="2:8" x14ac:dyDescent="0.25">
      <c r="D7" s="2" t="s">
        <v>42</v>
      </c>
      <c r="E7" s="15">
        <v>0.09</v>
      </c>
    </row>
    <row r="8" spans="2:8" x14ac:dyDescent="0.25">
      <c r="D8" s="2" t="s">
        <v>43</v>
      </c>
      <c r="E8" s="2">
        <v>1.5</v>
      </c>
    </row>
    <row r="9" spans="2:8" x14ac:dyDescent="0.25">
      <c r="D9" s="2"/>
      <c r="E9" s="2"/>
    </row>
    <row r="10" spans="2:8" x14ac:dyDescent="0.25">
      <c r="D10" s="2" t="s">
        <v>44</v>
      </c>
      <c r="E10" s="24" t="s">
        <v>36</v>
      </c>
      <c r="F10" t="s">
        <v>41</v>
      </c>
      <c r="G10" s="27" t="s">
        <v>45</v>
      </c>
      <c r="H10" s="28" t="s">
        <v>46</v>
      </c>
    </row>
    <row r="11" spans="2:8" x14ac:dyDescent="0.25">
      <c r="D11" s="15">
        <f>E6+E8*(E7-E6)</f>
        <v>0.12</v>
      </c>
      <c r="F11" s="2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Pregunta 1</vt:lpstr>
      <vt:lpstr>Pregunta 2</vt:lpstr>
      <vt:lpstr>Pregunta 3</vt:lpstr>
      <vt:lpstr>Pregunta 4</vt:lpstr>
      <vt:lpstr>Pregunta 5</vt:lpstr>
      <vt:lpstr>Pregunta 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Sequeira</dc:creator>
  <cp:lastModifiedBy>Gabriela Sequeira</cp:lastModifiedBy>
  <dcterms:created xsi:type="dcterms:W3CDTF">2017-10-16T03:38:15Z</dcterms:created>
  <dcterms:modified xsi:type="dcterms:W3CDTF">2017-10-19T18:18:12Z</dcterms:modified>
</cp:coreProperties>
</file>