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625"/>
  <workbookPr/>
  <mc:AlternateContent xmlns:mc="http://schemas.openxmlformats.org/markup-compatibility/2006">
    <mc:Choice Requires="x15">
      <x15ac:absPath xmlns:x15ac="http://schemas.microsoft.com/office/spreadsheetml/2010/11/ac" url="C:\Users\Vinix\Documents\Tareas universidad\4 Semestre\Financiera I\Ejercicios\"/>
    </mc:Choice>
  </mc:AlternateContent>
  <bookViews>
    <workbookView xWindow="0" yWindow="0" windowWidth="20490" windowHeight="7530" firstSheet="1" activeTab="2" xr2:uid="{00000000-000D-0000-FFFF-FFFF00000000}"/>
  </bookViews>
  <sheets>
    <sheet name="Respuestas" sheetId="2" state="hidden" r:id="rId1"/>
    <sheet name="Caso 1 E" sheetId="5" r:id="rId2"/>
    <sheet name="Caso2" sheetId="1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8" i="1" l="1"/>
  <c r="T6" i="5"/>
  <c r="T5" i="5"/>
  <c r="T9" i="5"/>
  <c r="L19" i="5"/>
  <c r="L17" i="5"/>
  <c r="L15" i="5"/>
  <c r="L14" i="5"/>
  <c r="L6" i="5"/>
  <c r="H16" i="5"/>
  <c r="F29" i="1" l="1"/>
  <c r="G29" i="1" s="1"/>
  <c r="H29" i="1" s="1"/>
  <c r="I29" i="1" s="1"/>
  <c r="F18" i="1"/>
  <c r="F14" i="1"/>
  <c r="F20" i="1" s="1"/>
  <c r="G12" i="1"/>
  <c r="H12" i="1" s="1"/>
  <c r="I12" i="1" s="1"/>
  <c r="J12" i="1" s="1"/>
  <c r="F12" i="1"/>
  <c r="F8" i="1"/>
  <c r="G8" i="1" s="1"/>
  <c r="H8" i="1" s="1"/>
  <c r="I8" i="1" s="1"/>
  <c r="J8" i="1" s="1"/>
  <c r="J14" i="1" l="1"/>
  <c r="F55" i="1"/>
  <c r="R17" i="5"/>
  <c r="R16" i="5"/>
  <c r="R11" i="5"/>
  <c r="R12" i="5"/>
  <c r="R10" i="5"/>
  <c r="R9" i="5"/>
  <c r="R8" i="5"/>
  <c r="L30" i="5"/>
  <c r="M21" i="5" s="1"/>
  <c r="I14" i="5" s="1"/>
  <c r="T13" i="5" s="1"/>
  <c r="T21" i="5" s="1"/>
  <c r="L23" i="5"/>
  <c r="M17" i="5"/>
  <c r="T10" i="5" s="1"/>
  <c r="L18" i="5"/>
  <c r="M18" i="5" s="1"/>
  <c r="T11" i="5" s="1"/>
  <c r="L12" i="5"/>
  <c r="M12" i="5" s="1"/>
  <c r="T17" i="5" s="1"/>
  <c r="L9" i="5"/>
  <c r="L7" i="5"/>
  <c r="M7" i="5" s="1"/>
  <c r="L5" i="5"/>
  <c r="H10" i="5"/>
  <c r="I10" i="5" s="1"/>
  <c r="H8" i="5"/>
  <c r="I8" i="5" s="1"/>
  <c r="H6" i="5"/>
  <c r="I6" i="5" s="1"/>
  <c r="H5" i="5"/>
  <c r="I5" i="5" s="1"/>
  <c r="C11" i="5"/>
  <c r="H11" i="5" s="1"/>
  <c r="I11" i="5" s="1"/>
  <c r="C20" i="5"/>
  <c r="C10" i="5" s="1"/>
  <c r="H12" i="5" s="1"/>
  <c r="C9" i="5"/>
  <c r="H7" i="5" s="1"/>
  <c r="C15" i="5"/>
  <c r="I7" i="5" l="1"/>
  <c r="I9" i="5" s="1"/>
  <c r="I13" i="5" s="1"/>
  <c r="I15" i="5" s="1"/>
  <c r="L10" i="5"/>
  <c r="M10" i="5" s="1"/>
  <c r="H9" i="5"/>
  <c r="H13" i="5" s="1"/>
  <c r="H15" i="5" s="1"/>
  <c r="I12" i="5"/>
  <c r="L13" i="5"/>
  <c r="T7" i="5"/>
  <c r="M6" i="5"/>
  <c r="T8" i="5" s="1"/>
  <c r="M9" i="5"/>
  <c r="T16" i="5" s="1"/>
  <c r="T18" i="5" s="1"/>
  <c r="T20" i="5"/>
  <c r="M5" i="5"/>
  <c r="M8" i="5" l="1"/>
  <c r="M14" i="5"/>
  <c r="M13" i="5"/>
  <c r="L11" i="5"/>
  <c r="M11" i="5" s="1"/>
  <c r="L8" i="5"/>
  <c r="L20" i="5"/>
  <c r="L22" i="5" s="1"/>
  <c r="I16" i="5"/>
  <c r="M19" i="5" s="1"/>
  <c r="M20" i="5" l="1"/>
  <c r="M22" i="5" s="1"/>
  <c r="T12" i="5"/>
  <c r="U8" i="5" s="1"/>
  <c r="I17" i="5"/>
  <c r="H17" i="5"/>
  <c r="L24" i="5" s="1"/>
  <c r="L25" i="5" s="1"/>
  <c r="L27" i="5" s="1"/>
  <c r="M15" i="5"/>
  <c r="M24" i="5" l="1"/>
  <c r="T14" i="5"/>
  <c r="L29" i="5"/>
  <c r="L31" i="5" s="1"/>
  <c r="M23" i="5" s="1"/>
  <c r="T22" i="5" s="1"/>
  <c r="T23" i="5" s="1"/>
  <c r="T25" i="5" l="1"/>
  <c r="D23" i="2" l="1"/>
  <c r="C24" i="2"/>
  <c r="C23" i="2"/>
  <c r="C11" i="2" l="1"/>
  <c r="D11" i="2" l="1"/>
  <c r="D12" i="2"/>
  <c r="C16" i="2"/>
  <c r="C12" i="2"/>
  <c r="D36" i="2" l="1"/>
  <c r="D37" i="2" s="1"/>
  <c r="C13" i="2"/>
  <c r="C18" i="2"/>
  <c r="D16" i="2"/>
  <c r="D17" i="2" l="1"/>
  <c r="D13" i="2"/>
  <c r="C17" i="2"/>
  <c r="C19" i="2" s="1"/>
  <c r="C28" i="2" l="1"/>
  <c r="C22" i="2"/>
  <c r="D22" i="2"/>
  <c r="C25" i="2" l="1"/>
  <c r="D24" i="2" l="1"/>
  <c r="D18" i="2"/>
  <c r="D19" i="2" s="1"/>
  <c r="D28" i="2"/>
  <c r="D25" i="2" l="1"/>
  <c r="E48" i="1" l="1"/>
  <c r="E33" i="1"/>
  <c r="G31" i="1"/>
  <c r="J29" i="1"/>
  <c r="H28" i="1"/>
  <c r="I28" i="1" s="1"/>
  <c r="J28" i="1" s="1"/>
  <c r="G22" i="1"/>
  <c r="H22" i="1"/>
  <c r="I22" i="1"/>
  <c r="J22" i="1"/>
  <c r="F22" i="1"/>
  <c r="F23" i="1" s="1"/>
  <c r="F25" i="1" s="1"/>
  <c r="F33" i="1" s="1"/>
  <c r="G18" i="1"/>
  <c r="G4" i="1"/>
  <c r="H4" i="1" s="1"/>
  <c r="I4" i="1" s="1"/>
  <c r="J4" i="1" s="1"/>
  <c r="H18" i="1" l="1"/>
  <c r="I18" i="1" s="1"/>
  <c r="J18" i="1" s="1"/>
  <c r="J20" i="1" s="1"/>
  <c r="E38" i="1"/>
  <c r="E41" i="1" s="1"/>
  <c r="E43" i="1" s="1"/>
  <c r="E63" i="1"/>
  <c r="E90" i="1"/>
  <c r="E91" i="1" s="1"/>
  <c r="G55" i="1"/>
  <c r="F61" i="1"/>
  <c r="F86" i="1" s="1"/>
  <c r="F36" i="1"/>
  <c r="G14" i="1"/>
  <c r="G20" i="1" s="1"/>
  <c r="H31" i="1"/>
  <c r="H55" i="1" s="1"/>
  <c r="G61" i="1" l="1"/>
  <c r="G23" i="1"/>
  <c r="E65" i="1"/>
  <c r="E67" i="1" s="1"/>
  <c r="F63" i="1"/>
  <c r="F90" i="1" s="1"/>
  <c r="F91" i="1" s="1"/>
  <c r="G86" i="1"/>
  <c r="E74" i="1"/>
  <c r="E76" i="1" s="1"/>
  <c r="E82" i="1"/>
  <c r="E88" i="1" s="1"/>
  <c r="E93" i="1" s="1"/>
  <c r="C96" i="1" s="1"/>
  <c r="F64" i="1"/>
  <c r="F83" i="1"/>
  <c r="I14" i="1"/>
  <c r="I20" i="1" s="1"/>
  <c r="I61" i="1" s="1"/>
  <c r="H14" i="1"/>
  <c r="H20" i="1" s="1"/>
  <c r="H61" i="1" s="1"/>
  <c r="H86" i="1" s="1"/>
  <c r="I31" i="1"/>
  <c r="I55" i="1" s="1"/>
  <c r="G63" i="1" l="1"/>
  <c r="G90" i="1" s="1"/>
  <c r="G91" i="1" s="1"/>
  <c r="G36" i="1"/>
  <c r="E77" i="1"/>
  <c r="F65" i="1"/>
  <c r="G64" i="1"/>
  <c r="G65" i="1" s="1"/>
  <c r="I86" i="1"/>
  <c r="G83" i="1"/>
  <c r="F38" i="1"/>
  <c r="F71" i="1"/>
  <c r="F58" i="1"/>
  <c r="G25" i="1"/>
  <c r="G33" i="1" s="1"/>
  <c r="G38" i="1" s="1"/>
  <c r="G71" i="1"/>
  <c r="G58" i="1"/>
  <c r="H63" i="1"/>
  <c r="H90" i="1" s="1"/>
  <c r="H91" i="1" s="1"/>
  <c r="H36" i="1"/>
  <c r="H23" i="1"/>
  <c r="I23" i="1"/>
  <c r="J31" i="1"/>
  <c r="J55" i="1" s="1"/>
  <c r="F67" i="1" l="1"/>
  <c r="F87" i="1"/>
  <c r="H64" i="1"/>
  <c r="H65" i="1" s="1"/>
  <c r="H83" i="1"/>
  <c r="G87" i="1"/>
  <c r="F41" i="1"/>
  <c r="F43" i="1" s="1"/>
  <c r="F85" i="1"/>
  <c r="G85" i="1"/>
  <c r="G67" i="1"/>
  <c r="G41" i="1"/>
  <c r="G43" i="1" s="1"/>
  <c r="G82" i="1" s="1"/>
  <c r="H25" i="1"/>
  <c r="H33" i="1" s="1"/>
  <c r="H38" i="1" s="1"/>
  <c r="H71" i="1"/>
  <c r="H58" i="1"/>
  <c r="I25" i="1"/>
  <c r="I33" i="1" s="1"/>
  <c r="I58" i="1"/>
  <c r="I71" i="1"/>
  <c r="I63" i="1"/>
  <c r="I90" i="1" s="1"/>
  <c r="I91" i="1" s="1"/>
  <c r="I36" i="1"/>
  <c r="J61" i="1"/>
  <c r="J86" i="1" s="1"/>
  <c r="F82" i="1" l="1"/>
  <c r="F88" i="1" s="1"/>
  <c r="F93" i="1" s="1"/>
  <c r="F74" i="1"/>
  <c r="G74" i="1" s="1"/>
  <c r="G76" i="1" s="1"/>
  <c r="G77" i="1" s="1"/>
  <c r="G88" i="1"/>
  <c r="G93" i="1" s="1"/>
  <c r="I38" i="1"/>
  <c r="I64" i="1"/>
  <c r="I83" i="1"/>
  <c r="I85" i="1"/>
  <c r="H85" i="1"/>
  <c r="H67" i="1"/>
  <c r="H41" i="1"/>
  <c r="H43" i="1" s="1"/>
  <c r="H82" i="1" s="1"/>
  <c r="I87" i="1"/>
  <c r="H87" i="1"/>
  <c r="I65" i="1"/>
  <c r="I67" i="1" s="1"/>
  <c r="J63" i="1"/>
  <c r="J90" i="1" s="1"/>
  <c r="J91" i="1" s="1"/>
  <c r="J36" i="1"/>
  <c r="J23" i="1"/>
  <c r="F76" i="1" l="1"/>
  <c r="F77" i="1" s="1"/>
  <c r="H88" i="1"/>
  <c r="H93" i="1" s="1"/>
  <c r="H74" i="1"/>
  <c r="J64" i="1"/>
  <c r="J83" i="1"/>
  <c r="I41" i="1"/>
  <c r="I43" i="1" s="1"/>
  <c r="I82" i="1" s="1"/>
  <c r="I88" i="1" s="1"/>
  <c r="I93" i="1" s="1"/>
  <c r="J25" i="1"/>
  <c r="J33" i="1" s="1"/>
  <c r="J38" i="1" s="1"/>
  <c r="J71" i="1"/>
  <c r="J87" i="1" s="1"/>
  <c r="J58" i="1"/>
  <c r="J65" i="1"/>
  <c r="I74" i="1" l="1"/>
  <c r="J41" i="1"/>
  <c r="J43" i="1" s="1"/>
  <c r="J82" i="1" s="1"/>
  <c r="J85" i="1"/>
  <c r="J67" i="1"/>
  <c r="J88" i="1" l="1"/>
  <c r="J93" i="1" s="1"/>
  <c r="C95" i="1" s="1"/>
  <c r="C97" i="1" s="1"/>
  <c r="H76" i="1"/>
  <c r="H77" i="1" s="1"/>
  <c r="J74" i="1"/>
  <c r="J76" i="1" s="1"/>
  <c r="J77" i="1" s="1"/>
  <c r="I76" i="1"/>
  <c r="I77" i="1" s="1"/>
  <c r="C93" i="1" l="1"/>
  <c r="M25" i="5" l="1"/>
  <c r="M27" i="5" s="1"/>
  <c r="M29" i="5" s="1"/>
</calcChain>
</file>

<file path=xl/sharedStrings.xml><?xml version="1.0" encoding="utf-8"?>
<sst xmlns="http://schemas.openxmlformats.org/spreadsheetml/2006/main" count="237" uniqueCount="149">
  <si>
    <t>Tamaño de mercado</t>
  </si>
  <si>
    <t>Tasa de crecimiento del mercado</t>
  </si>
  <si>
    <t>Tamaño de mercado inicial</t>
  </si>
  <si>
    <t>%</t>
  </si>
  <si>
    <t>Participación de mercado inicial</t>
  </si>
  <si>
    <t>Participación de mercado</t>
  </si>
  <si>
    <t>$</t>
  </si>
  <si>
    <t>Incrementos en precio</t>
  </si>
  <si>
    <t>Precio x unidad</t>
  </si>
  <si>
    <t>Precio x unidad inicial</t>
  </si>
  <si>
    <t>Ventas</t>
  </si>
  <si>
    <t>Costo de Ventas</t>
  </si>
  <si>
    <t>% Costo de Ventas</t>
  </si>
  <si>
    <t>Gastos operativos</t>
  </si>
  <si>
    <t>Crecimiento en gastos operativos</t>
  </si>
  <si>
    <t>Gastos de investigación y desarrollo</t>
  </si>
  <si>
    <t>Utilidad Bruta</t>
  </si>
  <si>
    <t>EBITDA</t>
  </si>
  <si>
    <t>Inversión inicial</t>
  </si>
  <si>
    <t>Capex proyectado</t>
  </si>
  <si>
    <t>Vida útil de activos</t>
  </si>
  <si>
    <t>años</t>
  </si>
  <si>
    <t>Depreciación</t>
  </si>
  <si>
    <t>BG</t>
  </si>
  <si>
    <t>Depreciación Acumulada</t>
  </si>
  <si>
    <t>PP&amp;E, neto</t>
  </si>
  <si>
    <t>PP&amp;E, bruto</t>
  </si>
  <si>
    <t>Tasa de impuesto</t>
  </si>
  <si>
    <t>Caja y Bancos</t>
  </si>
  <si>
    <t>Requerimiento de caja</t>
  </si>
  <si>
    <t>% Gastos operativos</t>
  </si>
  <si>
    <t>% Gastos de investigación y desarrollo</t>
  </si>
  <si>
    <t>Inventario</t>
  </si>
  <si>
    <t>CXC</t>
  </si>
  <si>
    <t>DPC</t>
  </si>
  <si>
    <t>DPP</t>
  </si>
  <si>
    <t>CXP</t>
  </si>
  <si>
    <t>Ventas diarias</t>
  </si>
  <si>
    <t>Días de inventario</t>
  </si>
  <si>
    <t>DI</t>
  </si>
  <si>
    <t>CdV/Inv</t>
  </si>
  <si>
    <t>CdV diario</t>
  </si>
  <si>
    <t>TOTAL ACTIVOS</t>
  </si>
  <si>
    <t>Liquidación de inv</t>
  </si>
  <si>
    <t>EBIT</t>
  </si>
  <si>
    <t>Impuesto</t>
  </si>
  <si>
    <t>TOTAL PASIVOS + PATRIMONIO</t>
  </si>
  <si>
    <t>Acciones comunes</t>
  </si>
  <si>
    <t>FAN</t>
  </si>
  <si>
    <t>Flujo de Caja Libre</t>
  </si>
  <si>
    <t>Ut. Neta</t>
  </si>
  <si>
    <t>(+) Depreciaciones</t>
  </si>
  <si>
    <t>Var. En capital de trabajo</t>
  </si>
  <si>
    <t xml:space="preserve">Inv. </t>
  </si>
  <si>
    <t>CxP</t>
  </si>
  <si>
    <t>Flujo Operativo</t>
  </si>
  <si>
    <t>CAPEX</t>
  </si>
  <si>
    <t>Flujo de inversión</t>
  </si>
  <si>
    <t>Utilidades Retenidas</t>
  </si>
  <si>
    <t>Flujo del Periodo</t>
  </si>
  <si>
    <t>Respuestas</t>
  </si>
  <si>
    <t>Vincule sus  respuestas dentro del archivo a los Estados Financieros Proyectados para tener trazabilidad.</t>
  </si>
  <si>
    <t>Respuestas que no tengan trazabilidad, serán tomadas como incorrectas.</t>
  </si>
  <si>
    <t>1.a y 1.c</t>
  </si>
  <si>
    <t>Estado de Resultados</t>
  </si>
  <si>
    <t>Proyección 1</t>
  </si>
  <si>
    <t>Retroalimentación</t>
  </si>
  <si>
    <t>Utilidad Operativa</t>
  </si>
  <si>
    <t>Utlidad antes de impuestos</t>
  </si>
  <si>
    <t>Utilidad Neta</t>
  </si>
  <si>
    <t>Proyección de BG</t>
  </si>
  <si>
    <t>TOTAL PASIVO</t>
  </si>
  <si>
    <t>TOTAL PATRIMONIO</t>
  </si>
  <si>
    <t>Total Pasivo + Patrimonio</t>
  </si>
  <si>
    <t>Flujo de Efectivo</t>
  </si>
  <si>
    <t>Flujo de Operación</t>
  </si>
  <si>
    <t>Flujo de Inversión</t>
  </si>
  <si>
    <t>Flujo de Financiamiento</t>
  </si>
  <si>
    <t>1.b.</t>
  </si>
  <si>
    <t>Fondos Adicionales Necesarios</t>
  </si>
  <si>
    <t>Impacto en efectivo por variaciones en capital de trabajo neto.</t>
  </si>
  <si>
    <t>Impacto en  US$</t>
  </si>
  <si>
    <t>Impacto como % de ventas</t>
  </si>
  <si>
    <t>¿Por qué la variación en el capital de trabajo tendrá este impacto?</t>
  </si>
  <si>
    <t>Porque es un negocio nuevo.  Está partiendo de 0, requiere CXC, inventarios.</t>
  </si>
  <si>
    <t>Balance General</t>
  </si>
  <si>
    <t>ER</t>
  </si>
  <si>
    <t>X</t>
  </si>
  <si>
    <t>Inventarios</t>
  </si>
  <si>
    <t>Renta</t>
  </si>
  <si>
    <t>Años de depreciación</t>
  </si>
  <si>
    <t>Intangibles</t>
  </si>
  <si>
    <t>Años de amortización</t>
  </si>
  <si>
    <t>Intereses</t>
  </si>
  <si>
    <t>Utilidad antes de impuestos</t>
  </si>
  <si>
    <t>Impuestos</t>
  </si>
  <si>
    <t>Dividendos</t>
  </si>
  <si>
    <t>Tasa de interés</t>
  </si>
  <si>
    <t xml:space="preserve">Renta </t>
  </si>
  <si>
    <t>Inversión</t>
  </si>
  <si>
    <t>Clasificación del flujo que consume más efectivo (Operación, Inversión o Financiamiento)</t>
  </si>
  <si>
    <t>CASO 1</t>
  </si>
  <si>
    <t>M unidades</t>
  </si>
  <si>
    <t>Incremento en participación anual</t>
  </si>
  <si>
    <t>Caso 2</t>
  </si>
  <si>
    <t>Socios fundadores</t>
  </si>
  <si>
    <t>Gastos adm</t>
  </si>
  <si>
    <t>Gastos de ventas</t>
  </si>
  <si>
    <t>Compras</t>
  </si>
  <si>
    <t>Sueldos x pagar</t>
  </si>
  <si>
    <t>Activo Circulante</t>
  </si>
  <si>
    <t>Compras diarias</t>
  </si>
  <si>
    <t>Deuda</t>
  </si>
  <si>
    <t>Impuestos x pagar</t>
  </si>
  <si>
    <t>Supuestos de proyección</t>
  </si>
  <si>
    <t>Familiares</t>
  </si>
  <si>
    <t>Maq. Y equipo</t>
  </si>
  <si>
    <t>Dep. de equipo</t>
  </si>
  <si>
    <t>Amort. Intangibles</t>
  </si>
  <si>
    <t>Amort. Año 1</t>
  </si>
  <si>
    <t>Amort. 1 año</t>
  </si>
  <si>
    <t>% Gastos de venta</t>
  </si>
  <si>
    <t>Costo de ventas</t>
  </si>
  <si>
    <t>Saldo inventario</t>
  </si>
  <si>
    <t>Tasa efectivo de impuestos</t>
  </si>
  <si>
    <t>Monto máx. deuda</t>
  </si>
  <si>
    <t>Dep. equipo</t>
  </si>
  <si>
    <t>Gastos e ventas</t>
  </si>
  <si>
    <t>Amort. Patente</t>
  </si>
  <si>
    <t>1era proyección</t>
  </si>
  <si>
    <t>Dep. Acum</t>
  </si>
  <si>
    <t>Amort. Acum</t>
  </si>
  <si>
    <t>Intangibles, neto</t>
  </si>
  <si>
    <t>Total Activo</t>
  </si>
  <si>
    <t>Pasivo Circulante</t>
  </si>
  <si>
    <t>Total Pasivo</t>
  </si>
  <si>
    <t>Total Capital</t>
  </si>
  <si>
    <t>Total Pasivo + Capital</t>
  </si>
  <si>
    <t>Acc Comunes</t>
  </si>
  <si>
    <t>Cuadre de Balance</t>
  </si>
  <si>
    <t>Amort. Intangible</t>
  </si>
  <si>
    <t>Flujo de Caja</t>
  </si>
  <si>
    <t>Ajuste intereses</t>
  </si>
  <si>
    <t>Financiado con acciones comunes</t>
  </si>
  <si>
    <t>Valor presente de los flujos futuros</t>
  </si>
  <si>
    <t>Inversión incial</t>
  </si>
  <si>
    <t>Valor presente neto</t>
  </si>
  <si>
    <t>Dado que esta empresa no tiene financiamiento vía deuda, no hay intereses, la utilidad neta es igual al NOPAT</t>
  </si>
  <si>
    <t>UN (NOPAT)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</si>
</sst>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Q&quot;#,##0.00;[Red]\-&quot;Q&quot;#,##0.00"/>
    <numFmt numFmtId="43" formatCode="_-* #,##0.00_-;\-* #,##0.00_-;_-* &quot;-&quot;??_-;_-@_-"/>
    <numFmt numFmtId="164" formatCode="0.0"/>
    <numFmt numFmtId="165" formatCode="0.0%"/>
    <numFmt numFmtId="166" formatCode="#,##0.0"/>
    <numFmt numFmtId="167" formatCode="#,##0.0000000000000"/>
    <numFmt numFmtId="168" formatCode="&quot;$&quot;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1"/>
      <color theme="1"/>
      <name val="Century Gothic"/>
      <family val="2"/>
    </font>
    <font>
      <i/>
      <u/>
      <sz val="10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9" fontId="3" fillId="0" borderId="0" xfId="0" applyNumberFormat="1" applyFont="1"/>
    <xf numFmtId="10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4" fontId="3" fillId="0" borderId="0" xfId="0" applyNumberFormat="1" applyFont="1"/>
    <xf numFmtId="166" fontId="3" fillId="0" borderId="0" xfId="0" applyNumberFormat="1" applyFont="1"/>
    <xf numFmtId="0" fontId="4" fillId="0" borderId="0" xfId="0" applyFont="1"/>
    <xf numFmtId="4" fontId="4" fillId="0" borderId="0" xfId="0" applyNumberFormat="1" applyFont="1"/>
    <xf numFmtId="166" fontId="4" fillId="0" borderId="0" xfId="0" applyNumberFormat="1" applyFont="1"/>
    <xf numFmtId="164" fontId="4" fillId="0" borderId="0" xfId="0" applyNumberFormat="1" applyFont="1"/>
    <xf numFmtId="167" fontId="3" fillId="0" borderId="0" xfId="0" applyNumberFormat="1" applyFont="1"/>
    <xf numFmtId="0" fontId="3" fillId="0" borderId="1" xfId="0" applyFont="1" applyBorder="1"/>
    <xf numFmtId="0" fontId="2" fillId="0" borderId="1" xfId="0" applyFont="1" applyBorder="1"/>
    <xf numFmtId="0" fontId="5" fillId="0" borderId="0" xfId="0" applyFont="1"/>
    <xf numFmtId="168" fontId="2" fillId="2" borderId="1" xfId="0" applyNumberFormat="1" applyFont="1" applyFill="1" applyBorder="1"/>
    <xf numFmtId="168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3" xfId="0" applyFont="1" applyBorder="1"/>
    <xf numFmtId="0" fontId="2" fillId="2" borderId="1" xfId="0" applyFont="1" applyFill="1" applyBorder="1"/>
    <xf numFmtId="9" fontId="2" fillId="2" borderId="1" xfId="0" applyNumberFormat="1" applyFont="1" applyFill="1" applyBorder="1"/>
    <xf numFmtId="0" fontId="2" fillId="0" borderId="2" xfId="0" applyFont="1" applyBorder="1" applyAlignment="1">
      <alignment wrapText="1"/>
    </xf>
    <xf numFmtId="8" fontId="3" fillId="0" borderId="0" xfId="0" applyNumberFormat="1" applyFont="1"/>
    <xf numFmtId="0" fontId="3" fillId="3" borderId="0" xfId="0" applyFont="1" applyFill="1"/>
    <xf numFmtId="43" fontId="3" fillId="0" borderId="1" xfId="1" applyFont="1" applyBorder="1"/>
    <xf numFmtId="9" fontId="3" fillId="0" borderId="1" xfId="0" applyNumberFormat="1" applyFont="1" applyBorder="1"/>
    <xf numFmtId="43" fontId="3" fillId="0" borderId="0" xfId="0" applyNumberFormat="1" applyFont="1"/>
    <xf numFmtId="43" fontId="4" fillId="0" borderId="0" xfId="0" applyNumberFormat="1" applyFont="1"/>
    <xf numFmtId="43" fontId="3" fillId="3" borderId="0" xfId="0" applyNumberFormat="1" applyFont="1" applyFill="1"/>
    <xf numFmtId="43" fontId="4" fillId="3" borderId="0" xfId="0" applyNumberFormat="1" applyFont="1" applyFill="1"/>
    <xf numFmtId="43" fontId="3" fillId="0" borderId="1" xfId="0" applyNumberFormat="1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4" fillId="4" borderId="0" xfId="0" applyFont="1" applyFill="1"/>
    <xf numFmtId="4" fontId="4" fillId="4" borderId="0" xfId="0" applyNumberFormat="1" applyFont="1" applyFill="1"/>
    <xf numFmtId="0" fontId="6" fillId="0" borderId="0" xfId="0" applyFont="1"/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45"/>
  <sheetViews>
    <sheetView topLeftCell="A29" workbookViewId="0">
      <selection activeCell="B46" sqref="B46"/>
    </sheetView>
  </sheetViews>
  <sheetFormatPr defaultColWidth="9.140625" defaultRowHeight="16.5" x14ac:dyDescent="0.3"/>
  <cols>
    <col min="1" max="1" width="9.140625" style="1"/>
    <col min="2" max="2" width="39.7109375" style="1" customWidth="1"/>
    <col min="3" max="3" width="14.85546875" style="1" bestFit="1" customWidth="1"/>
    <col min="4" max="4" width="20.42578125" style="1" bestFit="1" customWidth="1"/>
    <col min="5" max="5" width="9.5703125" style="1" bestFit="1" customWidth="1"/>
    <col min="6" max="16384" width="9.140625" style="1"/>
  </cols>
  <sheetData>
    <row r="3" spans="1:4" x14ac:dyDescent="0.3">
      <c r="A3" s="16" t="s">
        <v>60</v>
      </c>
    </row>
    <row r="4" spans="1:4" x14ac:dyDescent="0.3">
      <c r="A4" s="1" t="s">
        <v>61</v>
      </c>
    </row>
    <row r="5" spans="1:4" x14ac:dyDescent="0.3">
      <c r="A5" s="1" t="s">
        <v>62</v>
      </c>
    </row>
    <row r="7" spans="1:4" x14ac:dyDescent="0.3">
      <c r="A7" s="16" t="s">
        <v>101</v>
      </c>
    </row>
    <row r="9" spans="1:4" x14ac:dyDescent="0.3">
      <c r="A9" s="1" t="s">
        <v>63</v>
      </c>
    </row>
    <row r="10" spans="1:4" x14ac:dyDescent="0.3">
      <c r="B10" s="1" t="s">
        <v>64</v>
      </c>
      <c r="C10" s="1" t="s">
        <v>65</v>
      </c>
      <c r="D10" s="1" t="s">
        <v>66</v>
      </c>
    </row>
    <row r="11" spans="1:4" x14ac:dyDescent="0.3">
      <c r="B11" s="15" t="s">
        <v>67</v>
      </c>
      <c r="C11" s="17" t="e">
        <f>#REF!</f>
        <v>#REF!</v>
      </c>
      <c r="D11" s="17" t="e">
        <f>#REF!</f>
        <v>#REF!</v>
      </c>
    </row>
    <row r="12" spans="1:4" x14ac:dyDescent="0.3">
      <c r="B12" s="15" t="s">
        <v>68</v>
      </c>
      <c r="C12" s="17" t="e">
        <f>#REF!</f>
        <v>#REF!</v>
      </c>
      <c r="D12" s="17" t="e">
        <f>#REF!</f>
        <v>#REF!</v>
      </c>
    </row>
    <row r="13" spans="1:4" x14ac:dyDescent="0.3">
      <c r="B13" s="15" t="s">
        <v>69</v>
      </c>
      <c r="C13" s="17" t="e">
        <f>#REF!</f>
        <v>#REF!</v>
      </c>
      <c r="D13" s="17" t="e">
        <f>#REF!</f>
        <v>#REF!</v>
      </c>
    </row>
    <row r="15" spans="1:4" x14ac:dyDescent="0.3">
      <c r="B15" s="1" t="s">
        <v>70</v>
      </c>
      <c r="C15" s="1" t="s">
        <v>65</v>
      </c>
      <c r="D15" s="1" t="s">
        <v>66</v>
      </c>
    </row>
    <row r="16" spans="1:4" x14ac:dyDescent="0.3">
      <c r="B16" s="15" t="s">
        <v>42</v>
      </c>
      <c r="C16" s="17" t="e">
        <f>#REF!</f>
        <v>#REF!</v>
      </c>
      <c r="D16" s="17" t="e">
        <f>#REF!</f>
        <v>#REF!</v>
      </c>
    </row>
    <row r="17" spans="1:5" x14ac:dyDescent="0.3">
      <c r="B17" s="15" t="s">
        <v>71</v>
      </c>
      <c r="C17" s="17" t="e">
        <f>#REF!</f>
        <v>#REF!</v>
      </c>
      <c r="D17" s="17" t="e">
        <f>#REF!</f>
        <v>#REF!</v>
      </c>
    </row>
    <row r="18" spans="1:5" x14ac:dyDescent="0.3">
      <c r="B18" s="15" t="s">
        <v>72</v>
      </c>
      <c r="C18" s="17" t="e">
        <f>#REF!</f>
        <v>#REF!</v>
      </c>
      <c r="D18" s="17" t="e">
        <f>#REF!</f>
        <v>#REF!</v>
      </c>
      <c r="E18" s="18"/>
    </row>
    <row r="19" spans="1:5" x14ac:dyDescent="0.3">
      <c r="B19" s="15" t="s">
        <v>73</v>
      </c>
      <c r="C19" s="17" t="e">
        <f>C17+C18</f>
        <v>#REF!</v>
      </c>
      <c r="D19" s="17" t="e">
        <f>D17+D18</f>
        <v>#REF!</v>
      </c>
      <c r="E19" s="18"/>
    </row>
    <row r="20" spans="1:5" x14ac:dyDescent="0.3">
      <c r="C20" s="18"/>
      <c r="D20" s="18"/>
    </row>
    <row r="21" spans="1:5" x14ac:dyDescent="0.3">
      <c r="B21" s="1" t="s">
        <v>74</v>
      </c>
      <c r="C21" s="1" t="s">
        <v>65</v>
      </c>
      <c r="D21" s="1" t="s">
        <v>66</v>
      </c>
    </row>
    <row r="22" spans="1:5" x14ac:dyDescent="0.3">
      <c r="B22" s="15" t="s">
        <v>75</v>
      </c>
      <c r="C22" s="17" t="e">
        <f>#REF!</f>
        <v>#REF!</v>
      </c>
      <c r="D22" s="17" t="e">
        <f>#REF!</f>
        <v>#REF!</v>
      </c>
    </row>
    <row r="23" spans="1:5" x14ac:dyDescent="0.3">
      <c r="B23" s="15" t="s">
        <v>76</v>
      </c>
      <c r="C23" s="17" t="e">
        <f>#REF!</f>
        <v>#REF!</v>
      </c>
      <c r="D23" s="17" t="e">
        <f>#REF!</f>
        <v>#REF!</v>
      </c>
    </row>
    <row r="24" spans="1:5" x14ac:dyDescent="0.3">
      <c r="B24" s="15" t="s">
        <v>77</v>
      </c>
      <c r="C24" s="17" t="e">
        <f>#REF!</f>
        <v>#REF!</v>
      </c>
      <c r="D24" s="17" t="e">
        <f>#REF!</f>
        <v>#REF!</v>
      </c>
      <c r="E24" s="18"/>
    </row>
    <row r="25" spans="1:5" x14ac:dyDescent="0.3">
      <c r="B25" s="15" t="s">
        <v>59</v>
      </c>
      <c r="C25" s="17" t="e">
        <f>#REF!</f>
        <v>#REF!</v>
      </c>
      <c r="D25" s="17" t="e">
        <f>#REF!</f>
        <v>#REF!</v>
      </c>
      <c r="E25" s="18"/>
    </row>
    <row r="28" spans="1:5" x14ac:dyDescent="0.3">
      <c r="A28" s="1" t="s">
        <v>78</v>
      </c>
      <c r="B28" s="15" t="s">
        <v>79</v>
      </c>
      <c r="C28" s="17" t="e">
        <f>#REF!</f>
        <v>#REF!</v>
      </c>
      <c r="D28" s="17" t="e">
        <f>#REF!</f>
        <v>#REF!</v>
      </c>
    </row>
    <row r="32" spans="1:5" ht="49.5" x14ac:dyDescent="0.3">
      <c r="A32" s="19">
        <v>2</v>
      </c>
      <c r="B32" s="23" t="s">
        <v>100</v>
      </c>
      <c r="C32" s="20"/>
      <c r="D32" s="21" t="s">
        <v>99</v>
      </c>
    </row>
    <row r="34" spans="1:4" x14ac:dyDescent="0.3">
      <c r="A34" s="19">
        <v>3</v>
      </c>
      <c r="B34" s="1" t="s">
        <v>80</v>
      </c>
    </row>
    <row r="36" spans="1:4" x14ac:dyDescent="0.3">
      <c r="B36" s="1" t="s">
        <v>81</v>
      </c>
      <c r="D36" s="17" t="e">
        <f>SUM(#REF!)</f>
        <v>#REF!</v>
      </c>
    </row>
    <row r="37" spans="1:4" x14ac:dyDescent="0.3">
      <c r="B37" s="1" t="s">
        <v>82</v>
      </c>
      <c r="D37" s="22" t="e">
        <f>D36/#REF!</f>
        <v>#REF!</v>
      </c>
    </row>
    <row r="39" spans="1:4" x14ac:dyDescent="0.3">
      <c r="B39" s="1" t="s">
        <v>83</v>
      </c>
    </row>
    <row r="40" spans="1:4" x14ac:dyDescent="0.3">
      <c r="B40" s="39" t="s">
        <v>84</v>
      </c>
      <c r="C40" s="40"/>
      <c r="D40" s="41"/>
    </row>
    <row r="41" spans="1:4" x14ac:dyDescent="0.3">
      <c r="B41" s="42"/>
      <c r="C41" s="43"/>
      <c r="D41" s="44"/>
    </row>
    <row r="42" spans="1:4" x14ac:dyDescent="0.3">
      <c r="B42" s="42"/>
      <c r="C42" s="43"/>
      <c r="D42" s="44"/>
    </row>
    <row r="43" spans="1:4" x14ac:dyDescent="0.3">
      <c r="B43" s="45"/>
      <c r="C43" s="46"/>
      <c r="D43" s="47"/>
    </row>
    <row r="45" spans="1:4" x14ac:dyDescent="0.3">
      <c r="A45" s="16" t="s">
        <v>104</v>
      </c>
    </row>
  </sheetData>
  <mergeCells count="1">
    <mergeCell ref="B40:D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U33"/>
  <sheetViews>
    <sheetView topLeftCell="H1" zoomScale="90" zoomScaleNormal="90" workbookViewId="0">
      <selection activeCell="T7" sqref="T7"/>
    </sheetView>
  </sheetViews>
  <sheetFormatPr defaultRowHeight="13.5" x14ac:dyDescent="0.25"/>
  <cols>
    <col min="1" max="1" width="9.140625" style="2"/>
    <col min="2" max="2" width="26.5703125" style="2" bestFit="1" customWidth="1"/>
    <col min="3" max="3" width="13.5703125" style="2" customWidth="1"/>
    <col min="4" max="6" width="9.140625" style="2"/>
    <col min="7" max="7" width="21" style="2" bestFit="1" customWidth="1"/>
    <col min="8" max="8" width="16.42578125" style="2" bestFit="1" customWidth="1"/>
    <col min="9" max="9" width="16.42578125" style="2" customWidth="1"/>
    <col min="10" max="10" width="9.140625" style="2"/>
    <col min="11" max="11" width="17" style="2" bestFit="1" customWidth="1"/>
    <col min="12" max="12" width="12.42578125" style="2" bestFit="1" customWidth="1"/>
    <col min="13" max="13" width="12.42578125" style="2" customWidth="1"/>
    <col min="14" max="17" width="9.140625" style="2"/>
    <col min="18" max="18" width="16.140625" style="2" bestFit="1" customWidth="1"/>
    <col min="19" max="19" width="9.140625" style="2"/>
    <col min="20" max="20" width="12.5703125" style="2" bestFit="1" customWidth="1"/>
    <col min="21" max="21" width="11.28515625" style="2" bestFit="1" customWidth="1"/>
    <col min="22" max="16384" width="9.140625" style="2"/>
  </cols>
  <sheetData>
    <row r="3" spans="1:21" x14ac:dyDescent="0.25">
      <c r="B3" s="9" t="s">
        <v>114</v>
      </c>
      <c r="G3" s="9" t="s">
        <v>64</v>
      </c>
      <c r="K3" s="9" t="s">
        <v>85</v>
      </c>
      <c r="R3" s="9" t="s">
        <v>74</v>
      </c>
    </row>
    <row r="4" spans="1:21" x14ac:dyDescent="0.25">
      <c r="B4" s="14"/>
      <c r="C4" s="14"/>
      <c r="D4" s="14" t="s">
        <v>86</v>
      </c>
      <c r="E4" s="14" t="s">
        <v>23</v>
      </c>
      <c r="H4" s="9" t="s">
        <v>129</v>
      </c>
      <c r="I4" s="9" t="s">
        <v>66</v>
      </c>
      <c r="L4" s="9" t="s">
        <v>129</v>
      </c>
      <c r="M4" s="9" t="s">
        <v>66</v>
      </c>
    </row>
    <row r="5" spans="1:21" x14ac:dyDescent="0.25">
      <c r="A5" s="25"/>
      <c r="B5" s="14" t="s">
        <v>10</v>
      </c>
      <c r="C5" s="26">
        <v>1380000</v>
      </c>
      <c r="D5" s="14" t="s">
        <v>87</v>
      </c>
      <c r="E5" s="14"/>
      <c r="G5" s="2" t="s">
        <v>10</v>
      </c>
      <c r="H5" s="28">
        <f>C5</f>
        <v>1380000</v>
      </c>
      <c r="I5" s="28">
        <f>H5</f>
        <v>1380000</v>
      </c>
      <c r="K5" s="2" t="s">
        <v>28</v>
      </c>
      <c r="L5" s="28">
        <f>C28</f>
        <v>10000</v>
      </c>
      <c r="M5" s="28">
        <f>L5</f>
        <v>10000</v>
      </c>
      <c r="R5" s="2" t="s">
        <v>69</v>
      </c>
      <c r="T5" s="28">
        <f>I17</f>
        <v>128812.5</v>
      </c>
    </row>
    <row r="6" spans="1:21" x14ac:dyDescent="0.25">
      <c r="A6" s="25"/>
      <c r="B6" s="14" t="s">
        <v>122</v>
      </c>
      <c r="C6" s="26">
        <v>792000</v>
      </c>
      <c r="D6" s="14" t="s">
        <v>87</v>
      </c>
      <c r="E6" s="14"/>
      <c r="G6" s="2" t="s">
        <v>122</v>
      </c>
      <c r="H6" s="28">
        <f>C6</f>
        <v>792000</v>
      </c>
      <c r="I6" s="28">
        <f t="shared" ref="I6:I12" si="0">H6</f>
        <v>792000</v>
      </c>
      <c r="K6" s="2" t="s">
        <v>33</v>
      </c>
      <c r="L6" s="28">
        <f>C24*(H5/360)</f>
        <v>153333.33333333334</v>
      </c>
      <c r="M6" s="28">
        <f t="shared" ref="M6:M14" si="1">L6</f>
        <v>153333.33333333334</v>
      </c>
      <c r="O6" s="2" t="s">
        <v>34</v>
      </c>
      <c r="P6" s="2" t="s">
        <v>33</v>
      </c>
      <c r="R6" s="2" t="s">
        <v>126</v>
      </c>
      <c r="T6" s="28">
        <f>H7</f>
        <v>24000</v>
      </c>
    </row>
    <row r="7" spans="1:21" x14ac:dyDescent="0.25">
      <c r="A7" s="25"/>
      <c r="B7" s="14" t="s">
        <v>98</v>
      </c>
      <c r="C7" s="26">
        <v>96000</v>
      </c>
      <c r="D7" s="14" t="s">
        <v>87</v>
      </c>
      <c r="E7" s="14"/>
      <c r="G7" s="2" t="s">
        <v>126</v>
      </c>
      <c r="H7" s="28">
        <f>C9</f>
        <v>24000</v>
      </c>
      <c r="I7" s="28">
        <f t="shared" si="0"/>
        <v>24000</v>
      </c>
      <c r="K7" s="2" t="s">
        <v>88</v>
      </c>
      <c r="L7" s="28">
        <f>C26</f>
        <v>180000</v>
      </c>
      <c r="M7" s="28">
        <f t="shared" si="1"/>
        <v>180000</v>
      </c>
      <c r="P7" s="2" t="s">
        <v>37</v>
      </c>
      <c r="R7" s="2" t="s">
        <v>140</v>
      </c>
      <c r="T7" s="28">
        <f>H12</f>
        <v>2250</v>
      </c>
    </row>
    <row r="8" spans="1:21" x14ac:dyDescent="0.25">
      <c r="A8" s="25"/>
      <c r="B8" s="14" t="s">
        <v>106</v>
      </c>
      <c r="C8" s="26">
        <v>180000</v>
      </c>
      <c r="D8" s="14" t="s">
        <v>87</v>
      </c>
      <c r="E8" s="14"/>
      <c r="G8" s="2" t="s">
        <v>89</v>
      </c>
      <c r="H8" s="28">
        <f>C7</f>
        <v>96000</v>
      </c>
      <c r="I8" s="28">
        <f t="shared" si="0"/>
        <v>96000</v>
      </c>
      <c r="K8" s="9" t="s">
        <v>110</v>
      </c>
      <c r="L8" s="29">
        <f>SUM(L5:L7)</f>
        <v>343333.33333333337</v>
      </c>
      <c r="M8" s="29">
        <f>SUM(M5:M7)</f>
        <v>343333.33333333337</v>
      </c>
      <c r="R8" s="2" t="str">
        <f>K6</f>
        <v>CXC</v>
      </c>
      <c r="T8" s="28">
        <f>-(M6-0)</f>
        <v>-153333.33333333334</v>
      </c>
      <c r="U8" s="28">
        <f>SUM(T8:T12)</f>
        <v>-234562.50000000006</v>
      </c>
    </row>
    <row r="9" spans="1:21" x14ac:dyDescent="0.25">
      <c r="A9" s="25"/>
      <c r="B9" s="14" t="s">
        <v>117</v>
      </c>
      <c r="C9" s="26">
        <f>C16/C17</f>
        <v>24000</v>
      </c>
      <c r="D9" s="14" t="s">
        <v>87</v>
      </c>
      <c r="E9" s="14" t="s">
        <v>87</v>
      </c>
      <c r="G9" s="9" t="s">
        <v>16</v>
      </c>
      <c r="H9" s="29">
        <f>H5-SUM(H6:H8)</f>
        <v>468000</v>
      </c>
      <c r="I9" s="29">
        <f>I5-SUM(I6:I8)</f>
        <v>468000</v>
      </c>
      <c r="K9" s="2" t="s">
        <v>26</v>
      </c>
      <c r="L9" s="28">
        <f>C16</f>
        <v>120000</v>
      </c>
      <c r="M9" s="28">
        <f t="shared" si="1"/>
        <v>120000</v>
      </c>
      <c r="R9" s="2" t="str">
        <f>K7</f>
        <v>Inventarios</v>
      </c>
      <c r="T9" s="28">
        <f>-(M7-0)</f>
        <v>-180000</v>
      </c>
    </row>
    <row r="10" spans="1:21" x14ac:dyDescent="0.25">
      <c r="A10" s="25"/>
      <c r="B10" s="14" t="s">
        <v>119</v>
      </c>
      <c r="C10" s="26">
        <f>C20*C21</f>
        <v>2250</v>
      </c>
      <c r="D10" s="14" t="s">
        <v>87</v>
      </c>
      <c r="E10" s="14" t="s">
        <v>87</v>
      </c>
      <c r="G10" s="2" t="s">
        <v>106</v>
      </c>
      <c r="H10" s="28">
        <f>C8</f>
        <v>180000</v>
      </c>
      <c r="I10" s="28">
        <f t="shared" si="0"/>
        <v>180000</v>
      </c>
      <c r="K10" s="2" t="s">
        <v>130</v>
      </c>
      <c r="L10" s="28">
        <f>-H7</f>
        <v>-24000</v>
      </c>
      <c r="M10" s="28">
        <f t="shared" si="1"/>
        <v>-24000</v>
      </c>
      <c r="R10" s="2" t="str">
        <f>K17</f>
        <v>CXP</v>
      </c>
      <c r="T10" s="28">
        <f>(M17-0)</f>
        <v>45833.333333333336</v>
      </c>
    </row>
    <row r="11" spans="1:21" x14ac:dyDescent="0.25">
      <c r="A11" s="25"/>
      <c r="B11" s="14" t="s">
        <v>107</v>
      </c>
      <c r="C11" s="32">
        <f>C22*C5</f>
        <v>110400</v>
      </c>
      <c r="D11" s="14" t="s">
        <v>87</v>
      </c>
      <c r="E11" s="14"/>
      <c r="G11" s="2" t="s">
        <v>127</v>
      </c>
      <c r="H11" s="28">
        <f>C11</f>
        <v>110400</v>
      </c>
      <c r="I11" s="28">
        <f t="shared" si="0"/>
        <v>110400</v>
      </c>
      <c r="K11" s="2" t="s">
        <v>25</v>
      </c>
      <c r="L11" s="28">
        <f>SUM(L9:L10)</f>
        <v>96000</v>
      </c>
      <c r="M11" s="28">
        <f t="shared" si="1"/>
        <v>96000</v>
      </c>
      <c r="R11" s="2" t="str">
        <f t="shared" ref="R11:R12" si="2">K18</f>
        <v>Sueldos x pagar</v>
      </c>
      <c r="T11" s="28">
        <f t="shared" ref="T11:T12" si="3">(M18-0)</f>
        <v>10000</v>
      </c>
    </row>
    <row r="12" spans="1:21" x14ac:dyDescent="0.25">
      <c r="B12" s="14" t="s">
        <v>124</v>
      </c>
      <c r="C12" s="27">
        <v>0.25</v>
      </c>
      <c r="D12" s="14" t="s">
        <v>87</v>
      </c>
      <c r="E12" s="14" t="s">
        <v>87</v>
      </c>
      <c r="G12" s="2" t="s">
        <v>128</v>
      </c>
      <c r="H12" s="28">
        <f>C10</f>
        <v>2250</v>
      </c>
      <c r="I12" s="28">
        <f t="shared" si="0"/>
        <v>2250</v>
      </c>
      <c r="K12" s="2" t="s">
        <v>91</v>
      </c>
      <c r="L12" s="28">
        <f>C18</f>
        <v>9000</v>
      </c>
      <c r="M12" s="28">
        <f t="shared" si="1"/>
        <v>9000</v>
      </c>
      <c r="R12" s="2" t="str">
        <f t="shared" si="2"/>
        <v>Impuestos x pagar</v>
      </c>
      <c r="T12" s="28">
        <f t="shared" si="3"/>
        <v>42937.5</v>
      </c>
    </row>
    <row r="13" spans="1:21" x14ac:dyDescent="0.25">
      <c r="B13" s="14" t="s">
        <v>105</v>
      </c>
      <c r="C13" s="26">
        <v>80000</v>
      </c>
      <c r="D13" s="14"/>
      <c r="E13" s="14"/>
      <c r="G13" s="9" t="s">
        <v>67</v>
      </c>
      <c r="H13" s="29">
        <f>H9-SUM(H10:H12)</f>
        <v>175350</v>
      </c>
      <c r="I13" s="29">
        <f>I9-SUM(I10:I12)</f>
        <v>175350</v>
      </c>
      <c r="K13" s="2" t="s">
        <v>131</v>
      </c>
      <c r="L13" s="28">
        <f>-H12</f>
        <v>-2250</v>
      </c>
      <c r="M13" s="28">
        <f t="shared" si="1"/>
        <v>-2250</v>
      </c>
      <c r="R13" s="2" t="s">
        <v>142</v>
      </c>
      <c r="T13" s="28">
        <f>I14</f>
        <v>3600</v>
      </c>
    </row>
    <row r="14" spans="1:21" x14ac:dyDescent="0.25">
      <c r="B14" s="14" t="s">
        <v>115</v>
      </c>
      <c r="C14" s="26">
        <v>20000</v>
      </c>
      <c r="D14" s="14"/>
      <c r="E14" s="14"/>
      <c r="G14" s="2" t="s">
        <v>93</v>
      </c>
      <c r="H14" s="2">
        <v>0</v>
      </c>
      <c r="I14" s="30">
        <f>M21*C30</f>
        <v>3600</v>
      </c>
      <c r="K14" s="2" t="s">
        <v>132</v>
      </c>
      <c r="L14" s="28">
        <f>L12+L13</f>
        <v>6750</v>
      </c>
      <c r="M14" s="28">
        <f t="shared" si="1"/>
        <v>6750</v>
      </c>
      <c r="R14" s="9" t="s">
        <v>55</v>
      </c>
      <c r="T14" s="29">
        <f>SUM(T5:T13)</f>
        <v>-75900</v>
      </c>
    </row>
    <row r="15" spans="1:21" x14ac:dyDescent="0.25">
      <c r="B15" s="14" t="s">
        <v>47</v>
      </c>
      <c r="C15" s="32">
        <f>C13+C14</f>
        <v>100000</v>
      </c>
      <c r="D15" s="14"/>
      <c r="E15" s="14" t="s">
        <v>87</v>
      </c>
      <c r="G15" s="9" t="s">
        <v>94</v>
      </c>
      <c r="H15" s="29">
        <f>H13-H14</f>
        <v>175350</v>
      </c>
      <c r="I15" s="31">
        <f>I13-I14</f>
        <v>171750</v>
      </c>
      <c r="K15" s="9" t="s">
        <v>133</v>
      </c>
      <c r="L15" s="29">
        <f>SUM(L8,L11,L14)</f>
        <v>446083.33333333337</v>
      </c>
      <c r="M15" s="29">
        <f>SUM(M8,M11,M14)</f>
        <v>446083.33333333337</v>
      </c>
    </row>
    <row r="16" spans="1:21" x14ac:dyDescent="0.25">
      <c r="B16" s="14" t="s">
        <v>116</v>
      </c>
      <c r="C16" s="26">
        <v>120000</v>
      </c>
      <c r="D16" s="14"/>
      <c r="E16" s="14" t="s">
        <v>87</v>
      </c>
      <c r="G16" s="2" t="s">
        <v>95</v>
      </c>
      <c r="H16" s="28">
        <f>H15*C12</f>
        <v>43837.5</v>
      </c>
      <c r="I16" s="30">
        <f>I15*C12</f>
        <v>42937.5</v>
      </c>
      <c r="R16" s="2" t="str">
        <f>K9</f>
        <v>PP&amp;E, bruto</v>
      </c>
      <c r="T16" s="28">
        <f>-(M9-0)</f>
        <v>-120000</v>
      </c>
    </row>
    <row r="17" spans="1:20" x14ac:dyDescent="0.25">
      <c r="B17" s="14" t="s">
        <v>90</v>
      </c>
      <c r="C17" s="14">
        <v>5</v>
      </c>
      <c r="D17" s="14"/>
      <c r="E17" s="14"/>
      <c r="G17" s="9" t="s">
        <v>69</v>
      </c>
      <c r="H17" s="29">
        <f>H15-H16</f>
        <v>131512.5</v>
      </c>
      <c r="I17" s="31">
        <f>I15-I16</f>
        <v>128812.5</v>
      </c>
      <c r="K17" s="2" t="s">
        <v>36</v>
      </c>
      <c r="L17" s="28">
        <f>C25*(C23/360)</f>
        <v>45833.333333333336</v>
      </c>
      <c r="M17" s="28">
        <f>L17</f>
        <v>45833.333333333336</v>
      </c>
      <c r="O17" s="2" t="s">
        <v>35</v>
      </c>
      <c r="P17" s="2" t="s">
        <v>36</v>
      </c>
      <c r="R17" s="2" t="str">
        <f>K12</f>
        <v>Intangibles</v>
      </c>
      <c r="T17" s="28">
        <f>-(M12-0)</f>
        <v>-9000</v>
      </c>
    </row>
    <row r="18" spans="1:20" x14ac:dyDescent="0.25">
      <c r="B18" s="14" t="s">
        <v>91</v>
      </c>
      <c r="C18" s="26">
        <v>9000</v>
      </c>
      <c r="D18" s="14"/>
      <c r="E18" s="14" t="s">
        <v>87</v>
      </c>
      <c r="K18" s="2" t="s">
        <v>109</v>
      </c>
      <c r="L18" s="28">
        <f>C27</f>
        <v>10000</v>
      </c>
      <c r="M18" s="28">
        <f>L18</f>
        <v>10000</v>
      </c>
      <c r="P18" s="2" t="s">
        <v>111</v>
      </c>
      <c r="R18" s="9" t="s">
        <v>76</v>
      </c>
      <c r="T18" s="29">
        <f>SUM(T16:T17)</f>
        <v>-129000</v>
      </c>
    </row>
    <row r="19" spans="1:20" x14ac:dyDescent="0.25">
      <c r="B19" s="14" t="s">
        <v>92</v>
      </c>
      <c r="C19" s="14">
        <v>2</v>
      </c>
      <c r="D19" s="14"/>
      <c r="E19" s="14"/>
      <c r="K19" s="2" t="s">
        <v>113</v>
      </c>
      <c r="L19" s="28">
        <f>H16</f>
        <v>43837.5</v>
      </c>
      <c r="M19" s="30">
        <f>I16</f>
        <v>42937.5</v>
      </c>
    </row>
    <row r="20" spans="1:20" x14ac:dyDescent="0.25">
      <c r="B20" s="14" t="s">
        <v>118</v>
      </c>
      <c r="C20" s="26">
        <f>C18/C19</f>
        <v>4500</v>
      </c>
      <c r="D20" s="14"/>
      <c r="E20" s="14"/>
      <c r="K20" s="9" t="s">
        <v>134</v>
      </c>
      <c r="L20" s="29">
        <f>SUM(L17:L19)</f>
        <v>99670.833333333343</v>
      </c>
      <c r="M20" s="29">
        <f>SUM(M17:M19)</f>
        <v>98770.833333333343</v>
      </c>
      <c r="R20" s="2" t="s">
        <v>112</v>
      </c>
      <c r="T20" s="28">
        <f>M21</f>
        <v>30000</v>
      </c>
    </row>
    <row r="21" spans="1:20" x14ac:dyDescent="0.25">
      <c r="B21" s="14" t="s">
        <v>120</v>
      </c>
      <c r="C21" s="27">
        <v>0.5</v>
      </c>
      <c r="D21" s="14"/>
      <c r="E21" s="14"/>
      <c r="K21" s="2" t="s">
        <v>112</v>
      </c>
      <c r="L21" s="2">
        <v>0</v>
      </c>
      <c r="M21" s="30">
        <f>L30</f>
        <v>30000</v>
      </c>
      <c r="R21" s="2" t="s">
        <v>93</v>
      </c>
      <c r="T21" s="28">
        <f>-T13</f>
        <v>-3600</v>
      </c>
    </row>
    <row r="22" spans="1:20" x14ac:dyDescent="0.25">
      <c r="B22" s="14" t="s">
        <v>121</v>
      </c>
      <c r="C22" s="27">
        <v>0.08</v>
      </c>
      <c r="D22" s="14"/>
      <c r="E22" s="14"/>
      <c r="K22" s="9" t="s">
        <v>135</v>
      </c>
      <c r="L22" s="29">
        <f>L20+L21</f>
        <v>99670.833333333343</v>
      </c>
      <c r="M22" s="29">
        <f>M20+M21</f>
        <v>128770.83333333334</v>
      </c>
      <c r="R22" s="2" t="s">
        <v>47</v>
      </c>
      <c r="T22" s="28">
        <f>M23</f>
        <v>188500</v>
      </c>
    </row>
    <row r="23" spans="1:20" x14ac:dyDescent="0.25">
      <c r="B23" s="14" t="s">
        <v>108</v>
      </c>
      <c r="C23" s="26">
        <v>550000</v>
      </c>
      <c r="D23" s="14"/>
      <c r="E23" s="14"/>
      <c r="K23" s="2" t="s">
        <v>47</v>
      </c>
      <c r="L23" s="28">
        <f>C13+C14</f>
        <v>100000</v>
      </c>
      <c r="M23" s="28">
        <f>L23+L31+M33</f>
        <v>188500</v>
      </c>
      <c r="R23" s="9" t="s">
        <v>77</v>
      </c>
      <c r="S23" s="9"/>
      <c r="T23" s="29">
        <f>SUM(T20:T22)</f>
        <v>214900</v>
      </c>
    </row>
    <row r="24" spans="1:20" x14ac:dyDescent="0.25">
      <c r="B24" s="14" t="s">
        <v>34</v>
      </c>
      <c r="C24" s="14">
        <v>40</v>
      </c>
      <c r="D24" s="14"/>
      <c r="E24" s="14" t="s">
        <v>87</v>
      </c>
      <c r="K24" s="2" t="s">
        <v>58</v>
      </c>
      <c r="L24" s="28">
        <f>H17</f>
        <v>131512.5</v>
      </c>
      <c r="M24" s="28">
        <f>I17</f>
        <v>128812.5</v>
      </c>
    </row>
    <row r="25" spans="1:20" x14ac:dyDescent="0.25">
      <c r="B25" s="14" t="s">
        <v>35</v>
      </c>
      <c r="C25" s="14">
        <v>30</v>
      </c>
      <c r="D25" s="14"/>
      <c r="E25" s="14" t="s">
        <v>87</v>
      </c>
      <c r="K25" s="9" t="s">
        <v>136</v>
      </c>
      <c r="L25" s="29">
        <f>L23+L24</f>
        <v>231512.5</v>
      </c>
      <c r="M25" s="29">
        <f>M23+M24</f>
        <v>317312.5</v>
      </c>
      <c r="R25" s="9" t="s">
        <v>141</v>
      </c>
      <c r="T25" s="29">
        <f>SUM(T14,T18,T23)</f>
        <v>10000</v>
      </c>
    </row>
    <row r="26" spans="1:20" x14ac:dyDescent="0.25">
      <c r="B26" s="14" t="s">
        <v>123</v>
      </c>
      <c r="C26" s="26">
        <v>180000</v>
      </c>
      <c r="D26" s="14"/>
      <c r="E26" s="14" t="s">
        <v>87</v>
      </c>
    </row>
    <row r="27" spans="1:20" x14ac:dyDescent="0.25">
      <c r="B27" s="14" t="s">
        <v>109</v>
      </c>
      <c r="C27" s="26">
        <v>10000</v>
      </c>
      <c r="D27" s="14"/>
      <c r="E27" s="14" t="s">
        <v>87</v>
      </c>
      <c r="K27" s="9" t="s">
        <v>137</v>
      </c>
      <c r="L27" s="29">
        <f>L22+L25</f>
        <v>331183.33333333337</v>
      </c>
      <c r="M27" s="29">
        <f>M22+M25</f>
        <v>446083.33333333337</v>
      </c>
    </row>
    <row r="28" spans="1:20" x14ac:dyDescent="0.25">
      <c r="A28" s="25"/>
      <c r="B28" s="14" t="s">
        <v>28</v>
      </c>
      <c r="C28" s="26">
        <v>10000</v>
      </c>
      <c r="D28" s="14"/>
      <c r="E28" s="14" t="s">
        <v>87</v>
      </c>
    </row>
    <row r="29" spans="1:20" x14ac:dyDescent="0.25">
      <c r="B29" s="14" t="s">
        <v>125</v>
      </c>
      <c r="C29" s="26">
        <v>30000</v>
      </c>
      <c r="D29" s="14"/>
      <c r="E29" s="14" t="s">
        <v>87</v>
      </c>
      <c r="K29" s="9" t="s">
        <v>48</v>
      </c>
      <c r="L29" s="29">
        <f>L15-L27</f>
        <v>114900</v>
      </c>
      <c r="M29" s="29">
        <f>M15-M27</f>
        <v>0</v>
      </c>
    </row>
    <row r="30" spans="1:20" x14ac:dyDescent="0.25">
      <c r="B30" s="14" t="s">
        <v>97</v>
      </c>
      <c r="C30" s="27">
        <v>0.12</v>
      </c>
      <c r="D30" s="14" t="s">
        <v>87</v>
      </c>
      <c r="E30" s="14"/>
      <c r="K30" s="2" t="s">
        <v>112</v>
      </c>
      <c r="L30" s="28">
        <f>C29</f>
        <v>30000</v>
      </c>
    </row>
    <row r="31" spans="1:20" x14ac:dyDescent="0.25">
      <c r="B31" s="14" t="s">
        <v>96</v>
      </c>
      <c r="C31" s="26">
        <v>0</v>
      </c>
      <c r="D31" s="14"/>
      <c r="E31" s="14" t="s">
        <v>87</v>
      </c>
      <c r="K31" s="2" t="s">
        <v>138</v>
      </c>
      <c r="L31" s="28">
        <f>L29-L30</f>
        <v>84900</v>
      </c>
    </row>
    <row r="32" spans="1:20" ht="14.25" thickBot="1" x14ac:dyDescent="0.3"/>
    <row r="33" spans="11:13" ht="14.25" thickBot="1" x14ac:dyDescent="0.3">
      <c r="K33" s="33" t="s">
        <v>139</v>
      </c>
      <c r="L33" s="34"/>
      <c r="M33" s="35">
        <v>3600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Q105"/>
  <sheetViews>
    <sheetView tabSelected="1" topLeftCell="A45" workbookViewId="0">
      <selection activeCell="Q58" sqref="Q58"/>
    </sheetView>
  </sheetViews>
  <sheetFormatPr defaultRowHeight="13.5" x14ac:dyDescent="0.25"/>
  <cols>
    <col min="1" max="1" width="9.140625" style="2"/>
    <col min="2" max="2" width="32.85546875" style="2" bestFit="1" customWidth="1"/>
    <col min="3" max="3" width="9.7109375" style="2" bestFit="1" customWidth="1"/>
    <col min="4" max="5" width="9.140625" style="2"/>
    <col min="6" max="6" width="11.5703125" style="2" customWidth="1"/>
    <col min="7" max="7" width="16.7109375" style="2" bestFit="1" customWidth="1"/>
    <col min="8" max="16384" width="9.140625" style="2"/>
  </cols>
  <sheetData>
    <row r="4" spans="2:10" x14ac:dyDescent="0.25">
      <c r="E4" s="2">
        <v>0</v>
      </c>
      <c r="F4" s="2">
        <v>1</v>
      </c>
      <c r="G4" s="2">
        <f>F4+1</f>
        <v>2</v>
      </c>
      <c r="H4" s="2">
        <f t="shared" ref="H4:J4" si="0">G4+1</f>
        <v>3</v>
      </c>
      <c r="I4" s="2">
        <f t="shared" si="0"/>
        <v>4</v>
      </c>
      <c r="J4" s="2">
        <f t="shared" si="0"/>
        <v>5</v>
      </c>
    </row>
    <row r="6" spans="2:10" x14ac:dyDescent="0.25">
      <c r="B6" s="2" t="s">
        <v>2</v>
      </c>
      <c r="C6" s="2" t="s">
        <v>102</v>
      </c>
      <c r="F6" s="5">
        <v>20</v>
      </c>
    </row>
    <row r="7" spans="2:10" x14ac:dyDescent="0.25">
      <c r="B7" s="2" t="s">
        <v>1</v>
      </c>
      <c r="C7" s="2" t="s">
        <v>3</v>
      </c>
      <c r="G7" s="3">
        <v>0.15</v>
      </c>
      <c r="H7" s="3">
        <v>0.15</v>
      </c>
      <c r="I7" s="3">
        <v>0.15</v>
      </c>
      <c r="J7" s="3">
        <v>0.15</v>
      </c>
    </row>
    <row r="8" spans="2:10" x14ac:dyDescent="0.25">
      <c r="B8" s="2" t="s">
        <v>0</v>
      </c>
      <c r="C8" s="2" t="s">
        <v>102</v>
      </c>
      <c r="F8" s="5">
        <f>F6</f>
        <v>20</v>
      </c>
      <c r="G8" s="5">
        <f>F8*(1+G7)</f>
        <v>23</v>
      </c>
      <c r="H8" s="5">
        <f>G8*(1+H7)</f>
        <v>26.45</v>
      </c>
      <c r="I8" s="5">
        <f>H8*(1+I7)</f>
        <v>30.417499999999997</v>
      </c>
      <c r="J8" s="5">
        <f>I8*(1+J7)</f>
        <v>34.980124999999994</v>
      </c>
    </row>
    <row r="10" spans="2:10" x14ac:dyDescent="0.25">
      <c r="B10" s="2" t="s">
        <v>4</v>
      </c>
      <c r="C10" s="2" t="s">
        <v>3</v>
      </c>
      <c r="F10" s="3">
        <v>0.25</v>
      </c>
    </row>
    <row r="11" spans="2:10" x14ac:dyDescent="0.25">
      <c r="B11" s="2" t="s">
        <v>103</v>
      </c>
      <c r="C11" s="2" t="s">
        <v>3</v>
      </c>
      <c r="G11" s="6">
        <v>1.4999999999999999E-2</v>
      </c>
      <c r="H11" s="6">
        <v>1.4999999999999999E-2</v>
      </c>
      <c r="I11" s="6">
        <v>1.4999999999999999E-2</v>
      </c>
      <c r="J11" s="6">
        <v>1.4999999999999999E-2</v>
      </c>
    </row>
    <row r="12" spans="2:10" x14ac:dyDescent="0.25">
      <c r="B12" s="2" t="s">
        <v>5</v>
      </c>
      <c r="C12" s="2" t="s">
        <v>3</v>
      </c>
      <c r="F12" s="6">
        <f>F10</f>
        <v>0.25</v>
      </c>
      <c r="G12" s="6">
        <f>F12+G11</f>
        <v>0.26500000000000001</v>
      </c>
      <c r="H12" s="6">
        <f>G12+H11</f>
        <v>0.28000000000000003</v>
      </c>
      <c r="I12" s="6">
        <f>H12+I11</f>
        <v>0.29500000000000004</v>
      </c>
      <c r="J12" s="6">
        <f>I12+J11</f>
        <v>0.31000000000000005</v>
      </c>
    </row>
    <row r="13" spans="2:10" x14ac:dyDescent="0.25">
      <c r="F13" s="6"/>
      <c r="G13" s="6"/>
      <c r="H13" s="6"/>
      <c r="I13" s="6"/>
      <c r="J13" s="6"/>
    </row>
    <row r="14" spans="2:10" x14ac:dyDescent="0.25">
      <c r="B14" s="2" t="s">
        <v>5</v>
      </c>
      <c r="C14" s="2" t="s">
        <v>102</v>
      </c>
      <c r="F14" s="5">
        <f>F8*F12</f>
        <v>5</v>
      </c>
      <c r="G14" s="5">
        <f t="shared" ref="G14:H14" si="1">G8*G12</f>
        <v>6.0950000000000006</v>
      </c>
      <c r="H14" s="5">
        <f t="shared" si="1"/>
        <v>7.4060000000000006</v>
      </c>
      <c r="I14" s="5">
        <f>I8*I12</f>
        <v>8.9731625000000008</v>
      </c>
      <c r="J14" s="5">
        <f>J8*J12</f>
        <v>10.84383875</v>
      </c>
    </row>
    <row r="16" spans="2:10" x14ac:dyDescent="0.25">
      <c r="B16" s="2" t="s">
        <v>9</v>
      </c>
      <c r="C16" s="2" t="s">
        <v>6</v>
      </c>
      <c r="F16" s="7">
        <v>200</v>
      </c>
      <c r="G16" s="7"/>
      <c r="H16" s="7"/>
      <c r="I16" s="7"/>
      <c r="J16" s="7"/>
    </row>
    <row r="17" spans="1:10" x14ac:dyDescent="0.25">
      <c r="B17" s="2" t="s">
        <v>7</v>
      </c>
      <c r="C17" s="2" t="s">
        <v>6</v>
      </c>
      <c r="F17" s="7"/>
      <c r="G17" s="7"/>
      <c r="H17" s="7">
        <v>20</v>
      </c>
      <c r="I17" s="7"/>
      <c r="J17" s="7">
        <v>20</v>
      </c>
    </row>
    <row r="18" spans="1:10" x14ac:dyDescent="0.25">
      <c r="B18" s="2" t="s">
        <v>8</v>
      </c>
      <c r="C18" s="2" t="s">
        <v>6</v>
      </c>
      <c r="F18" s="7">
        <f>F16</f>
        <v>200</v>
      </c>
      <c r="G18" s="7">
        <f>F18+G17</f>
        <v>200</v>
      </c>
      <c r="H18" s="7">
        <f>G18+H17</f>
        <v>220</v>
      </c>
      <c r="I18" s="7">
        <f t="shared" ref="I18" si="2">H18+I17</f>
        <v>220</v>
      </c>
      <c r="J18" s="7">
        <f>I18+J17</f>
        <v>240</v>
      </c>
    </row>
    <row r="20" spans="1:10" x14ac:dyDescent="0.25">
      <c r="B20" s="9" t="s">
        <v>10</v>
      </c>
      <c r="C20" s="9"/>
      <c r="D20" s="9"/>
      <c r="E20" s="9">
        <v>0</v>
      </c>
      <c r="F20" s="11">
        <f>F14*F18</f>
        <v>1000</v>
      </c>
      <c r="G20" s="11">
        <f t="shared" ref="G20:H20" si="3">G14*G18</f>
        <v>1219.0000000000002</v>
      </c>
      <c r="H20" s="11">
        <f t="shared" si="3"/>
        <v>1629.3200000000002</v>
      </c>
      <c r="I20" s="11">
        <f>I14*I18</f>
        <v>1974.0957500000002</v>
      </c>
      <c r="J20" s="11">
        <f>J14*J18</f>
        <v>2602.5212999999999</v>
      </c>
    </row>
    <row r="22" spans="1:10" x14ac:dyDescent="0.25">
      <c r="B22" s="2" t="s">
        <v>12</v>
      </c>
      <c r="C22" s="2" t="s">
        <v>3</v>
      </c>
      <c r="E22" s="4">
        <v>0.8</v>
      </c>
      <c r="F22" s="4">
        <f>$E$22</f>
        <v>0.8</v>
      </c>
      <c r="G22" s="4">
        <f t="shared" ref="G22:J22" si="4">$E$22</f>
        <v>0.8</v>
      </c>
      <c r="H22" s="4">
        <f t="shared" si="4"/>
        <v>0.8</v>
      </c>
      <c r="I22" s="4">
        <f t="shared" si="4"/>
        <v>0.8</v>
      </c>
      <c r="J22" s="4">
        <f t="shared" si="4"/>
        <v>0.8</v>
      </c>
    </row>
    <row r="23" spans="1:10" x14ac:dyDescent="0.25">
      <c r="B23" s="2" t="s">
        <v>11</v>
      </c>
      <c r="E23" s="4"/>
      <c r="F23" s="7">
        <f>F20*F22</f>
        <v>800</v>
      </c>
      <c r="G23" s="7">
        <f>G20*G22</f>
        <v>975.20000000000027</v>
      </c>
      <c r="H23" s="7">
        <f t="shared" ref="H23:J23" si="5">H20*H22</f>
        <v>1303.4560000000001</v>
      </c>
      <c r="I23" s="7">
        <f t="shared" si="5"/>
        <v>1579.2766000000001</v>
      </c>
      <c r="J23" s="7">
        <f t="shared" si="5"/>
        <v>2082.0170400000002</v>
      </c>
    </row>
    <row r="25" spans="1:10" x14ac:dyDescent="0.25">
      <c r="A25" s="9"/>
      <c r="B25" s="36" t="s">
        <v>16</v>
      </c>
      <c r="C25" s="36" t="s">
        <v>6</v>
      </c>
      <c r="D25" s="36"/>
      <c r="E25" s="36"/>
      <c r="F25" s="37">
        <f>F20-F23</f>
        <v>200</v>
      </c>
      <c r="G25" s="37">
        <f t="shared" ref="G25:J25" si="6">G20-G23</f>
        <v>243.79999999999995</v>
      </c>
      <c r="H25" s="37">
        <f t="shared" si="6"/>
        <v>325.86400000000003</v>
      </c>
      <c r="I25" s="37">
        <f t="shared" si="6"/>
        <v>394.81915000000004</v>
      </c>
      <c r="J25" s="37">
        <f t="shared" si="6"/>
        <v>520.5042599999997</v>
      </c>
    </row>
    <row r="27" spans="1:10" x14ac:dyDescent="0.25">
      <c r="B27" s="2" t="s">
        <v>13</v>
      </c>
      <c r="C27" s="2" t="s">
        <v>6</v>
      </c>
      <c r="F27" s="2">
        <v>90</v>
      </c>
    </row>
    <row r="28" spans="1:10" x14ac:dyDescent="0.25">
      <c r="B28" s="2" t="s">
        <v>14</v>
      </c>
      <c r="C28" s="2" t="s">
        <v>3</v>
      </c>
      <c r="G28" s="3">
        <v>0.05</v>
      </c>
      <c r="H28" s="3">
        <f>G28</f>
        <v>0.05</v>
      </c>
      <c r="I28" s="3">
        <f t="shared" ref="I28:J28" si="7">H28</f>
        <v>0.05</v>
      </c>
      <c r="J28" s="3">
        <f t="shared" si="7"/>
        <v>0.05</v>
      </c>
    </row>
    <row r="29" spans="1:10" x14ac:dyDescent="0.25">
      <c r="B29" s="2" t="s">
        <v>13</v>
      </c>
      <c r="F29" s="5">
        <f>F27</f>
        <v>90</v>
      </c>
      <c r="G29" s="5">
        <f>F29*(1+$G$28)</f>
        <v>94.5</v>
      </c>
      <c r="H29" s="5">
        <f>G29*(1+$G$28)</f>
        <v>99.225000000000009</v>
      </c>
      <c r="I29" s="5">
        <f>H29*(1+$G$28)</f>
        <v>104.18625000000002</v>
      </c>
      <c r="J29" s="5">
        <f t="shared" ref="J29" si="8">I29*(1+$G$28)</f>
        <v>109.39556250000003</v>
      </c>
    </row>
    <row r="31" spans="1:10" x14ac:dyDescent="0.25">
      <c r="B31" s="2" t="s">
        <v>15</v>
      </c>
      <c r="C31" s="2" t="s">
        <v>6</v>
      </c>
      <c r="E31" s="8">
        <v>200</v>
      </c>
      <c r="F31" s="8">
        <v>25</v>
      </c>
      <c r="G31" s="8">
        <f>F31</f>
        <v>25</v>
      </c>
      <c r="H31" s="8">
        <f t="shared" ref="H31:J31" si="9">G31</f>
        <v>25</v>
      </c>
      <c r="I31" s="8">
        <f t="shared" si="9"/>
        <v>25</v>
      </c>
      <c r="J31" s="8">
        <f t="shared" si="9"/>
        <v>25</v>
      </c>
    </row>
    <row r="33" spans="2:11" x14ac:dyDescent="0.25">
      <c r="B33" s="36" t="s">
        <v>17</v>
      </c>
      <c r="C33" s="36"/>
      <c r="D33" s="36"/>
      <c r="E33" s="36">
        <f>E25-E29-E31</f>
        <v>-200</v>
      </c>
      <c r="F33" s="37">
        <f>F25-F29-F31</f>
        <v>85</v>
      </c>
      <c r="G33" s="37">
        <f t="shared" ref="G33:J33" si="10">G25-G29-G31</f>
        <v>124.29999999999995</v>
      </c>
      <c r="H33" s="37">
        <f t="shared" si="10"/>
        <v>201.63900000000001</v>
      </c>
      <c r="I33" s="37">
        <f t="shared" si="10"/>
        <v>265.63290000000001</v>
      </c>
      <c r="J33" s="37">
        <f t="shared" si="10"/>
        <v>386.10869749999966</v>
      </c>
    </row>
    <row r="35" spans="2:11" x14ac:dyDescent="0.25">
      <c r="B35" s="2" t="s">
        <v>20</v>
      </c>
      <c r="C35" s="2" t="s">
        <v>21</v>
      </c>
      <c r="E35" s="2">
        <v>5</v>
      </c>
    </row>
    <row r="36" spans="2:11" x14ac:dyDescent="0.25">
      <c r="B36" s="2" t="s">
        <v>22</v>
      </c>
      <c r="F36" s="5">
        <f>E63/$E$35</f>
        <v>50</v>
      </c>
      <c r="G36" s="5">
        <f>F63/$E$35</f>
        <v>50</v>
      </c>
      <c r="H36" s="5">
        <f>G63/$E$35</f>
        <v>50</v>
      </c>
      <c r="I36" s="5">
        <f>H63/$E$35</f>
        <v>50</v>
      </c>
      <c r="J36" s="5">
        <f>I63/$E$35</f>
        <v>50</v>
      </c>
      <c r="K36" s="5"/>
    </row>
    <row r="38" spans="2:11" x14ac:dyDescent="0.25">
      <c r="B38" s="36" t="s">
        <v>44</v>
      </c>
      <c r="C38" s="36"/>
      <c r="D38" s="36"/>
      <c r="E38" s="36">
        <f>E33-E36</f>
        <v>-200</v>
      </c>
      <c r="F38" s="37">
        <f>F33-F36</f>
        <v>35</v>
      </c>
      <c r="G38" s="37">
        <f t="shared" ref="G38:J38" si="11">G33-G36</f>
        <v>74.299999999999955</v>
      </c>
      <c r="H38" s="37">
        <f t="shared" si="11"/>
        <v>151.63900000000001</v>
      </c>
      <c r="I38" s="37">
        <f t="shared" si="11"/>
        <v>215.63290000000001</v>
      </c>
      <c r="J38" s="37">
        <f t="shared" si="11"/>
        <v>336.10869749999966</v>
      </c>
    </row>
    <row r="39" spans="2:11" x14ac:dyDescent="0.25">
      <c r="B39" s="9"/>
      <c r="F39" s="10"/>
      <c r="G39" s="10"/>
      <c r="H39" s="10"/>
      <c r="I39" s="10"/>
      <c r="J39" s="10"/>
    </row>
    <row r="40" spans="2:11" x14ac:dyDescent="0.25">
      <c r="B40" s="2" t="s">
        <v>27</v>
      </c>
      <c r="C40" s="2" t="s">
        <v>3</v>
      </c>
      <c r="E40" s="6">
        <v>0.25</v>
      </c>
      <c r="F40" s="6">
        <v>0.25</v>
      </c>
      <c r="G40" s="6">
        <v>0.25</v>
      </c>
      <c r="H40" s="6">
        <v>0.25</v>
      </c>
      <c r="I40" s="6">
        <v>0.25</v>
      </c>
      <c r="J40" s="6">
        <v>0.25</v>
      </c>
    </row>
    <row r="41" spans="2:11" x14ac:dyDescent="0.25">
      <c r="B41" s="2" t="s">
        <v>45</v>
      </c>
      <c r="E41" s="7">
        <f>E38*E40</f>
        <v>-50</v>
      </c>
      <c r="F41" s="7">
        <f>F38*F40</f>
        <v>8.75</v>
      </c>
      <c r="G41" s="7">
        <f t="shared" ref="G41:J41" si="12">G38*G40</f>
        <v>18.574999999999989</v>
      </c>
      <c r="H41" s="7">
        <f t="shared" si="12"/>
        <v>37.909750000000003</v>
      </c>
      <c r="I41" s="7">
        <f t="shared" si="12"/>
        <v>53.908225000000002</v>
      </c>
      <c r="J41" s="7">
        <f t="shared" si="12"/>
        <v>84.027174374999916</v>
      </c>
    </row>
    <row r="42" spans="2:11" x14ac:dyDescent="0.25">
      <c r="F42" s="7"/>
      <c r="G42" s="7"/>
      <c r="H42" s="7"/>
      <c r="I42" s="7"/>
      <c r="J42" s="7"/>
    </row>
    <row r="43" spans="2:11" x14ac:dyDescent="0.25">
      <c r="B43" s="36" t="s">
        <v>50</v>
      </c>
      <c r="C43" s="36"/>
      <c r="D43" s="36"/>
      <c r="E43" s="36">
        <f>E38-E41</f>
        <v>-150</v>
      </c>
      <c r="F43" s="37">
        <f t="shared" ref="F43:J43" si="13">F38-F41</f>
        <v>26.25</v>
      </c>
      <c r="G43" s="37">
        <f t="shared" si="13"/>
        <v>55.724999999999966</v>
      </c>
      <c r="H43" s="37">
        <f t="shared" si="13"/>
        <v>113.72925000000001</v>
      </c>
      <c r="I43" s="37">
        <f t="shared" si="13"/>
        <v>161.72467499999999</v>
      </c>
      <c r="J43" s="37">
        <f t="shared" si="13"/>
        <v>252.08152312499976</v>
      </c>
    </row>
    <row r="44" spans="2:11" x14ac:dyDescent="0.25">
      <c r="B44" s="2" t="s">
        <v>147</v>
      </c>
    </row>
    <row r="47" spans="2:11" x14ac:dyDescent="0.25">
      <c r="B47" s="2" t="s">
        <v>18</v>
      </c>
      <c r="E47" s="5">
        <v>250</v>
      </c>
    </row>
    <row r="48" spans="2:11" x14ac:dyDescent="0.25">
      <c r="B48" s="9" t="s">
        <v>19</v>
      </c>
      <c r="C48" s="9"/>
      <c r="D48" s="9"/>
      <c r="E48" s="12">
        <f>E47</f>
        <v>250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</row>
    <row r="50" spans="2:17" x14ac:dyDescent="0.25">
      <c r="B50" s="9" t="s">
        <v>85</v>
      </c>
    </row>
    <row r="51" spans="2:17" x14ac:dyDescent="0.25">
      <c r="B51" s="9"/>
    </row>
    <row r="52" spans="2:17" x14ac:dyDescent="0.25">
      <c r="B52" s="2" t="s">
        <v>29</v>
      </c>
    </row>
    <row r="53" spans="2:17" x14ac:dyDescent="0.25">
      <c r="B53" s="2" t="s">
        <v>30</v>
      </c>
      <c r="E53" s="3"/>
      <c r="F53" s="3">
        <v>0.5</v>
      </c>
      <c r="G53" s="3">
        <v>0.5</v>
      </c>
      <c r="H53" s="3">
        <v>0.5</v>
      </c>
      <c r="I53" s="3">
        <v>0.5</v>
      </c>
      <c r="J53" s="3">
        <v>0.5</v>
      </c>
    </row>
    <row r="54" spans="2:17" x14ac:dyDescent="0.25">
      <c r="B54" s="2" t="s">
        <v>31</v>
      </c>
      <c r="E54" s="3"/>
      <c r="F54" s="3">
        <v>1</v>
      </c>
      <c r="G54" s="3">
        <v>1</v>
      </c>
      <c r="H54" s="3">
        <v>1</v>
      </c>
      <c r="I54" s="3">
        <v>1</v>
      </c>
      <c r="J54" s="3">
        <v>1</v>
      </c>
    </row>
    <row r="55" spans="2:17" x14ac:dyDescent="0.25">
      <c r="B55" s="9" t="s">
        <v>28</v>
      </c>
      <c r="C55" s="9"/>
      <c r="D55" s="9"/>
      <c r="E55" s="10"/>
      <c r="F55" s="11">
        <f>F53*F29+F54*F31</f>
        <v>70</v>
      </c>
      <c r="G55" s="11">
        <f>G53*G29+G54*G31</f>
        <v>72.25</v>
      </c>
      <c r="H55" s="11">
        <f>H53*H29+H54*H31</f>
        <v>74.612500000000011</v>
      </c>
      <c r="I55" s="11">
        <f>I53*I29+I54*I31</f>
        <v>77.093125000000015</v>
      </c>
      <c r="J55" s="11">
        <f>J53*J29+J54*J31</f>
        <v>79.69778125000002</v>
      </c>
    </row>
    <row r="56" spans="2:17" x14ac:dyDescent="0.25">
      <c r="B56" s="9"/>
    </row>
    <row r="57" spans="2:17" x14ac:dyDescent="0.25">
      <c r="B57" s="2" t="s">
        <v>38</v>
      </c>
      <c r="F57" s="2">
        <v>10</v>
      </c>
      <c r="G57" s="2">
        <v>10</v>
      </c>
      <c r="H57" s="2">
        <v>10</v>
      </c>
      <c r="I57" s="2">
        <v>10</v>
      </c>
      <c r="J57" s="2">
        <v>10</v>
      </c>
      <c r="M57" s="2" t="s">
        <v>39</v>
      </c>
      <c r="N57" s="2">
        <v>360</v>
      </c>
      <c r="P57" s="2" t="s">
        <v>43</v>
      </c>
    </row>
    <row r="58" spans="2:17" x14ac:dyDescent="0.25">
      <c r="B58" s="9" t="s">
        <v>32</v>
      </c>
      <c r="C58" s="9"/>
      <c r="D58" s="9"/>
      <c r="E58" s="10"/>
      <c r="F58" s="10">
        <f>F57*F23/360</f>
        <v>22.222222222222221</v>
      </c>
      <c r="G58" s="10">
        <f>G57*G23/360</f>
        <v>27.088888888888899</v>
      </c>
      <c r="H58" s="10">
        <f>H57*H23/360</f>
        <v>36.207111111111118</v>
      </c>
      <c r="I58" s="10">
        <f>I57*I23/360</f>
        <v>43.868794444444447</v>
      </c>
      <c r="J58" s="10">
        <f>J57*J23/360</f>
        <v>57.833806666666675</v>
      </c>
      <c r="N58" s="2" t="s">
        <v>40</v>
      </c>
      <c r="P58" s="6">
        <v>0.255</v>
      </c>
      <c r="Q58" s="2">
        <f>J58*P58</f>
        <v>14.747620700000002</v>
      </c>
    </row>
    <row r="60" spans="2:17" x14ac:dyDescent="0.25">
      <c r="B60" s="2" t="s">
        <v>34</v>
      </c>
      <c r="F60" s="2">
        <v>35</v>
      </c>
      <c r="G60" s="2">
        <v>35</v>
      </c>
      <c r="H60" s="2">
        <v>35</v>
      </c>
      <c r="I60" s="2">
        <v>35</v>
      </c>
      <c r="J60" s="2">
        <v>35</v>
      </c>
      <c r="M60" s="2" t="s">
        <v>34</v>
      </c>
      <c r="N60" s="2" t="s">
        <v>33</v>
      </c>
    </row>
    <row r="61" spans="2:17" x14ac:dyDescent="0.25">
      <c r="B61" s="9" t="s">
        <v>33</v>
      </c>
      <c r="C61" s="9"/>
      <c r="D61" s="9"/>
      <c r="E61" s="11"/>
      <c r="F61" s="11">
        <f>F60*(F20/360)</f>
        <v>97.222222222222214</v>
      </c>
      <c r="G61" s="11">
        <f>G60*(G20/360)</f>
        <v>118.51388888888891</v>
      </c>
      <c r="H61" s="11">
        <f>H60*(H20/360)</f>
        <v>158.40611111111113</v>
      </c>
      <c r="I61" s="11">
        <f>I60*(I20/360)</f>
        <v>191.92597569444445</v>
      </c>
      <c r="J61" s="11">
        <f>J60*(J20/360)</f>
        <v>253.02290416666665</v>
      </c>
      <c r="N61" s="2" t="s">
        <v>37</v>
      </c>
    </row>
    <row r="62" spans="2:17" x14ac:dyDescent="0.25">
      <c r="B62" s="9"/>
    </row>
    <row r="63" spans="2:17" x14ac:dyDescent="0.25">
      <c r="B63" s="2" t="s">
        <v>26</v>
      </c>
      <c r="E63" s="5">
        <f>E48</f>
        <v>250</v>
      </c>
      <c r="F63" s="5">
        <f>E63+F48</f>
        <v>250</v>
      </c>
      <c r="G63" s="5">
        <f>F63+G48</f>
        <v>250</v>
      </c>
      <c r="H63" s="5">
        <f>G63+H48</f>
        <v>250</v>
      </c>
      <c r="I63" s="5">
        <f>H63+I48</f>
        <v>250</v>
      </c>
      <c r="J63" s="5">
        <f>I63+J48</f>
        <v>250</v>
      </c>
    </row>
    <row r="64" spans="2:17" x14ac:dyDescent="0.25">
      <c r="B64" s="2" t="s">
        <v>24</v>
      </c>
      <c r="E64" s="2">
        <v>0</v>
      </c>
      <c r="F64" s="5">
        <f>-F36</f>
        <v>-50</v>
      </c>
      <c r="G64" s="5">
        <f>F64-G36</f>
        <v>-100</v>
      </c>
      <c r="H64" s="5">
        <f>G64-H36</f>
        <v>-150</v>
      </c>
      <c r="I64" s="5">
        <f>H64-I36</f>
        <v>-200</v>
      </c>
      <c r="J64" s="5">
        <f>I64-J36</f>
        <v>-250</v>
      </c>
    </row>
    <row r="65" spans="2:14" x14ac:dyDescent="0.25">
      <c r="B65" s="9" t="s">
        <v>25</v>
      </c>
      <c r="C65" s="9"/>
      <c r="D65" s="9"/>
      <c r="E65" s="12">
        <f>E63+E64</f>
        <v>250</v>
      </c>
      <c r="F65" s="12">
        <f t="shared" ref="F65:J65" si="14">F63+F64</f>
        <v>200</v>
      </c>
      <c r="G65" s="12">
        <f t="shared" si="14"/>
        <v>150</v>
      </c>
      <c r="H65" s="12">
        <f t="shared" si="14"/>
        <v>100</v>
      </c>
      <c r="I65" s="12">
        <f t="shared" si="14"/>
        <v>50</v>
      </c>
      <c r="J65" s="12">
        <f t="shared" si="14"/>
        <v>0</v>
      </c>
      <c r="L65" s="3"/>
    </row>
    <row r="66" spans="2:14" x14ac:dyDescent="0.25">
      <c r="L66" s="5"/>
    </row>
    <row r="67" spans="2:14" x14ac:dyDescent="0.25">
      <c r="B67" s="9" t="s">
        <v>42</v>
      </c>
      <c r="E67" s="11">
        <f t="shared" ref="E67:J67" si="15">E55+E58+E61+E65</f>
        <v>250</v>
      </c>
      <c r="F67" s="11">
        <f>F55+F58+F61+F65</f>
        <v>389.44444444444446</v>
      </c>
      <c r="G67" s="11">
        <f t="shared" si="15"/>
        <v>367.85277777777782</v>
      </c>
      <c r="H67" s="11">
        <f t="shared" si="15"/>
        <v>369.22572222222226</v>
      </c>
      <c r="I67" s="11">
        <f t="shared" si="15"/>
        <v>362.88789513888889</v>
      </c>
      <c r="J67" s="11">
        <f t="shared" si="15"/>
        <v>390.55449208333334</v>
      </c>
      <c r="L67" s="5"/>
    </row>
    <row r="68" spans="2:14" x14ac:dyDescent="0.25">
      <c r="L68" s="4"/>
    </row>
    <row r="69" spans="2:14" x14ac:dyDescent="0.25">
      <c r="L69" s="12"/>
    </row>
    <row r="70" spans="2:14" x14ac:dyDescent="0.25">
      <c r="B70" s="2" t="s">
        <v>35</v>
      </c>
      <c r="F70" s="2">
        <v>60</v>
      </c>
      <c r="G70" s="2">
        <v>60</v>
      </c>
      <c r="H70" s="2">
        <v>60</v>
      </c>
      <c r="I70" s="2">
        <v>60</v>
      </c>
      <c r="J70" s="2">
        <v>60</v>
      </c>
      <c r="M70" s="2" t="s">
        <v>35</v>
      </c>
      <c r="N70" s="2" t="s">
        <v>36</v>
      </c>
    </row>
    <row r="71" spans="2:14" x14ac:dyDescent="0.25">
      <c r="B71" s="9" t="s">
        <v>36</v>
      </c>
      <c r="C71" s="9"/>
      <c r="D71" s="9"/>
      <c r="E71" s="12"/>
      <c r="F71" s="12">
        <f>F70*F23/360</f>
        <v>133.33333333333334</v>
      </c>
      <c r="G71" s="12">
        <f>G70*G23/360</f>
        <v>162.53333333333336</v>
      </c>
      <c r="H71" s="12">
        <f>H70*H23/360</f>
        <v>217.24266666666671</v>
      </c>
      <c r="I71" s="12">
        <f>I70*I23/360</f>
        <v>263.21276666666665</v>
      </c>
      <c r="J71" s="12">
        <f>J70*J23/360</f>
        <v>347.00284000000005</v>
      </c>
      <c r="N71" s="2" t="s">
        <v>41</v>
      </c>
    </row>
    <row r="73" spans="2:14" x14ac:dyDescent="0.25">
      <c r="B73" s="2" t="s">
        <v>47</v>
      </c>
      <c r="E73" s="8"/>
      <c r="F73" s="8"/>
      <c r="G73" s="8"/>
      <c r="H73" s="8"/>
      <c r="I73" s="8"/>
      <c r="J73" s="8"/>
    </row>
    <row r="74" spans="2:14" x14ac:dyDescent="0.25">
      <c r="B74" s="2" t="s">
        <v>58</v>
      </c>
      <c r="E74" s="8">
        <f>E43</f>
        <v>-150</v>
      </c>
      <c r="F74" s="8">
        <f>E74+F43</f>
        <v>-123.75</v>
      </c>
      <c r="G74" s="8">
        <f>F74+G43</f>
        <v>-68.025000000000034</v>
      </c>
      <c r="H74" s="8">
        <f>G74+H43</f>
        <v>45.704249999999973</v>
      </c>
      <c r="I74" s="8">
        <f>H74+I43</f>
        <v>207.42892499999996</v>
      </c>
      <c r="J74" s="8">
        <f>I74+J43</f>
        <v>459.5104481249997</v>
      </c>
    </row>
    <row r="76" spans="2:14" x14ac:dyDescent="0.25">
      <c r="B76" s="9" t="s">
        <v>46</v>
      </c>
      <c r="E76" s="12">
        <f>E71+E73+E74</f>
        <v>-150</v>
      </c>
      <c r="F76" s="12">
        <f t="shared" ref="F76:J76" si="16">F71+F73+F74</f>
        <v>9.5833333333333428</v>
      </c>
      <c r="G76" s="12">
        <f t="shared" si="16"/>
        <v>94.508333333333326</v>
      </c>
      <c r="H76" s="12">
        <f t="shared" si="16"/>
        <v>262.94691666666665</v>
      </c>
      <c r="I76" s="12">
        <f t="shared" si="16"/>
        <v>470.64169166666659</v>
      </c>
      <c r="J76" s="12">
        <f t="shared" si="16"/>
        <v>806.51328812499969</v>
      </c>
    </row>
    <row r="77" spans="2:14" x14ac:dyDescent="0.25">
      <c r="B77" s="9" t="s">
        <v>48</v>
      </c>
      <c r="E77" s="8">
        <f t="shared" ref="E77:J77" si="17">E67-E76</f>
        <v>400</v>
      </c>
      <c r="F77" s="8">
        <f t="shared" si="17"/>
        <v>379.86111111111109</v>
      </c>
      <c r="G77" s="8">
        <f t="shared" si="17"/>
        <v>273.34444444444449</v>
      </c>
      <c r="H77" s="8">
        <f t="shared" si="17"/>
        <v>106.27880555555561</v>
      </c>
      <c r="I77" s="8">
        <f t="shared" si="17"/>
        <v>-107.75379652777769</v>
      </c>
      <c r="J77" s="8">
        <f t="shared" si="17"/>
        <v>-415.95879604166635</v>
      </c>
      <c r="K77" s="9" t="s">
        <v>143</v>
      </c>
    </row>
    <row r="79" spans="2:14" x14ac:dyDescent="0.25">
      <c r="F79" s="8"/>
      <c r="G79" s="8"/>
      <c r="H79" s="8"/>
      <c r="I79" s="8"/>
      <c r="J79" s="8"/>
    </row>
    <row r="80" spans="2:14" x14ac:dyDescent="0.25">
      <c r="B80" s="9" t="s">
        <v>49</v>
      </c>
    </row>
    <row r="82" spans="2:10" x14ac:dyDescent="0.25">
      <c r="B82" s="2" t="s">
        <v>148</v>
      </c>
      <c r="E82" s="8">
        <f t="shared" ref="E82:J82" si="18">E43</f>
        <v>-150</v>
      </c>
      <c r="F82" s="8">
        <f t="shared" si="18"/>
        <v>26.25</v>
      </c>
      <c r="G82" s="8">
        <f t="shared" si="18"/>
        <v>55.724999999999966</v>
      </c>
      <c r="H82" s="8">
        <f t="shared" si="18"/>
        <v>113.72925000000001</v>
      </c>
      <c r="I82" s="8">
        <f t="shared" si="18"/>
        <v>161.72467499999999</v>
      </c>
      <c r="J82" s="8">
        <f t="shared" si="18"/>
        <v>252.08152312499976</v>
      </c>
    </row>
    <row r="83" spans="2:10" x14ac:dyDescent="0.25">
      <c r="B83" s="2" t="s">
        <v>51</v>
      </c>
      <c r="E83" s="8"/>
      <c r="F83" s="8">
        <f>F36</f>
        <v>50</v>
      </c>
      <c r="G83" s="8">
        <f>G36</f>
        <v>50</v>
      </c>
      <c r="H83" s="8">
        <f>H36</f>
        <v>50</v>
      </c>
      <c r="I83" s="8">
        <f>I36</f>
        <v>50</v>
      </c>
      <c r="J83" s="8">
        <f>J36</f>
        <v>50</v>
      </c>
    </row>
    <row r="84" spans="2:10" x14ac:dyDescent="0.25">
      <c r="B84" s="38" t="s">
        <v>52</v>
      </c>
      <c r="E84" s="8"/>
      <c r="F84" s="8"/>
      <c r="G84" s="8"/>
      <c r="H84" s="8"/>
      <c r="I84" s="8"/>
      <c r="J84" s="8"/>
    </row>
    <row r="85" spans="2:10" x14ac:dyDescent="0.25">
      <c r="B85" s="2" t="s">
        <v>53</v>
      </c>
      <c r="E85" s="8"/>
      <c r="F85" s="8">
        <f>-(F58-E58)</f>
        <v>-22.222222222222221</v>
      </c>
      <c r="G85" s="8">
        <f>-(G58-F58)</f>
        <v>-4.8666666666666778</v>
      </c>
      <c r="H85" s="8">
        <f>-(H58-G58)</f>
        <v>-9.1182222222222187</v>
      </c>
      <c r="I85" s="8">
        <f>-(I58-H58)</f>
        <v>-7.661683333333329</v>
      </c>
      <c r="J85" s="8">
        <f>-(J58-I58)</f>
        <v>-13.965012222222228</v>
      </c>
    </row>
    <row r="86" spans="2:10" x14ac:dyDescent="0.25">
      <c r="B86" s="2" t="s">
        <v>33</v>
      </c>
      <c r="E86" s="8"/>
      <c r="F86" s="8">
        <f>-(F61-E61)</f>
        <v>-97.222222222222214</v>
      </c>
      <c r="G86" s="8">
        <f>-(G61-F61)</f>
        <v>-21.2916666666667</v>
      </c>
      <c r="H86" s="8">
        <f>-(H61-G61)</f>
        <v>-39.892222222222216</v>
      </c>
      <c r="I86" s="8">
        <f>-(I61-H61)</f>
        <v>-33.519864583333316</v>
      </c>
      <c r="J86" s="8">
        <f>-(J61-I61)</f>
        <v>-61.096928472222203</v>
      </c>
    </row>
    <row r="87" spans="2:10" x14ac:dyDescent="0.25">
      <c r="B87" s="2" t="s">
        <v>54</v>
      </c>
      <c r="E87" s="8"/>
      <c r="F87" s="8">
        <f>F71-E71</f>
        <v>133.33333333333334</v>
      </c>
      <c r="G87" s="8">
        <f>G71-F71</f>
        <v>29.200000000000017</v>
      </c>
      <c r="H87" s="8">
        <f>H71-G71</f>
        <v>54.709333333333348</v>
      </c>
      <c r="I87" s="8">
        <f>I71-H71</f>
        <v>45.970099999999945</v>
      </c>
      <c r="J87" s="8">
        <f>J71-I71</f>
        <v>83.790073333333396</v>
      </c>
    </row>
    <row r="88" spans="2:10" x14ac:dyDescent="0.25">
      <c r="B88" s="9" t="s">
        <v>55</v>
      </c>
      <c r="E88" s="11">
        <f>SUM(E82:E87)</f>
        <v>-150</v>
      </c>
      <c r="F88" s="11">
        <f>SUM(F82:F87)</f>
        <v>90.138888888888914</v>
      </c>
      <c r="G88" s="11">
        <f t="shared" ref="G88:J88" si="19">SUM(G82:G87)</f>
        <v>108.76666666666661</v>
      </c>
      <c r="H88" s="11">
        <f t="shared" si="19"/>
        <v>169.42813888888892</v>
      </c>
      <c r="I88" s="11">
        <f t="shared" si="19"/>
        <v>216.51322708333331</v>
      </c>
      <c r="J88" s="11">
        <f t="shared" si="19"/>
        <v>310.80965576388871</v>
      </c>
    </row>
    <row r="89" spans="2:10" x14ac:dyDescent="0.25">
      <c r="E89" s="8"/>
      <c r="F89" s="8"/>
      <c r="G89" s="8"/>
      <c r="H89" s="8"/>
      <c r="I89" s="8"/>
      <c r="J89" s="8"/>
    </row>
    <row r="90" spans="2:10" x14ac:dyDescent="0.25">
      <c r="B90" s="2" t="s">
        <v>56</v>
      </c>
      <c r="E90" s="8">
        <f t="shared" ref="E90:J90" si="20">-(E63-D63)</f>
        <v>-250</v>
      </c>
      <c r="F90" s="8">
        <f t="shared" si="20"/>
        <v>0</v>
      </c>
      <c r="G90" s="8">
        <f t="shared" si="20"/>
        <v>0</v>
      </c>
      <c r="H90" s="8">
        <f t="shared" si="20"/>
        <v>0</v>
      </c>
      <c r="I90" s="8">
        <f t="shared" si="20"/>
        <v>0</v>
      </c>
      <c r="J90" s="8">
        <f t="shared" si="20"/>
        <v>0</v>
      </c>
    </row>
    <row r="91" spans="2:10" x14ac:dyDescent="0.25">
      <c r="B91" s="9" t="s">
        <v>57</v>
      </c>
      <c r="E91" s="11">
        <f>E90</f>
        <v>-250</v>
      </c>
      <c r="F91" s="11">
        <f>F90</f>
        <v>0</v>
      </c>
      <c r="G91" s="11">
        <f t="shared" ref="G91:J91" si="21">G90</f>
        <v>0</v>
      </c>
      <c r="H91" s="11">
        <f t="shared" si="21"/>
        <v>0</v>
      </c>
      <c r="I91" s="11">
        <f t="shared" si="21"/>
        <v>0</v>
      </c>
      <c r="J91" s="11">
        <f t="shared" si="21"/>
        <v>0</v>
      </c>
    </row>
    <row r="92" spans="2:10" x14ac:dyDescent="0.25">
      <c r="E92" s="8"/>
      <c r="F92" s="8"/>
      <c r="G92" s="8"/>
      <c r="H92" s="8"/>
      <c r="I92" s="8"/>
      <c r="J92" s="8"/>
    </row>
    <row r="93" spans="2:10" x14ac:dyDescent="0.25">
      <c r="B93" s="9" t="s">
        <v>49</v>
      </c>
      <c r="C93" s="3">
        <f>IRR(E93:J93)</f>
        <v>0.26841629420412083</v>
      </c>
      <c r="E93" s="11">
        <f>E88+E91</f>
        <v>-400</v>
      </c>
      <c r="F93" s="11">
        <f>F88+F91</f>
        <v>90.138888888888914</v>
      </c>
      <c r="G93" s="11">
        <f t="shared" ref="G93:J93" si="22">G88+G91</f>
        <v>108.76666666666661</v>
      </c>
      <c r="H93" s="11">
        <f t="shared" si="22"/>
        <v>169.42813888888892</v>
      </c>
      <c r="I93" s="11">
        <f t="shared" si="22"/>
        <v>216.51322708333331</v>
      </c>
      <c r="J93" s="11">
        <f t="shared" si="22"/>
        <v>310.80965576388871</v>
      </c>
    </row>
    <row r="94" spans="2:10" x14ac:dyDescent="0.25">
      <c r="B94" s="9"/>
      <c r="C94" s="3"/>
      <c r="E94" s="11"/>
      <c r="F94" s="11"/>
      <c r="G94" s="11"/>
      <c r="H94" s="11"/>
      <c r="I94" s="11"/>
      <c r="J94" s="11"/>
    </row>
    <row r="95" spans="2:10" x14ac:dyDescent="0.25">
      <c r="B95" s="2" t="s">
        <v>144</v>
      </c>
      <c r="C95" s="7">
        <f>NPV(0.12,F93:J93)</f>
        <v>601.74468994916083</v>
      </c>
    </row>
    <row r="96" spans="2:10" x14ac:dyDescent="0.25">
      <c r="B96" s="2" t="s">
        <v>145</v>
      </c>
      <c r="C96" s="7">
        <f>E93</f>
        <v>-400</v>
      </c>
      <c r="E96" s="8"/>
      <c r="F96" s="8"/>
      <c r="G96" s="8"/>
      <c r="H96" s="8"/>
      <c r="I96" s="8"/>
      <c r="J96" s="8"/>
    </row>
    <row r="97" spans="2:10" x14ac:dyDescent="0.25">
      <c r="B97" s="9" t="s">
        <v>146</v>
      </c>
      <c r="C97" s="10">
        <f>C95+C96</f>
        <v>201.74468994916083</v>
      </c>
    </row>
    <row r="98" spans="2:10" x14ac:dyDescent="0.25">
      <c r="B98" s="9"/>
      <c r="E98" s="8"/>
      <c r="F98" s="8"/>
      <c r="G98" s="8"/>
      <c r="H98" s="8"/>
      <c r="I98" s="8"/>
      <c r="J98" s="8"/>
    </row>
    <row r="99" spans="2:10" x14ac:dyDescent="0.25">
      <c r="E99" s="8"/>
      <c r="F99" s="8"/>
      <c r="G99" s="8"/>
      <c r="H99" s="8"/>
      <c r="I99" s="8"/>
      <c r="J99" s="8"/>
    </row>
    <row r="100" spans="2:10" x14ac:dyDescent="0.25">
      <c r="B100" s="9"/>
      <c r="E100" s="11"/>
      <c r="F100" s="11"/>
      <c r="G100" s="11"/>
      <c r="H100" s="11"/>
      <c r="I100" s="11"/>
      <c r="J100" s="11"/>
    </row>
    <row r="101" spans="2:10" x14ac:dyDescent="0.25">
      <c r="B101" s="9"/>
      <c r="E101" s="8"/>
      <c r="F101" s="8"/>
      <c r="G101" s="8"/>
      <c r="H101" s="8"/>
      <c r="I101" s="8"/>
      <c r="J101" s="8"/>
    </row>
    <row r="102" spans="2:10" x14ac:dyDescent="0.25">
      <c r="E102" s="8"/>
      <c r="F102" s="8"/>
      <c r="G102" s="8"/>
      <c r="H102" s="8"/>
      <c r="I102" s="8"/>
      <c r="J102" s="8"/>
    </row>
    <row r="103" spans="2:10" x14ac:dyDescent="0.25">
      <c r="F103" s="8"/>
      <c r="G103" s="8"/>
      <c r="H103" s="8"/>
      <c r="I103" s="8"/>
      <c r="J103" s="8"/>
    </row>
    <row r="104" spans="2:10" x14ac:dyDescent="0.25">
      <c r="C104" s="3"/>
      <c r="F104" s="7"/>
      <c r="G104" s="13"/>
      <c r="H104" s="7"/>
      <c r="I104" s="7"/>
      <c r="J104" s="7"/>
    </row>
    <row r="105" spans="2:10" x14ac:dyDescent="0.25">
      <c r="C105" s="24"/>
      <c r="G105" s="7"/>
      <c r="H105" s="7"/>
      <c r="I105" s="7"/>
      <c r="J10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Respuestas</vt:lpstr>
      <vt:lpstr>Caso 1 E</vt:lpstr>
      <vt:lpstr>Caso2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Sequeira</dc:creator>
  <cp:lastModifiedBy>Sergio Garcia</cp:lastModifiedBy>
  <dcterms:created xsi:type="dcterms:W3CDTF">2017-11-12T15:51:15Z</dcterms:created>
  <dcterms:modified xsi:type="dcterms:W3CDTF">2017-11-20T04:01:59Z</dcterms:modified>
</cp:coreProperties>
</file>