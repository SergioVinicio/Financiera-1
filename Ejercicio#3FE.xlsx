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8595"/>
  </bookViews>
  <sheets>
    <sheet name="Ej #3" sheetId="2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" l="1"/>
  <c r="K26" i="2"/>
  <c r="K12" i="2"/>
  <c r="K9" i="2" l="1"/>
  <c r="C15" i="2"/>
  <c r="C17" i="2" s="1"/>
  <c r="H32" i="2" l="1"/>
  <c r="K28" i="2" s="1"/>
  <c r="H33" i="2"/>
  <c r="K30" i="2" s="1"/>
  <c r="H34" i="2"/>
  <c r="K31" i="2" s="1"/>
  <c r="H35" i="2"/>
  <c r="H31" i="2"/>
  <c r="K27" i="2" s="1"/>
  <c r="H27" i="2"/>
  <c r="H26" i="2"/>
  <c r="H22" i="2"/>
  <c r="K16" i="2" s="1"/>
  <c r="H23" i="2"/>
  <c r="K29" i="2" s="1"/>
  <c r="H21" i="2"/>
  <c r="K14" i="2" s="1"/>
  <c r="H15" i="2"/>
  <c r="H16" i="2"/>
  <c r="H17" i="2"/>
  <c r="K22" i="2" s="1"/>
  <c r="H14" i="2"/>
  <c r="H10" i="2"/>
  <c r="K11" i="2" s="1"/>
  <c r="H11" i="2"/>
  <c r="K13" i="2" s="1"/>
  <c r="H9" i="2"/>
  <c r="K33" i="2" l="1"/>
  <c r="F51" i="2"/>
  <c r="F48" i="2"/>
  <c r="F46" i="2"/>
  <c r="F44" i="2"/>
  <c r="F43" i="2"/>
  <c r="F41" i="2"/>
  <c r="F39" i="2"/>
  <c r="F38" i="2"/>
  <c r="C38" i="2"/>
  <c r="G24" i="2"/>
  <c r="F24" i="2"/>
  <c r="F28" i="2" s="1"/>
  <c r="F36" i="2" s="1"/>
  <c r="K8" i="2"/>
  <c r="K17" i="2" s="1"/>
  <c r="G12" i="2"/>
  <c r="F12" i="2"/>
  <c r="F18" i="2" s="1"/>
  <c r="G45" i="2" l="1"/>
  <c r="K21" i="2" s="1"/>
  <c r="G18" i="2"/>
  <c r="H18" i="2" s="1"/>
  <c r="H12" i="2"/>
  <c r="G28" i="2"/>
  <c r="G36" i="2" s="1"/>
  <c r="H36" i="2" s="1"/>
  <c r="H24" i="2"/>
  <c r="G40" i="2"/>
  <c r="K20" i="2" s="1"/>
  <c r="K23" i="2" s="1"/>
  <c r="K34" i="2" s="1"/>
  <c r="H28" i="2"/>
  <c r="F49" i="2"/>
  <c r="G50" i="2" s="1"/>
</calcChain>
</file>

<file path=xl/sharedStrings.xml><?xml version="1.0" encoding="utf-8"?>
<sst xmlns="http://schemas.openxmlformats.org/spreadsheetml/2006/main" count="88" uniqueCount="81">
  <si>
    <t>ACTIVOS</t>
  </si>
  <si>
    <t>?</t>
  </si>
  <si>
    <t>Inventarios</t>
  </si>
  <si>
    <t>Total Activo Circulante</t>
  </si>
  <si>
    <t>Impuestos diferidos</t>
  </si>
  <si>
    <t>Otros activos de LP</t>
  </si>
  <si>
    <t>TOTAL ACTIVOS</t>
  </si>
  <si>
    <t>BALANCE GENERAL</t>
  </si>
  <si>
    <t>PASIVOS</t>
  </si>
  <si>
    <t>Porción corriente de deuda a LP</t>
  </si>
  <si>
    <t>Pasivo Corriente</t>
  </si>
  <si>
    <t>Caja y equivalentes</t>
  </si>
  <si>
    <t>Cuentas x cobrar</t>
  </si>
  <si>
    <t>Goodwill e intangibles</t>
  </si>
  <si>
    <t>Cuentas x pagar</t>
  </si>
  <si>
    <t>Documentos x pagar</t>
  </si>
  <si>
    <t>TOTAL PASIVOS</t>
  </si>
  <si>
    <t>PATRIMONIO</t>
  </si>
  <si>
    <t>Acciones preferentes</t>
  </si>
  <si>
    <t>Acciones comunes valor par</t>
  </si>
  <si>
    <t>Acciones en tesorería</t>
  </si>
  <si>
    <t>Utilidades retenidas</t>
  </si>
  <si>
    <t>TOTAL PASIVO + PATRIMONIO</t>
  </si>
  <si>
    <t>Capital adicional pagado</t>
  </si>
  <si>
    <t>ESTADO DE RESULTADOS</t>
  </si>
  <si>
    <t>Ventas Netas</t>
  </si>
  <si>
    <t>Costo de ventas</t>
  </si>
  <si>
    <t>Deuda a largo plazo</t>
  </si>
  <si>
    <t>Gastos de ventas, generales y administración</t>
  </si>
  <si>
    <t>Investigación y desarrollo</t>
  </si>
  <si>
    <t>Depreciación y amortización</t>
  </si>
  <si>
    <t>Otros gastos operativos</t>
  </si>
  <si>
    <t xml:space="preserve">Intereses </t>
  </si>
  <si>
    <t>Utilidad antes de impuestos</t>
  </si>
  <si>
    <t>Utilidad Neta</t>
  </si>
  <si>
    <t>ISR</t>
  </si>
  <si>
    <t>1 Los gastos de amortización son de $3m</t>
  </si>
  <si>
    <t>2 Los dividendos se pagaron en efectivo</t>
  </si>
  <si>
    <t>1/01 al 31/12/16</t>
  </si>
  <si>
    <t>FLUJO DE EFECTIVO</t>
  </si>
  <si>
    <t xml:space="preserve">(-) Depreciación Acum. </t>
  </si>
  <si>
    <t>Depreciación</t>
  </si>
  <si>
    <t xml:space="preserve">Amortización </t>
  </si>
  <si>
    <t>Goodwill e intangibles (SI)</t>
  </si>
  <si>
    <t>(-) Amortización</t>
  </si>
  <si>
    <t>PP&amp;E, neto</t>
  </si>
  <si>
    <t>(+) Compras</t>
  </si>
  <si>
    <t>=Goodwill e intangibles (SF)</t>
  </si>
  <si>
    <t>Ejercicio # 3</t>
  </si>
  <si>
    <t>Construya el flujo de efectivo por el método indirecto</t>
  </si>
  <si>
    <t>PP&amp;E, neto(saldo inicial)</t>
  </si>
  <si>
    <t>=PP&amp;E, neto (saldo final)</t>
  </si>
  <si>
    <t>Utilidades Retenidas (SI)</t>
  </si>
  <si>
    <t>(+) Utilidad del periodo</t>
  </si>
  <si>
    <t>(-) Dividendos</t>
  </si>
  <si>
    <t>= Ut. Retenidas (SF)</t>
  </si>
  <si>
    <t>Flujo de Financiamiento</t>
  </si>
  <si>
    <t>Flujo de Inversion</t>
  </si>
  <si>
    <t>Flujo Operativo</t>
  </si>
  <si>
    <t>Enero- Diciembre 2016</t>
  </si>
  <si>
    <t>Depreciacion y Amortizacion</t>
  </si>
  <si>
    <t>Cambio</t>
  </si>
  <si>
    <t>Variacion Capital Trabajo Neto</t>
  </si>
  <si>
    <t>Cuentas por Cobrar</t>
  </si>
  <si>
    <t>Inventario</t>
  </si>
  <si>
    <t>Cuentas por pagar</t>
  </si>
  <si>
    <t>Documentos por pagar</t>
  </si>
  <si>
    <t>Flujo de Operación</t>
  </si>
  <si>
    <t xml:space="preserve">Compra de PP&amp;E </t>
  </si>
  <si>
    <t>Compra de GoodWill</t>
  </si>
  <si>
    <t>Otros Activos de LP</t>
  </si>
  <si>
    <t>Impuestos Diferidos</t>
  </si>
  <si>
    <t>Acciones Preferentes</t>
  </si>
  <si>
    <t>Acciones Comunes Valor Par</t>
  </si>
  <si>
    <t>Capital Adicional Pagado</t>
  </si>
  <si>
    <t>Acciones en Tesoreria</t>
  </si>
  <si>
    <t>Pago de Dividendos</t>
  </si>
  <si>
    <t>FLUJO DEL PERIODO</t>
  </si>
  <si>
    <t>Porcion Corriente a Largo Plazo</t>
  </si>
  <si>
    <t>Ajuste Interes</t>
  </si>
  <si>
    <t>Gasto Interes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</si>
</sst>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0A]d&quot; de &quot;mmmm&quot; de &quot;yy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i/>
      <u/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2" fontId="1" fillId="0" borderId="0" xfId="0" applyNumberFormat="1" applyFont="1"/>
    <xf numFmtId="0" fontId="1" fillId="0" borderId="4" xfId="0" applyFont="1" applyBorder="1"/>
    <xf numFmtId="0" fontId="1" fillId="0" borderId="0" xfId="0" applyFont="1" applyBorder="1"/>
    <xf numFmtId="4" fontId="1" fillId="0" borderId="0" xfId="0" applyNumberFormat="1" applyFont="1" applyBorder="1"/>
    <xf numFmtId="4" fontId="1" fillId="0" borderId="5" xfId="0" applyNumberFormat="1" applyFont="1" applyBorder="1"/>
    <xf numFmtId="0" fontId="1" fillId="0" borderId="6" xfId="0" applyFont="1" applyBorder="1"/>
    <xf numFmtId="4" fontId="1" fillId="0" borderId="6" xfId="0" applyNumberFormat="1" applyFont="1" applyBorder="1"/>
    <xf numFmtId="4" fontId="2" fillId="0" borderId="6" xfId="0" applyNumberFormat="1" applyFont="1" applyBorder="1"/>
    <xf numFmtId="0" fontId="2" fillId="0" borderId="7" xfId="0" applyFont="1" applyBorder="1"/>
    <xf numFmtId="164" fontId="2" fillId="0" borderId="8" xfId="0" applyNumberFormat="1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0" xfId="0" applyFont="1" applyBorder="1"/>
    <xf numFmtId="4" fontId="1" fillId="0" borderId="11" xfId="0" applyNumberFormat="1" applyFont="1" applyBorder="1"/>
    <xf numFmtId="0" fontId="2" fillId="0" borderId="10" xfId="0" quotePrefix="1" applyFont="1" applyBorder="1"/>
    <xf numFmtId="0" fontId="2" fillId="0" borderId="12" xfId="0" quotePrefix="1" applyFont="1" applyBorder="1"/>
    <xf numFmtId="4" fontId="2" fillId="0" borderId="13" xfId="0" applyNumberFormat="1" applyFont="1" applyBorder="1"/>
    <xf numFmtId="164" fontId="2" fillId="0" borderId="9" xfId="1" applyNumberFormat="1" applyFont="1" applyBorder="1"/>
    <xf numFmtId="2" fontId="1" fillId="0" borderId="11" xfId="0" applyNumberFormat="1" applyFont="1" applyBorder="1"/>
    <xf numFmtId="2" fontId="2" fillId="0" borderId="11" xfId="0" applyNumberFormat="1" applyFont="1" applyBorder="1"/>
    <xf numFmtId="0" fontId="2" fillId="0" borderId="12" xfId="0" applyFont="1" applyBorder="1"/>
    <xf numFmtId="0" fontId="1" fillId="2" borderId="0" xfId="0" applyFont="1" applyFill="1"/>
    <xf numFmtId="2" fontId="1" fillId="2" borderId="11" xfId="0" applyNumberFormat="1" applyFont="1" applyFill="1" applyBorder="1"/>
    <xf numFmtId="2" fontId="2" fillId="2" borderId="14" xfId="0" applyNumberFormat="1" applyFont="1" applyFill="1" applyBorder="1"/>
    <xf numFmtId="0" fontId="1" fillId="2" borderId="10" xfId="0" applyFont="1" applyFill="1" applyBorder="1"/>
    <xf numFmtId="0" fontId="2" fillId="2" borderId="12" xfId="0" applyFont="1" applyFill="1" applyBorder="1"/>
    <xf numFmtId="0" fontId="1" fillId="0" borderId="7" xfId="0" applyFont="1" applyBorder="1"/>
    <xf numFmtId="4" fontId="1" fillId="0" borderId="9" xfId="0" applyNumberFormat="1" applyFont="1" applyBorder="1"/>
    <xf numFmtId="4" fontId="2" fillId="0" borderId="11" xfId="0" applyNumberFormat="1" applyFont="1" applyBorder="1"/>
    <xf numFmtId="4" fontId="2" fillId="0" borderId="14" xfId="0" applyNumberFormat="1" applyFont="1" applyBorder="1"/>
    <xf numFmtId="4" fontId="1" fillId="0" borderId="14" xfId="0" applyNumberFormat="1" applyFont="1" applyBorder="1"/>
    <xf numFmtId="0" fontId="1" fillId="3" borderId="10" xfId="0" applyFont="1" applyFill="1" applyBorder="1"/>
    <xf numFmtId="4" fontId="1" fillId="3" borderId="6" xfId="0" applyNumberFormat="1" applyFont="1" applyFill="1" applyBorder="1"/>
    <xf numFmtId="4" fontId="1" fillId="3" borderId="11" xfId="0" applyNumberFormat="1" applyFont="1" applyFill="1" applyBorder="1"/>
    <xf numFmtId="4" fontId="1" fillId="4" borderId="1" xfId="0" applyNumberFormat="1" applyFont="1" applyFill="1" applyBorder="1"/>
    <xf numFmtId="4" fontId="1" fillId="5" borderId="1" xfId="0" applyNumberFormat="1" applyFont="1" applyFill="1" applyBorder="1"/>
    <xf numFmtId="0" fontId="1" fillId="4" borderId="10" xfId="0" applyFont="1" applyFill="1" applyBorder="1"/>
    <xf numFmtId="4" fontId="1" fillId="4" borderId="6" xfId="0" applyNumberFormat="1" applyFont="1" applyFill="1" applyBorder="1"/>
    <xf numFmtId="4" fontId="1" fillId="4" borderId="11" xfId="0" applyNumberFormat="1" applyFont="1" applyFill="1" applyBorder="1"/>
    <xf numFmtId="2" fontId="1" fillId="3" borderId="11" xfId="0" applyNumberFormat="1" applyFont="1" applyFill="1" applyBorder="1"/>
    <xf numFmtId="0" fontId="1" fillId="5" borderId="10" xfId="0" applyFont="1" applyFill="1" applyBorder="1"/>
    <xf numFmtId="4" fontId="1" fillId="5" borderId="6" xfId="0" applyNumberFormat="1" applyFont="1" applyFill="1" applyBorder="1"/>
    <xf numFmtId="4" fontId="1" fillId="5" borderId="11" xfId="0" applyNumberFormat="1" applyFont="1" applyFill="1" applyBorder="1"/>
    <xf numFmtId="0" fontId="4" fillId="6" borderId="15" xfId="0" applyFont="1" applyFill="1" applyBorder="1"/>
    <xf numFmtId="4" fontId="4" fillId="6" borderId="16" xfId="0" applyNumberFormat="1" applyFont="1" applyFill="1" applyBorder="1"/>
    <xf numFmtId="0" fontId="4" fillId="6" borderId="10" xfId="0" applyFont="1" applyFill="1" applyBorder="1"/>
    <xf numFmtId="4" fontId="4" fillId="6" borderId="6" xfId="0" applyNumberFormat="1" applyFont="1" applyFill="1" applyBorder="1"/>
    <xf numFmtId="4" fontId="4" fillId="6" borderId="11" xfId="0" applyNumberFormat="1" applyFont="1" applyFill="1" applyBorder="1"/>
    <xf numFmtId="0" fontId="1" fillId="3" borderId="15" xfId="0" applyFont="1" applyFill="1" applyBorder="1"/>
    <xf numFmtId="2" fontId="1" fillId="3" borderId="16" xfId="0" applyNumberFormat="1" applyFont="1" applyFill="1" applyBorder="1"/>
    <xf numFmtId="0" fontId="1" fillId="4" borderId="15" xfId="0" applyFont="1" applyFill="1" applyBorder="1"/>
    <xf numFmtId="4" fontId="1" fillId="4" borderId="16" xfId="0" applyNumberFormat="1" applyFont="1" applyFill="1" applyBorder="1"/>
    <xf numFmtId="0" fontId="1" fillId="7" borderId="15" xfId="0" applyFont="1" applyFill="1" applyBorder="1"/>
    <xf numFmtId="0" fontId="1" fillId="7" borderId="16" xfId="0" applyFont="1" applyFill="1" applyBorder="1"/>
    <xf numFmtId="0" fontId="1" fillId="0" borderId="17" xfId="0" applyFont="1" applyBorder="1"/>
    <xf numFmtId="0" fontId="1" fillId="0" borderId="18" xfId="0" applyFont="1" applyBorder="1"/>
    <xf numFmtId="2" fontId="1" fillId="0" borderId="5" xfId="0" applyNumberFormat="1" applyFont="1" applyBorder="1"/>
    <xf numFmtId="4" fontId="1" fillId="0" borderId="18" xfId="0" applyNumberFormat="1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4"/>
  <sheetViews>
    <sheetView tabSelected="1" topLeftCell="C4" zoomScale="80" zoomScaleNormal="80" workbookViewId="0">
      <selection activeCell="K12" sqref="K12"/>
    </sheetView>
  </sheetViews>
  <sheetFormatPr baseColWidth="10" defaultColWidth="9.140625" defaultRowHeight="13.5" x14ac:dyDescent="0.25"/>
  <cols>
    <col min="1" max="1" width="3.85546875" style="1" customWidth="1"/>
    <col min="2" max="2" width="42.140625" style="1" bestFit="1" customWidth="1"/>
    <col min="3" max="3" width="21.85546875" style="1" bestFit="1" customWidth="1"/>
    <col min="4" max="4" width="9.140625" style="1"/>
    <col min="5" max="5" width="31.28515625" style="1" bestFit="1" customWidth="1"/>
    <col min="6" max="7" width="24.7109375" style="1" bestFit="1" customWidth="1"/>
    <col min="8" max="9" width="9.140625" style="1"/>
    <col min="10" max="10" width="40.5703125" style="1" bestFit="1" customWidth="1"/>
    <col min="11" max="16384" width="9.140625" style="1"/>
  </cols>
  <sheetData>
    <row r="1" spans="2:11" x14ac:dyDescent="0.25">
      <c r="B1" s="2" t="s">
        <v>48</v>
      </c>
    </row>
    <row r="2" spans="2:11" x14ac:dyDescent="0.25">
      <c r="B2" s="1" t="s">
        <v>49</v>
      </c>
      <c r="I2" s="3"/>
    </row>
    <row r="3" spans="2:11" x14ac:dyDescent="0.25">
      <c r="I3" s="3"/>
    </row>
    <row r="4" spans="2:11" x14ac:dyDescent="0.25">
      <c r="I4" s="4"/>
    </row>
    <row r="5" spans="2:11" ht="14.25" thickBot="1" x14ac:dyDescent="0.3"/>
    <row r="6" spans="2:11" ht="14.25" thickBot="1" x14ac:dyDescent="0.3">
      <c r="B6" s="12" t="s">
        <v>24</v>
      </c>
      <c r="C6" s="22" t="s">
        <v>59</v>
      </c>
      <c r="E6" s="12" t="s">
        <v>7</v>
      </c>
      <c r="F6" s="13">
        <v>42369</v>
      </c>
      <c r="G6" s="13">
        <v>42735</v>
      </c>
      <c r="H6" s="14" t="s">
        <v>61</v>
      </c>
      <c r="J6" s="2" t="s">
        <v>39</v>
      </c>
      <c r="K6" s="2" t="s">
        <v>38</v>
      </c>
    </row>
    <row r="7" spans="2:11" ht="15" customHeight="1" x14ac:dyDescent="0.25">
      <c r="B7" s="15"/>
      <c r="C7" s="16"/>
      <c r="E7" s="15"/>
      <c r="F7" s="9"/>
      <c r="G7" s="9"/>
      <c r="H7" s="16"/>
      <c r="J7" s="65" t="s">
        <v>58</v>
      </c>
      <c r="K7" s="66"/>
    </row>
    <row r="8" spans="2:11" x14ac:dyDescent="0.25">
      <c r="B8" s="15" t="s">
        <v>25</v>
      </c>
      <c r="C8" s="23">
        <v>670</v>
      </c>
      <c r="E8" s="17" t="s">
        <v>0</v>
      </c>
      <c r="F8" s="9"/>
      <c r="G8" s="9"/>
      <c r="H8" s="16"/>
      <c r="J8" s="5" t="s">
        <v>34</v>
      </c>
      <c r="K8" s="8">
        <f>C17</f>
        <v>211</v>
      </c>
    </row>
    <row r="9" spans="2:11" x14ac:dyDescent="0.25">
      <c r="B9" s="15" t="s">
        <v>26</v>
      </c>
      <c r="C9" s="23">
        <v>216</v>
      </c>
      <c r="E9" s="50" t="s">
        <v>11</v>
      </c>
      <c r="F9" s="51">
        <v>17</v>
      </c>
      <c r="G9" s="51">
        <v>182</v>
      </c>
      <c r="H9" s="52">
        <f>G9-F9</f>
        <v>165</v>
      </c>
      <c r="I9" s="3"/>
      <c r="J9" s="5" t="s">
        <v>60</v>
      </c>
      <c r="K9" s="8">
        <f>C12</f>
        <v>10</v>
      </c>
    </row>
    <row r="10" spans="2:11" x14ac:dyDescent="0.25">
      <c r="B10" s="15" t="s">
        <v>28</v>
      </c>
      <c r="C10" s="23">
        <v>62</v>
      </c>
      <c r="E10" s="36" t="s">
        <v>12</v>
      </c>
      <c r="F10" s="37">
        <v>37</v>
      </c>
      <c r="G10" s="37">
        <v>41</v>
      </c>
      <c r="H10" s="38">
        <f>G10-F10</f>
        <v>4</v>
      </c>
      <c r="J10" s="67" t="s">
        <v>62</v>
      </c>
      <c r="K10" s="68"/>
    </row>
    <row r="11" spans="2:11" x14ac:dyDescent="0.25">
      <c r="B11" s="15" t="s">
        <v>29</v>
      </c>
      <c r="C11" s="23">
        <v>28</v>
      </c>
      <c r="E11" s="36" t="s">
        <v>2</v>
      </c>
      <c r="F11" s="37">
        <v>66</v>
      </c>
      <c r="G11" s="37">
        <v>73</v>
      </c>
      <c r="H11" s="38">
        <f t="shared" ref="H11" si="0">G11-F11</f>
        <v>7</v>
      </c>
      <c r="J11" s="5" t="s">
        <v>63</v>
      </c>
      <c r="K11" s="8">
        <f>-H10</f>
        <v>-4</v>
      </c>
    </row>
    <row r="12" spans="2:11" x14ac:dyDescent="0.25">
      <c r="B12" s="29" t="s">
        <v>30</v>
      </c>
      <c r="C12" s="27">
        <v>10</v>
      </c>
      <c r="E12" s="17" t="s">
        <v>3</v>
      </c>
      <c r="F12" s="11">
        <f>SUM(F9:F11)</f>
        <v>120</v>
      </c>
      <c r="G12" s="11">
        <f>SUM(G9:G11)</f>
        <v>296</v>
      </c>
      <c r="H12" s="18">
        <f>G12-F12</f>
        <v>176</v>
      </c>
      <c r="J12" s="5" t="s">
        <v>79</v>
      </c>
      <c r="K12" s="61">
        <f>C14</f>
        <v>23</v>
      </c>
    </row>
    <row r="13" spans="2:11" x14ac:dyDescent="0.25">
      <c r="B13" s="36" t="s">
        <v>31</v>
      </c>
      <c r="C13" s="44">
        <v>6</v>
      </c>
      <c r="E13" s="15"/>
      <c r="F13" s="10"/>
      <c r="G13" s="10"/>
      <c r="H13" s="16"/>
      <c r="J13" s="5" t="s">
        <v>64</v>
      </c>
      <c r="K13" s="8">
        <f>-H11</f>
        <v>-7</v>
      </c>
    </row>
    <row r="14" spans="2:11" x14ac:dyDescent="0.25">
      <c r="B14" s="15" t="s">
        <v>32</v>
      </c>
      <c r="C14" s="23">
        <v>23</v>
      </c>
      <c r="E14" s="41" t="s">
        <v>45</v>
      </c>
      <c r="F14" s="42">
        <v>106</v>
      </c>
      <c r="G14" s="42">
        <v>130</v>
      </c>
      <c r="H14" s="43">
        <f>G14-F14</f>
        <v>24</v>
      </c>
      <c r="J14" s="5" t="s">
        <v>65</v>
      </c>
      <c r="K14" s="8">
        <f>H21</f>
        <v>5</v>
      </c>
    </row>
    <row r="15" spans="2:11" x14ac:dyDescent="0.25">
      <c r="B15" s="17" t="s">
        <v>33</v>
      </c>
      <c r="C15" s="24">
        <f>C8-SUM(C9:C14)</f>
        <v>325</v>
      </c>
      <c r="D15" s="2"/>
      <c r="E15" s="41" t="s">
        <v>13</v>
      </c>
      <c r="F15" s="42">
        <v>17</v>
      </c>
      <c r="G15" s="42">
        <v>21</v>
      </c>
      <c r="H15" s="43">
        <f t="shared" ref="H15:H17" si="1">G15-F15</f>
        <v>4</v>
      </c>
      <c r="J15" s="5" t="s">
        <v>71</v>
      </c>
      <c r="K15" s="8">
        <f>-H16+H27</f>
        <v>-5</v>
      </c>
    </row>
    <row r="16" spans="2:11" ht="14.25" thickBot="1" x14ac:dyDescent="0.3">
      <c r="B16" s="15" t="s">
        <v>35</v>
      </c>
      <c r="C16" s="23">
        <v>114</v>
      </c>
      <c r="E16" s="45" t="s">
        <v>4</v>
      </c>
      <c r="F16" s="46">
        <v>8</v>
      </c>
      <c r="G16" s="46">
        <v>17</v>
      </c>
      <c r="H16" s="47">
        <f t="shared" si="1"/>
        <v>9</v>
      </c>
      <c r="J16" s="59" t="s">
        <v>66</v>
      </c>
      <c r="K16" s="62">
        <f>H22</f>
        <v>5</v>
      </c>
    </row>
    <row r="17" spans="2:11" ht="14.25" thickBot="1" x14ac:dyDescent="0.3">
      <c r="B17" s="30" t="s">
        <v>34</v>
      </c>
      <c r="C17" s="28">
        <f>C15-C16</f>
        <v>211</v>
      </c>
      <c r="D17" s="2"/>
      <c r="E17" s="41" t="s">
        <v>5</v>
      </c>
      <c r="F17" s="42">
        <v>62</v>
      </c>
      <c r="G17" s="42">
        <v>73</v>
      </c>
      <c r="H17" s="43">
        <f t="shared" si="1"/>
        <v>11</v>
      </c>
      <c r="J17" s="53" t="s">
        <v>67</v>
      </c>
      <c r="K17" s="54">
        <f>SUM(K7:K16)</f>
        <v>238</v>
      </c>
    </row>
    <row r="18" spans="2:11" ht="15" customHeight="1" thickBot="1" x14ac:dyDescent="0.3">
      <c r="C18" s="4"/>
      <c r="E18" s="17" t="s">
        <v>6</v>
      </c>
      <c r="F18" s="11">
        <f>SUM(F12:F17)</f>
        <v>313</v>
      </c>
      <c r="G18" s="11">
        <f>SUM(G12:G17)</f>
        <v>537</v>
      </c>
      <c r="H18" s="18">
        <f>G18-F18</f>
        <v>224</v>
      </c>
    </row>
    <row r="19" spans="2:11" ht="14.25" thickBot="1" x14ac:dyDescent="0.3">
      <c r="E19" s="15"/>
      <c r="F19" s="10"/>
      <c r="G19" s="10"/>
      <c r="H19" s="16"/>
      <c r="J19" s="63" t="s">
        <v>57</v>
      </c>
      <c r="K19" s="64"/>
    </row>
    <row r="20" spans="2:11" x14ac:dyDescent="0.25">
      <c r="E20" s="15" t="s">
        <v>8</v>
      </c>
      <c r="F20" s="10"/>
      <c r="G20" s="10"/>
      <c r="H20" s="16"/>
      <c r="J20" s="5" t="s">
        <v>68</v>
      </c>
      <c r="K20" s="8">
        <f>-G40</f>
        <v>-31</v>
      </c>
    </row>
    <row r="21" spans="2:11" x14ac:dyDescent="0.25">
      <c r="E21" s="36" t="s">
        <v>14</v>
      </c>
      <c r="F21" s="37">
        <v>60</v>
      </c>
      <c r="G21" s="37">
        <v>65</v>
      </c>
      <c r="H21" s="38">
        <f>G21-F21</f>
        <v>5</v>
      </c>
      <c r="J21" s="5" t="s">
        <v>69</v>
      </c>
      <c r="K21" s="8">
        <f>-G45</f>
        <v>-7</v>
      </c>
    </row>
    <row r="22" spans="2:11" ht="14.25" thickBot="1" x14ac:dyDescent="0.3">
      <c r="B22" s="26" t="s">
        <v>36</v>
      </c>
      <c r="E22" s="36" t="s">
        <v>15</v>
      </c>
      <c r="F22" s="37">
        <v>12</v>
      </c>
      <c r="G22" s="37">
        <v>17</v>
      </c>
      <c r="H22" s="38">
        <f t="shared" ref="H22:H23" si="2">G22-F22</f>
        <v>5</v>
      </c>
      <c r="J22" s="5" t="s">
        <v>70</v>
      </c>
      <c r="K22" s="8">
        <f>-H17</f>
        <v>-11</v>
      </c>
    </row>
    <row r="23" spans="2:11" ht="14.25" thickBot="1" x14ac:dyDescent="0.3">
      <c r="B23" s="26" t="s">
        <v>37</v>
      </c>
      <c r="E23" s="36" t="s">
        <v>9</v>
      </c>
      <c r="F23" s="37">
        <v>25</v>
      </c>
      <c r="G23" s="37">
        <v>34</v>
      </c>
      <c r="H23" s="38">
        <f t="shared" si="2"/>
        <v>9</v>
      </c>
      <c r="J23" s="55" t="s">
        <v>57</v>
      </c>
      <c r="K23" s="56">
        <f>SUM(K19:K22)</f>
        <v>-49</v>
      </c>
    </row>
    <row r="24" spans="2:11" ht="14.25" thickBot="1" x14ac:dyDescent="0.3">
      <c r="E24" s="17" t="s">
        <v>10</v>
      </c>
      <c r="F24" s="11">
        <f>SUM(F21:F23)</f>
        <v>97</v>
      </c>
      <c r="G24" s="11">
        <f>SUM(G21:G23)</f>
        <v>116</v>
      </c>
      <c r="H24" s="18">
        <f>G24-F24</f>
        <v>19</v>
      </c>
    </row>
    <row r="25" spans="2:11" ht="15" customHeight="1" thickBot="1" x14ac:dyDescent="0.3">
      <c r="E25" s="15"/>
      <c r="F25" s="10"/>
      <c r="G25" s="10"/>
      <c r="H25" s="16"/>
      <c r="J25" s="63" t="s">
        <v>56</v>
      </c>
      <c r="K25" s="64"/>
    </row>
    <row r="26" spans="2:11" x14ac:dyDescent="0.25">
      <c r="E26" s="45" t="s">
        <v>27</v>
      </c>
      <c r="F26" s="46">
        <v>107</v>
      </c>
      <c r="G26" s="46">
        <v>107</v>
      </c>
      <c r="H26" s="47">
        <f>G26-F26</f>
        <v>0</v>
      </c>
      <c r="J26" s="5" t="s">
        <v>80</v>
      </c>
      <c r="K26" s="61">
        <f>-C14</f>
        <v>-23</v>
      </c>
    </row>
    <row r="27" spans="2:11" x14ac:dyDescent="0.25">
      <c r="E27" s="45" t="s">
        <v>4</v>
      </c>
      <c r="F27" s="46">
        <v>22</v>
      </c>
      <c r="G27" s="46">
        <v>26</v>
      </c>
      <c r="H27" s="47">
        <f>G27-F27</f>
        <v>4</v>
      </c>
      <c r="J27" s="5" t="s">
        <v>72</v>
      </c>
      <c r="K27" s="8">
        <f>H31</f>
        <v>1</v>
      </c>
    </row>
    <row r="28" spans="2:11" x14ac:dyDescent="0.25">
      <c r="E28" s="17" t="s">
        <v>16</v>
      </c>
      <c r="F28" s="11">
        <f>SUM(F24:F27)</f>
        <v>226</v>
      </c>
      <c r="G28" s="11">
        <f>SUM(G24:G27)</f>
        <v>249</v>
      </c>
      <c r="H28" s="18">
        <f>G28-F28</f>
        <v>23</v>
      </c>
      <c r="J28" s="5" t="s">
        <v>73</v>
      </c>
      <c r="K28" s="8">
        <f>H32</f>
        <v>1</v>
      </c>
    </row>
    <row r="29" spans="2:11" x14ac:dyDescent="0.25">
      <c r="E29" s="15"/>
      <c r="F29" s="10"/>
      <c r="G29" s="10"/>
      <c r="H29" s="16"/>
      <c r="J29" s="5" t="s">
        <v>78</v>
      </c>
      <c r="K29" s="8">
        <f>H23</f>
        <v>9</v>
      </c>
    </row>
    <row r="30" spans="2:11" x14ac:dyDescent="0.25">
      <c r="E30" s="17" t="s">
        <v>17</v>
      </c>
      <c r="F30" s="10"/>
      <c r="G30" s="10"/>
      <c r="H30" s="16"/>
      <c r="J30" s="5" t="s">
        <v>74</v>
      </c>
      <c r="K30" s="8">
        <f>H33</f>
        <v>9</v>
      </c>
    </row>
    <row r="31" spans="2:11" x14ac:dyDescent="0.25">
      <c r="E31" s="45" t="s">
        <v>18</v>
      </c>
      <c r="F31" s="46">
        <v>6</v>
      </c>
      <c r="G31" s="46">
        <v>7</v>
      </c>
      <c r="H31" s="47">
        <f>G31-F31</f>
        <v>1</v>
      </c>
      <c r="J31" s="5" t="s">
        <v>75</v>
      </c>
      <c r="K31" s="8">
        <f>H34</f>
        <v>-6</v>
      </c>
    </row>
    <row r="32" spans="2:11" ht="14.25" thickBot="1" x14ac:dyDescent="0.3">
      <c r="E32" s="45" t="s">
        <v>19</v>
      </c>
      <c r="F32" s="46">
        <v>3</v>
      </c>
      <c r="G32" s="46">
        <v>4</v>
      </c>
      <c r="H32" s="47">
        <f t="shared" ref="H32:H35" si="3">G32-F32</f>
        <v>1</v>
      </c>
      <c r="J32" s="59" t="s">
        <v>76</v>
      </c>
      <c r="K32" s="60">
        <v>-15</v>
      </c>
    </row>
    <row r="33" spans="2:11" ht="14.25" thickBot="1" x14ac:dyDescent="0.3">
      <c r="E33" s="45" t="s">
        <v>23</v>
      </c>
      <c r="F33" s="46">
        <v>73</v>
      </c>
      <c r="G33" s="46">
        <v>82</v>
      </c>
      <c r="H33" s="47">
        <f t="shared" si="3"/>
        <v>9</v>
      </c>
      <c r="J33" s="57" t="s">
        <v>56</v>
      </c>
      <c r="K33" s="58">
        <f>SUM(K25:K32)</f>
        <v>-24</v>
      </c>
    </row>
    <row r="34" spans="2:11" ht="14.25" thickBot="1" x14ac:dyDescent="0.3">
      <c r="E34" s="45" t="s">
        <v>20</v>
      </c>
      <c r="F34" s="46">
        <v>-56</v>
      </c>
      <c r="G34" s="46">
        <v>-62</v>
      </c>
      <c r="H34" s="47">
        <f t="shared" si="3"/>
        <v>-6</v>
      </c>
      <c r="J34" s="48" t="s">
        <v>77</v>
      </c>
      <c r="K34" s="49">
        <f>K33+K23+K17</f>
        <v>165</v>
      </c>
    </row>
    <row r="35" spans="2:11" x14ac:dyDescent="0.25">
      <c r="E35" s="45" t="s">
        <v>21</v>
      </c>
      <c r="F35" s="46">
        <v>61</v>
      </c>
      <c r="G35" s="46">
        <v>257</v>
      </c>
      <c r="H35" s="47">
        <f t="shared" si="3"/>
        <v>196</v>
      </c>
    </row>
    <row r="36" spans="2:11" ht="14.25" thickBot="1" x14ac:dyDescent="0.3">
      <c r="E36" s="25" t="s">
        <v>22</v>
      </c>
      <c r="F36" s="21">
        <f>SUM(F28:F35)</f>
        <v>313</v>
      </c>
      <c r="G36" s="21">
        <f>SUM(G28:G35)</f>
        <v>537</v>
      </c>
      <c r="H36" s="35">
        <f>G36-F36</f>
        <v>224</v>
      </c>
    </row>
    <row r="37" spans="2:11" ht="14.25" thickBot="1" x14ac:dyDescent="0.3">
      <c r="E37" s="6"/>
      <c r="F37" s="7"/>
      <c r="G37" s="7"/>
      <c r="H37" s="6"/>
    </row>
    <row r="38" spans="2:11" x14ac:dyDescent="0.25">
      <c r="B38" s="1" t="s">
        <v>41</v>
      </c>
      <c r="C38" s="4">
        <f>C12-C39</f>
        <v>7</v>
      </c>
      <c r="E38" s="31" t="s">
        <v>50</v>
      </c>
      <c r="F38" s="32">
        <f>F14</f>
        <v>106</v>
      </c>
      <c r="G38" s="7"/>
      <c r="H38" s="6"/>
    </row>
    <row r="39" spans="2:11" ht="14.25" thickBot="1" x14ac:dyDescent="0.3">
      <c r="B39" s="1" t="s">
        <v>42</v>
      </c>
      <c r="C39" s="4">
        <v>3</v>
      </c>
      <c r="E39" s="15" t="s">
        <v>40</v>
      </c>
      <c r="F39" s="18">
        <f>C12-3</f>
        <v>7</v>
      </c>
      <c r="G39" s="7"/>
      <c r="H39" s="6"/>
    </row>
    <row r="40" spans="2:11" ht="14.25" thickBot="1" x14ac:dyDescent="0.3">
      <c r="E40" s="15" t="s">
        <v>46</v>
      </c>
      <c r="F40" s="18" t="s">
        <v>1</v>
      </c>
      <c r="G40" s="39">
        <f>F41-(F38-F39)</f>
        <v>31</v>
      </c>
      <c r="H40" s="7"/>
    </row>
    <row r="41" spans="2:11" x14ac:dyDescent="0.25">
      <c r="E41" s="19" t="s">
        <v>51</v>
      </c>
      <c r="F41" s="33">
        <f>G14</f>
        <v>130</v>
      </c>
      <c r="G41" s="7"/>
      <c r="H41" s="6"/>
    </row>
    <row r="42" spans="2:11" x14ac:dyDescent="0.25">
      <c r="E42" s="15"/>
      <c r="F42" s="18"/>
      <c r="G42" s="7"/>
      <c r="H42" s="6"/>
    </row>
    <row r="43" spans="2:11" x14ac:dyDescent="0.25">
      <c r="E43" s="15" t="s">
        <v>43</v>
      </c>
      <c r="F43" s="18">
        <f>F15</f>
        <v>17</v>
      </c>
      <c r="G43" s="7"/>
      <c r="H43" s="6"/>
    </row>
    <row r="44" spans="2:11" ht="14.25" thickBot="1" x14ac:dyDescent="0.3">
      <c r="E44" s="15" t="s">
        <v>44</v>
      </c>
      <c r="F44" s="18">
        <f>C39</f>
        <v>3</v>
      </c>
      <c r="G44" s="7"/>
      <c r="H44" s="6"/>
    </row>
    <row r="45" spans="2:11" ht="14.25" thickBot="1" x14ac:dyDescent="0.3">
      <c r="E45" s="15" t="s">
        <v>46</v>
      </c>
      <c r="F45" s="18" t="s">
        <v>1</v>
      </c>
      <c r="G45" s="39">
        <f>F46-(F43-F44)</f>
        <v>7</v>
      </c>
      <c r="H45" s="6"/>
    </row>
    <row r="46" spans="2:11" x14ac:dyDescent="0.25">
      <c r="E46" s="19" t="s">
        <v>47</v>
      </c>
      <c r="F46" s="33">
        <f>G15</f>
        <v>21</v>
      </c>
      <c r="G46" s="7"/>
      <c r="H46" s="6"/>
    </row>
    <row r="47" spans="2:11" x14ac:dyDescent="0.25">
      <c r="E47" s="15"/>
      <c r="F47" s="16"/>
      <c r="G47" s="6"/>
      <c r="H47" s="6"/>
    </row>
    <row r="48" spans="2:11" x14ac:dyDescent="0.25">
      <c r="E48" s="15" t="s">
        <v>52</v>
      </c>
      <c r="F48" s="18">
        <f>F35</f>
        <v>61</v>
      </c>
      <c r="G48" s="6"/>
      <c r="H48" s="6"/>
    </row>
    <row r="49" spans="5:8" ht="14.25" thickBot="1" x14ac:dyDescent="0.3">
      <c r="E49" s="15" t="s">
        <v>53</v>
      </c>
      <c r="F49" s="23">
        <f>C17</f>
        <v>211</v>
      </c>
      <c r="G49" s="6"/>
      <c r="H49" s="6"/>
    </row>
    <row r="50" spans="5:8" ht="14.25" thickBot="1" x14ac:dyDescent="0.3">
      <c r="E50" s="15" t="s">
        <v>54</v>
      </c>
      <c r="F50" s="16" t="s">
        <v>1</v>
      </c>
      <c r="G50" s="40">
        <f>F49+F48-F51</f>
        <v>15</v>
      </c>
      <c r="H50" s="6"/>
    </row>
    <row r="51" spans="5:8" ht="14.25" thickBot="1" x14ac:dyDescent="0.3">
      <c r="E51" s="20" t="s">
        <v>55</v>
      </c>
      <c r="F51" s="34">
        <f>G35</f>
        <v>257</v>
      </c>
      <c r="G51" s="6"/>
      <c r="H51" s="6"/>
    </row>
    <row r="53" spans="5:8" x14ac:dyDescent="0.25">
      <c r="F53" s="3"/>
    </row>
    <row r="54" spans="5:8" x14ac:dyDescent="0.25">
      <c r="F54" s="3"/>
    </row>
  </sheetData>
  <mergeCells count="4">
    <mergeCell ref="J25:K25"/>
    <mergeCell ref="J7:K7"/>
    <mergeCell ref="J19:K19"/>
    <mergeCell ref="J10:K10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 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Vinix</cp:lastModifiedBy>
  <dcterms:created xsi:type="dcterms:W3CDTF">2017-08-09T04:54:26Z</dcterms:created>
  <dcterms:modified xsi:type="dcterms:W3CDTF">2017-08-14T18:53:23Z</dcterms:modified>
</cp:coreProperties>
</file>