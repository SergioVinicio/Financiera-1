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\Documents\Gaby\UFM\Financiera I\Financiera I 2017\03 Ejercicios\"/>
    </mc:Choice>
  </mc:AlternateContent>
  <bookViews>
    <workbookView xWindow="0" yWindow="0" windowWidth="19200" windowHeight="6465"/>
  </bookViews>
  <sheets>
    <sheet name="Ejercicio #1 EF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3" i="1" l="1"/>
  <c r="E92" i="1"/>
  <c r="E82" i="1"/>
  <c r="E84" i="1"/>
  <c r="E29" i="1"/>
  <c r="E80" i="1"/>
  <c r="H72" i="1"/>
  <c r="I72" i="1" s="1"/>
  <c r="E72" i="1"/>
  <c r="H69" i="1"/>
  <c r="E86" i="1" s="1"/>
  <c r="E69" i="1"/>
  <c r="B69" i="1" s="1"/>
  <c r="H48" i="1"/>
  <c r="H45" i="1"/>
  <c r="E48" i="1"/>
  <c r="E45" i="1"/>
  <c r="B72" i="1"/>
  <c r="B62" i="1"/>
  <c r="B61" i="1"/>
  <c r="B60" i="1"/>
  <c r="B59" i="1"/>
  <c r="B58" i="1"/>
  <c r="B57" i="1"/>
  <c r="B56" i="1"/>
  <c r="E81" i="1" l="1"/>
  <c r="E87" i="1"/>
  <c r="E15" i="1"/>
  <c r="E8" i="1"/>
  <c r="E9" i="1" s="1"/>
  <c r="E5" i="1"/>
  <c r="E70" i="1" l="1"/>
  <c r="B70" i="1" s="1"/>
  <c r="E46" i="1"/>
  <c r="E73" i="1"/>
  <c r="B73" i="1" s="1"/>
  <c r="E49" i="1"/>
  <c r="E60" i="1"/>
  <c r="E58" i="1"/>
  <c r="E59" i="1"/>
  <c r="E56" i="1"/>
  <c r="E62" i="1"/>
  <c r="E61" i="1"/>
  <c r="E64" i="1" l="1"/>
  <c r="E44" i="1" s="1"/>
  <c r="E36" i="1"/>
  <c r="E33" i="1"/>
  <c r="E31" i="1"/>
  <c r="E30" i="1"/>
  <c r="E28" i="1"/>
  <c r="E34" i="1" s="1"/>
  <c r="E37" i="1" s="1"/>
  <c r="E39" i="1" s="1"/>
  <c r="E32" i="1"/>
  <c r="E21" i="1"/>
  <c r="E63" i="1" s="1"/>
  <c r="E16" i="1"/>
  <c r="E57" i="1"/>
  <c r="E40" i="1" l="1"/>
  <c r="E47" i="1" s="1"/>
  <c r="H68" i="1"/>
  <c r="E85" i="1" s="1"/>
  <c r="H44" i="1"/>
  <c r="E38" i="1"/>
  <c r="E41" i="1" l="1"/>
  <c r="I68" i="1"/>
  <c r="E71" i="1" l="1"/>
  <c r="E50" i="1"/>
  <c r="E79" i="1"/>
  <c r="E83" i="1" l="1"/>
  <c r="E91" i="1" s="1"/>
  <c r="E94" i="1" s="1"/>
  <c r="B71" i="1"/>
  <c r="H73" i="1"/>
  <c r="H74" i="1" s="1"/>
  <c r="H49" i="1"/>
  <c r="H50" i="1" s="1"/>
  <c r="H51" i="1" s="1"/>
  <c r="I69" i="1"/>
  <c r="E88" i="1" l="1"/>
  <c r="E68" i="1" s="1"/>
  <c r="I73" i="1"/>
  <c r="B68" i="1" l="1"/>
  <c r="E74" i="1"/>
  <c r="H75" i="1" s="1"/>
</calcChain>
</file>

<file path=xl/sharedStrings.xml><?xml version="1.0" encoding="utf-8"?>
<sst xmlns="http://schemas.openxmlformats.org/spreadsheetml/2006/main" count="171" uniqueCount="81">
  <si>
    <t>Préstamo</t>
  </si>
  <si>
    <t>Alquiler</t>
  </si>
  <si>
    <t>Maquinaria</t>
  </si>
  <si>
    <t xml:space="preserve">Crédito </t>
  </si>
  <si>
    <t>días</t>
  </si>
  <si>
    <t>$</t>
  </si>
  <si>
    <t>MP</t>
  </si>
  <si>
    <t>Contado</t>
  </si>
  <si>
    <t>Salarios</t>
  </si>
  <si>
    <t>Gastos adm</t>
  </si>
  <si>
    <t>tasa ISR</t>
  </si>
  <si>
    <t>ER</t>
  </si>
  <si>
    <t>BG</t>
  </si>
  <si>
    <t>FE</t>
  </si>
  <si>
    <t>X</t>
  </si>
  <si>
    <t>Intereses</t>
  </si>
  <si>
    <t>Depreciación</t>
  </si>
  <si>
    <t>Ventas</t>
  </si>
  <si>
    <t>(-) Costo</t>
  </si>
  <si>
    <t>Utilidad Bruta</t>
  </si>
  <si>
    <t>(-) Gastos</t>
  </si>
  <si>
    <t>Utilidad en Operación</t>
  </si>
  <si>
    <t>Gastos financieros</t>
  </si>
  <si>
    <t>Utilidad antes de ISR</t>
  </si>
  <si>
    <t>ISR</t>
  </si>
  <si>
    <t>Utilidad Neta</t>
  </si>
  <si>
    <t>Acc. Comunes</t>
  </si>
  <si>
    <t>Gastos pagados x ant</t>
  </si>
  <si>
    <t>Dep. Acumulada</t>
  </si>
  <si>
    <t>Cuenta x Cobrar</t>
  </si>
  <si>
    <t>Cuenta x Pagar</t>
  </si>
  <si>
    <t>Ut. Retenidas</t>
  </si>
  <si>
    <t>Activo</t>
  </si>
  <si>
    <t>Pasivo + Capital</t>
  </si>
  <si>
    <t>Caja y Bancos</t>
  </si>
  <si>
    <t>Venta de acciones comunes</t>
  </si>
  <si>
    <t>Contratación de préstamo</t>
  </si>
  <si>
    <t>Tasa de interés</t>
  </si>
  <si>
    <t>%</t>
  </si>
  <si>
    <t>Periodos por año</t>
  </si>
  <si>
    <t>meses</t>
  </si>
  <si>
    <t>Gasto financiero</t>
  </si>
  <si>
    <t>Alquiler del mes</t>
  </si>
  <si>
    <t>Ingreso</t>
  </si>
  <si>
    <t>Salida</t>
  </si>
  <si>
    <t>Compra de maquinaria</t>
  </si>
  <si>
    <t>C (Acciones comunes)</t>
  </si>
  <si>
    <t>P (Préstamo)</t>
  </si>
  <si>
    <t>A (Gastos pagados x anticipado)</t>
  </si>
  <si>
    <t>A (Maquinaria y Eq.)</t>
  </si>
  <si>
    <t>A (Depreciación Acum.)</t>
  </si>
  <si>
    <t>A (Cuentas x Cobrar)</t>
  </si>
  <si>
    <t>Costo</t>
  </si>
  <si>
    <t>Materia prima para primer pedido</t>
  </si>
  <si>
    <t>P (Cuentas x P)</t>
  </si>
  <si>
    <t>Sallida</t>
  </si>
  <si>
    <t>Gastos</t>
  </si>
  <si>
    <t>Impuestos</t>
  </si>
  <si>
    <t>Vida útil</t>
  </si>
  <si>
    <t>Pago contado</t>
  </si>
  <si>
    <t>Transacción</t>
  </si>
  <si>
    <t>Monto</t>
  </si>
  <si>
    <t>Ejercicio # 1 EF</t>
  </si>
  <si>
    <t>Flujo de Efectivo</t>
  </si>
  <si>
    <t>Método Directo</t>
  </si>
  <si>
    <t>Compra de materia prima</t>
  </si>
  <si>
    <t>Efectivo del periodo</t>
  </si>
  <si>
    <t>Método Indirecto</t>
  </si>
  <si>
    <t>Flujo Efectivo</t>
  </si>
  <si>
    <t>+</t>
  </si>
  <si>
    <t>(+) Depreciación</t>
  </si>
  <si>
    <t>Acciones</t>
  </si>
  <si>
    <t>Alquiler de planta</t>
  </si>
  <si>
    <t>Estado de Resultados (Del 1 al 30 de junio)</t>
  </si>
  <si>
    <t>Balance General (Al 30 de junio)</t>
  </si>
  <si>
    <t>ISR crédito</t>
  </si>
  <si>
    <t>ISR x C</t>
  </si>
  <si>
    <t>(-)</t>
  </si>
  <si>
    <t>Flujo de Efectivo Operativo</t>
  </si>
  <si>
    <t>Flujo de Inversión</t>
  </si>
  <si>
    <t>Flujo de Financiamiento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</si>
</sst>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3" fontId="1" fillId="0" borderId="0" xfId="0" applyNumberFormat="1" applyFont="1" applyBorder="1"/>
    <xf numFmtId="0" fontId="1" fillId="0" borderId="5" xfId="0" applyFont="1" applyBorder="1"/>
    <xf numFmtId="9" fontId="1" fillId="0" borderId="0" xfId="0" applyNumberFormat="1" applyFont="1" applyBorder="1"/>
    <xf numFmtId="0" fontId="1" fillId="0" borderId="6" xfId="0" applyFont="1" applyBorder="1"/>
    <xf numFmtId="0" fontId="1" fillId="0" borderId="7" xfId="0" applyFont="1" applyBorder="1"/>
    <xf numFmtId="9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10" xfId="0" applyNumberFormat="1" applyFont="1" applyBorder="1"/>
    <xf numFmtId="0" fontId="1" fillId="0" borderId="11" xfId="0" applyFont="1" applyBorder="1"/>
    <xf numFmtId="0" fontId="1" fillId="0" borderId="1" xfId="0" applyFont="1" applyBorder="1"/>
    <xf numFmtId="0" fontId="1" fillId="0" borderId="2" xfId="0" applyFont="1" applyBorder="1"/>
    <xf numFmtId="3" fontId="1" fillId="0" borderId="2" xfId="0" applyNumberFormat="1" applyFont="1" applyBorder="1"/>
    <xf numFmtId="3" fontId="1" fillId="0" borderId="7" xfId="0" applyNumberFormat="1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1" fillId="3" borderId="3" xfId="0" applyFont="1" applyFill="1" applyBorder="1"/>
    <xf numFmtId="0" fontId="3" fillId="0" borderId="0" xfId="0" applyFont="1"/>
    <xf numFmtId="3" fontId="3" fillId="0" borderId="0" xfId="0" applyNumberFormat="1" applyFont="1"/>
    <xf numFmtId="3" fontId="1" fillId="2" borderId="3" xfId="0" applyNumberFormat="1" applyFont="1" applyFill="1" applyBorder="1"/>
    <xf numFmtId="3" fontId="1" fillId="0" borderId="5" xfId="0" applyNumberFormat="1" applyFont="1" applyBorder="1"/>
    <xf numFmtId="3" fontId="1" fillId="0" borderId="3" xfId="0" applyNumberFormat="1" applyFont="1" applyBorder="1"/>
    <xf numFmtId="0" fontId="2" fillId="0" borderId="9" xfId="0" applyFont="1" applyBorder="1"/>
    <xf numFmtId="3" fontId="2" fillId="0" borderId="11" xfId="0" applyNumberFormat="1" applyFont="1" applyBorder="1"/>
    <xf numFmtId="0" fontId="2" fillId="0" borderId="10" xfId="0" applyFont="1" applyBorder="1"/>
    <xf numFmtId="0" fontId="1" fillId="0" borderId="0" xfId="0" quotePrefix="1" applyFont="1"/>
    <xf numFmtId="0" fontId="2" fillId="0" borderId="0" xfId="0" applyFont="1" applyBorder="1"/>
    <xf numFmtId="3" fontId="2" fillId="0" borderId="0" xfId="0" applyNumberFormat="1" applyFont="1" applyBorder="1"/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tabSelected="1" workbookViewId="0">
      <selection activeCell="G17" sqref="G17"/>
    </sheetView>
  </sheetViews>
  <sheetFormatPr defaultRowHeight="16.5" x14ac:dyDescent="0.3"/>
  <cols>
    <col min="1" max="2" width="9.140625" style="1"/>
    <col min="3" max="3" width="32" style="1" bestFit="1" customWidth="1"/>
    <col min="4" max="4" width="9.140625" style="1"/>
    <col min="5" max="5" width="11.28515625" style="1" bestFit="1" customWidth="1"/>
    <col min="6" max="6" width="16" style="1" customWidth="1"/>
    <col min="7" max="7" width="9.140625" style="1"/>
    <col min="8" max="8" width="23.5703125" style="1" customWidth="1"/>
    <col min="9" max="9" width="9.140625" style="1"/>
    <col min="10" max="10" width="36.140625" style="1" bestFit="1" customWidth="1"/>
    <col min="11" max="11" width="10.28515625" style="1" bestFit="1" customWidth="1"/>
    <col min="12" max="16384" width="9.140625" style="1"/>
  </cols>
  <sheetData>
    <row r="1" spans="2:12" x14ac:dyDescent="0.3">
      <c r="B1" s="3" t="s">
        <v>62</v>
      </c>
    </row>
    <row r="2" spans="2:12" x14ac:dyDescent="0.3">
      <c r="B2" s="23"/>
      <c r="C2" s="24" t="s">
        <v>60</v>
      </c>
      <c r="D2" s="24"/>
      <c r="E2" s="24" t="s">
        <v>61</v>
      </c>
      <c r="F2" s="24"/>
      <c r="G2" s="24" t="s">
        <v>11</v>
      </c>
      <c r="H2" s="24"/>
      <c r="I2" s="24" t="s">
        <v>12</v>
      </c>
      <c r="J2" s="24"/>
      <c r="K2" s="24" t="s">
        <v>13</v>
      </c>
      <c r="L2" s="25"/>
    </row>
    <row r="3" spans="2:12" x14ac:dyDescent="0.3">
      <c r="B3" s="6">
        <v>1</v>
      </c>
      <c r="C3" s="7" t="s">
        <v>45</v>
      </c>
      <c r="D3" s="7" t="s">
        <v>5</v>
      </c>
      <c r="E3" s="8">
        <v>15000</v>
      </c>
      <c r="F3" s="7"/>
      <c r="G3" s="7"/>
      <c r="H3" s="7"/>
      <c r="I3" s="7" t="s">
        <v>14</v>
      </c>
      <c r="J3" s="7" t="s">
        <v>49</v>
      </c>
      <c r="K3" s="7" t="s">
        <v>14</v>
      </c>
      <c r="L3" s="9" t="s">
        <v>44</v>
      </c>
    </row>
    <row r="4" spans="2:12" x14ac:dyDescent="0.3">
      <c r="B4" s="6"/>
      <c r="C4" s="7" t="s">
        <v>58</v>
      </c>
      <c r="D4" s="7"/>
      <c r="E4" s="7">
        <v>10</v>
      </c>
      <c r="F4" s="7"/>
      <c r="G4" s="7"/>
      <c r="H4" s="7"/>
      <c r="I4" s="7"/>
      <c r="J4" s="7"/>
      <c r="K4" s="7"/>
      <c r="L4" s="9"/>
    </row>
    <row r="5" spans="2:12" x14ac:dyDescent="0.3">
      <c r="B5" s="15">
        <v>2</v>
      </c>
      <c r="C5" s="16" t="s">
        <v>16</v>
      </c>
      <c r="D5" s="16" t="s">
        <v>5</v>
      </c>
      <c r="E5" s="17">
        <f>E3/E4/E23</f>
        <v>125</v>
      </c>
      <c r="F5" s="16"/>
      <c r="G5" s="16" t="s">
        <v>14</v>
      </c>
      <c r="H5" s="16" t="s">
        <v>16</v>
      </c>
      <c r="I5" s="16" t="s">
        <v>14</v>
      </c>
      <c r="J5" s="16" t="s">
        <v>50</v>
      </c>
      <c r="K5" s="16"/>
      <c r="L5" s="18"/>
    </row>
    <row r="6" spans="2:12" x14ac:dyDescent="0.3">
      <c r="B6" s="19">
        <v>3</v>
      </c>
      <c r="C6" s="20" t="s">
        <v>72</v>
      </c>
      <c r="D6" s="20" t="s">
        <v>5</v>
      </c>
      <c r="E6" s="21">
        <v>2000</v>
      </c>
      <c r="F6" s="20"/>
      <c r="G6" s="20" t="s">
        <v>14</v>
      </c>
      <c r="H6" s="20" t="s">
        <v>42</v>
      </c>
      <c r="I6" s="20"/>
      <c r="J6" s="20"/>
      <c r="K6" s="20"/>
      <c r="L6" s="5"/>
    </row>
    <row r="7" spans="2:12" x14ac:dyDescent="0.3">
      <c r="B7" s="37" t="s">
        <v>56</v>
      </c>
      <c r="C7" s="7" t="s">
        <v>59</v>
      </c>
      <c r="D7" s="7" t="s">
        <v>40</v>
      </c>
      <c r="E7" s="7">
        <v>6</v>
      </c>
      <c r="F7" s="7"/>
      <c r="G7" s="7"/>
      <c r="H7" s="7"/>
      <c r="I7" s="7"/>
      <c r="J7" s="7"/>
      <c r="K7" s="7"/>
      <c r="L7" s="9"/>
    </row>
    <row r="8" spans="2:12" x14ac:dyDescent="0.3">
      <c r="B8" s="6"/>
      <c r="C8" s="7" t="s">
        <v>59</v>
      </c>
      <c r="D8" s="7" t="s">
        <v>5</v>
      </c>
      <c r="E8" s="8">
        <f>E6*E7</f>
        <v>12000</v>
      </c>
      <c r="F8" s="8"/>
      <c r="G8" s="7"/>
      <c r="H8" s="7"/>
      <c r="I8" s="7"/>
      <c r="J8" s="7"/>
      <c r="K8" s="7" t="s">
        <v>14</v>
      </c>
      <c r="L8" s="9" t="s">
        <v>44</v>
      </c>
    </row>
    <row r="9" spans="2:12" x14ac:dyDescent="0.3">
      <c r="B9" s="11"/>
      <c r="C9" s="12" t="s">
        <v>27</v>
      </c>
      <c r="D9" s="12" t="s">
        <v>5</v>
      </c>
      <c r="E9" s="22">
        <f>E8-E6</f>
        <v>10000</v>
      </c>
      <c r="F9" s="12"/>
      <c r="G9" s="12"/>
      <c r="H9" s="12"/>
      <c r="I9" s="12" t="s">
        <v>14</v>
      </c>
      <c r="J9" s="12" t="s">
        <v>48</v>
      </c>
      <c r="K9" s="12"/>
      <c r="L9" s="14"/>
    </row>
    <row r="10" spans="2:12" x14ac:dyDescent="0.3">
      <c r="B10" s="15">
        <v>4</v>
      </c>
      <c r="C10" s="16" t="s">
        <v>8</v>
      </c>
      <c r="D10" s="16" t="s">
        <v>5</v>
      </c>
      <c r="E10" s="17">
        <v>1500</v>
      </c>
      <c r="F10" s="16"/>
      <c r="G10" s="16" t="s">
        <v>14</v>
      </c>
      <c r="H10" s="16" t="s">
        <v>52</v>
      </c>
      <c r="I10" s="16"/>
      <c r="J10" s="16"/>
      <c r="K10" s="16" t="s">
        <v>14</v>
      </c>
      <c r="L10" s="18" t="s">
        <v>55</v>
      </c>
    </row>
    <row r="11" spans="2:12" x14ac:dyDescent="0.3">
      <c r="B11" s="6">
        <v>5</v>
      </c>
      <c r="C11" s="7" t="s">
        <v>17</v>
      </c>
      <c r="D11" s="7" t="s">
        <v>5</v>
      </c>
      <c r="E11" s="8">
        <v>8000</v>
      </c>
      <c r="F11" s="7"/>
      <c r="G11" s="7" t="s">
        <v>14</v>
      </c>
      <c r="H11" s="7" t="s">
        <v>17</v>
      </c>
      <c r="I11" s="7" t="s">
        <v>14</v>
      </c>
      <c r="J11" s="7" t="s">
        <v>51</v>
      </c>
      <c r="K11" s="7"/>
      <c r="L11" s="9"/>
    </row>
    <row r="12" spans="2:12" x14ac:dyDescent="0.3">
      <c r="B12" s="6"/>
      <c r="C12" s="7" t="s">
        <v>3</v>
      </c>
      <c r="D12" s="7" t="s">
        <v>4</v>
      </c>
      <c r="E12" s="7">
        <v>35</v>
      </c>
      <c r="F12" s="7"/>
      <c r="G12" s="7"/>
      <c r="H12" s="7"/>
      <c r="I12" s="7"/>
      <c r="J12" s="7"/>
      <c r="K12" s="7"/>
      <c r="L12" s="9"/>
    </row>
    <row r="13" spans="2:12" x14ac:dyDescent="0.3">
      <c r="B13" s="19">
        <v>6</v>
      </c>
      <c r="C13" s="20" t="s">
        <v>53</v>
      </c>
      <c r="D13" s="20" t="s">
        <v>5</v>
      </c>
      <c r="E13" s="21">
        <v>4000</v>
      </c>
      <c r="F13" s="20"/>
      <c r="G13" s="20" t="s">
        <v>14</v>
      </c>
      <c r="H13" s="20" t="s">
        <v>52</v>
      </c>
      <c r="I13" s="20"/>
      <c r="J13" s="20"/>
      <c r="K13" s="20"/>
      <c r="L13" s="5"/>
    </row>
    <row r="14" spans="2:12" x14ac:dyDescent="0.3">
      <c r="B14" s="6"/>
      <c r="C14" s="7" t="s">
        <v>7</v>
      </c>
      <c r="D14" s="10" t="s">
        <v>38</v>
      </c>
      <c r="E14" s="10">
        <v>0.5</v>
      </c>
      <c r="F14" s="7"/>
      <c r="G14" s="7"/>
      <c r="H14" s="7"/>
      <c r="I14" s="7"/>
      <c r="J14" s="7"/>
      <c r="K14" s="7"/>
      <c r="L14" s="9"/>
    </row>
    <row r="15" spans="2:12" x14ac:dyDescent="0.3">
      <c r="B15" s="6"/>
      <c r="C15" s="7" t="s">
        <v>7</v>
      </c>
      <c r="D15" s="7" t="s">
        <v>5</v>
      </c>
      <c r="E15" s="8">
        <f>E13*E14</f>
        <v>2000</v>
      </c>
      <c r="F15" s="7"/>
      <c r="G15" s="7"/>
      <c r="H15" s="7"/>
      <c r="I15" s="7"/>
      <c r="J15" s="7"/>
      <c r="K15" s="7" t="s">
        <v>14</v>
      </c>
      <c r="L15" s="9" t="s">
        <v>44</v>
      </c>
    </row>
    <row r="16" spans="2:12" x14ac:dyDescent="0.3">
      <c r="B16" s="11"/>
      <c r="C16" s="12" t="s">
        <v>3</v>
      </c>
      <c r="D16" s="12" t="s">
        <v>5</v>
      </c>
      <c r="E16" s="22">
        <f>E13-E15</f>
        <v>2000</v>
      </c>
      <c r="F16" s="12"/>
      <c r="G16" s="12"/>
      <c r="H16" s="12"/>
      <c r="I16" s="12" t="s">
        <v>14</v>
      </c>
      <c r="J16" s="12" t="s">
        <v>54</v>
      </c>
      <c r="K16" s="12"/>
      <c r="L16" s="14"/>
    </row>
    <row r="17" spans="2:12" x14ac:dyDescent="0.3">
      <c r="B17" s="15">
        <v>7</v>
      </c>
      <c r="C17" s="16" t="s">
        <v>9</v>
      </c>
      <c r="D17" s="16" t="s">
        <v>5</v>
      </c>
      <c r="E17" s="17">
        <v>3000</v>
      </c>
      <c r="F17" s="16"/>
      <c r="G17" s="16" t="s">
        <v>14</v>
      </c>
      <c r="H17" s="16" t="s">
        <v>56</v>
      </c>
      <c r="I17" s="16"/>
      <c r="J17" s="16"/>
      <c r="K17" s="16" t="s">
        <v>14</v>
      </c>
      <c r="L17" s="18" t="s">
        <v>44</v>
      </c>
    </row>
    <row r="18" spans="2:12" x14ac:dyDescent="0.3">
      <c r="B18" s="11">
        <v>8</v>
      </c>
      <c r="C18" s="12" t="s">
        <v>10</v>
      </c>
      <c r="D18" s="12" t="s">
        <v>38</v>
      </c>
      <c r="E18" s="13">
        <v>0.25</v>
      </c>
      <c r="F18" s="12"/>
      <c r="G18" s="12" t="s">
        <v>14</v>
      </c>
      <c r="H18" s="12" t="s">
        <v>57</v>
      </c>
      <c r="I18" s="12" t="s">
        <v>14</v>
      </c>
      <c r="J18" s="12" t="s">
        <v>76</v>
      </c>
      <c r="K18" s="12"/>
      <c r="L18" s="14"/>
    </row>
    <row r="19" spans="2:12" x14ac:dyDescent="0.3">
      <c r="B19" s="15">
        <v>9</v>
      </c>
      <c r="C19" s="16" t="s">
        <v>35</v>
      </c>
      <c r="D19" s="16" t="s">
        <v>5</v>
      </c>
      <c r="E19" s="17">
        <v>20000</v>
      </c>
      <c r="F19" s="16"/>
      <c r="G19" s="16"/>
      <c r="H19" s="16"/>
      <c r="I19" s="16" t="s">
        <v>14</v>
      </c>
      <c r="J19" s="16" t="s">
        <v>46</v>
      </c>
      <c r="K19" s="16" t="s">
        <v>14</v>
      </c>
      <c r="L19" s="18" t="s">
        <v>43</v>
      </c>
    </row>
    <row r="20" spans="2:12" x14ac:dyDescent="0.3">
      <c r="B20" s="19">
        <v>10</v>
      </c>
      <c r="C20" s="20" t="s">
        <v>36</v>
      </c>
      <c r="D20" s="20" t="s">
        <v>5</v>
      </c>
      <c r="E20" s="21">
        <v>15000</v>
      </c>
      <c r="F20" s="20"/>
      <c r="G20" s="20"/>
      <c r="H20" s="20"/>
      <c r="I20" s="20" t="s">
        <v>14</v>
      </c>
      <c r="J20" s="20" t="s">
        <v>47</v>
      </c>
      <c r="K20" s="20" t="s">
        <v>14</v>
      </c>
      <c r="L20" s="5" t="s">
        <v>43</v>
      </c>
    </row>
    <row r="21" spans="2:12" x14ac:dyDescent="0.3">
      <c r="B21" s="6"/>
      <c r="C21" s="7" t="s">
        <v>15</v>
      </c>
      <c r="D21" s="7" t="s">
        <v>5</v>
      </c>
      <c r="E21" s="7">
        <f>E20*E22/E23</f>
        <v>125</v>
      </c>
      <c r="F21" s="7"/>
      <c r="G21" s="7" t="s">
        <v>14</v>
      </c>
      <c r="H21" s="7" t="s">
        <v>41</v>
      </c>
      <c r="I21" s="7"/>
      <c r="J21" s="7"/>
      <c r="K21" s="7" t="s">
        <v>14</v>
      </c>
      <c r="L21" s="9" t="s">
        <v>44</v>
      </c>
    </row>
    <row r="22" spans="2:12" x14ac:dyDescent="0.3">
      <c r="B22" s="6"/>
      <c r="C22" s="7" t="s">
        <v>37</v>
      </c>
      <c r="D22" s="7" t="s">
        <v>38</v>
      </c>
      <c r="E22" s="10">
        <v>0.1</v>
      </c>
      <c r="F22" s="7"/>
      <c r="G22" s="7"/>
      <c r="H22" s="7"/>
      <c r="I22" s="7"/>
      <c r="J22" s="7"/>
      <c r="K22" s="7"/>
      <c r="L22" s="9"/>
    </row>
    <row r="23" spans="2:12" x14ac:dyDescent="0.3">
      <c r="B23" s="11"/>
      <c r="C23" s="12" t="s">
        <v>39</v>
      </c>
      <c r="D23" s="12" t="s">
        <v>40</v>
      </c>
      <c r="E23" s="12">
        <v>12</v>
      </c>
      <c r="F23" s="12"/>
      <c r="G23" s="12"/>
      <c r="H23" s="12"/>
      <c r="I23" s="12"/>
      <c r="J23" s="12"/>
      <c r="K23" s="12"/>
      <c r="L23" s="14"/>
    </row>
    <row r="27" spans="2:12" x14ac:dyDescent="0.3">
      <c r="C27" s="3" t="s">
        <v>73</v>
      </c>
    </row>
    <row r="28" spans="2:12" x14ac:dyDescent="0.3">
      <c r="C28" s="3" t="s">
        <v>17</v>
      </c>
      <c r="D28" s="3"/>
      <c r="E28" s="4">
        <f>E11</f>
        <v>8000</v>
      </c>
      <c r="G28" s="1" t="s">
        <v>14</v>
      </c>
    </row>
    <row r="29" spans="2:12" x14ac:dyDescent="0.3">
      <c r="C29" s="1" t="s">
        <v>18</v>
      </c>
      <c r="E29" s="2">
        <f>SUM(E30:E33)</f>
        <v>-7625</v>
      </c>
    </row>
    <row r="30" spans="2:12" x14ac:dyDescent="0.3">
      <c r="C30" s="1" t="s">
        <v>6</v>
      </c>
      <c r="E30" s="2">
        <f>-E13</f>
        <v>-4000</v>
      </c>
    </row>
    <row r="31" spans="2:12" x14ac:dyDescent="0.3">
      <c r="C31" s="1" t="s">
        <v>8</v>
      </c>
      <c r="E31" s="2">
        <f>-E10</f>
        <v>-1500</v>
      </c>
    </row>
    <row r="32" spans="2:12" x14ac:dyDescent="0.3">
      <c r="C32" s="1" t="s">
        <v>16</v>
      </c>
      <c r="E32" s="2">
        <f>-E5</f>
        <v>-125</v>
      </c>
    </row>
    <row r="33" spans="3:13" x14ac:dyDescent="0.3">
      <c r="C33" s="26" t="s">
        <v>1</v>
      </c>
      <c r="D33" s="26"/>
      <c r="E33" s="27">
        <f>-E6</f>
        <v>-2000</v>
      </c>
    </row>
    <row r="34" spans="3:13" x14ac:dyDescent="0.3">
      <c r="C34" s="3" t="s">
        <v>19</v>
      </c>
      <c r="D34" s="3"/>
      <c r="E34" s="4">
        <f>E28+E29</f>
        <v>375</v>
      </c>
    </row>
    <row r="35" spans="3:13" x14ac:dyDescent="0.3">
      <c r="C35" s="1" t="s">
        <v>20</v>
      </c>
    </row>
    <row r="36" spans="3:13" x14ac:dyDescent="0.3">
      <c r="C36" s="26" t="s">
        <v>9</v>
      </c>
      <c r="D36" s="26"/>
      <c r="E36" s="27">
        <f>-E17</f>
        <v>-3000</v>
      </c>
    </row>
    <row r="37" spans="3:13" x14ac:dyDescent="0.3">
      <c r="C37" s="3" t="s">
        <v>21</v>
      </c>
      <c r="D37" s="3"/>
      <c r="E37" s="4">
        <f>E34+E36</f>
        <v>-2625</v>
      </c>
    </row>
    <row r="38" spans="3:13" x14ac:dyDescent="0.3">
      <c r="C38" s="26" t="s">
        <v>22</v>
      </c>
      <c r="E38" s="27">
        <f>-E21</f>
        <v>-125</v>
      </c>
    </row>
    <row r="39" spans="3:13" x14ac:dyDescent="0.3">
      <c r="C39" s="3" t="s">
        <v>23</v>
      </c>
      <c r="D39" s="3"/>
      <c r="E39" s="4">
        <f>E37+E38</f>
        <v>-2750</v>
      </c>
    </row>
    <row r="40" spans="3:13" x14ac:dyDescent="0.3">
      <c r="C40" s="26" t="s">
        <v>24</v>
      </c>
      <c r="E40" s="26">
        <f>E39*E18</f>
        <v>-687.5</v>
      </c>
    </row>
    <row r="41" spans="3:13" x14ac:dyDescent="0.3">
      <c r="C41" s="3" t="s">
        <v>25</v>
      </c>
      <c r="D41" s="3"/>
      <c r="E41" s="4">
        <f>E39-E40</f>
        <v>-2062.5</v>
      </c>
    </row>
    <row r="43" spans="3:13" x14ac:dyDescent="0.3">
      <c r="C43" s="3" t="s">
        <v>74</v>
      </c>
    </row>
    <row r="44" spans="3:13" x14ac:dyDescent="0.3">
      <c r="C44" s="19" t="s">
        <v>34</v>
      </c>
      <c r="D44" s="20"/>
      <c r="E44" s="28">
        <f>E64</f>
        <v>1375</v>
      </c>
      <c r="F44" s="19" t="s">
        <v>30</v>
      </c>
      <c r="G44" s="20"/>
      <c r="H44" s="30">
        <f>$E$16</f>
        <v>2000</v>
      </c>
      <c r="L44" s="2"/>
      <c r="M44" s="34"/>
    </row>
    <row r="45" spans="3:13" x14ac:dyDescent="0.3">
      <c r="C45" s="6" t="s">
        <v>29</v>
      </c>
      <c r="D45" s="7"/>
      <c r="E45" s="29">
        <f>$E$11</f>
        <v>8000</v>
      </c>
      <c r="F45" s="6" t="s">
        <v>0</v>
      </c>
      <c r="G45" s="7"/>
      <c r="H45" s="29">
        <f>$E$20</f>
        <v>15000</v>
      </c>
      <c r="L45" s="2"/>
      <c r="M45" s="34"/>
    </row>
    <row r="46" spans="3:13" x14ac:dyDescent="0.3">
      <c r="C46" s="6" t="s">
        <v>27</v>
      </c>
      <c r="D46" s="7"/>
      <c r="E46" s="29">
        <f>$E$9</f>
        <v>10000</v>
      </c>
      <c r="F46" s="6"/>
      <c r="G46" s="7"/>
      <c r="H46" s="9"/>
      <c r="L46" s="2"/>
      <c r="M46" s="34"/>
    </row>
    <row r="47" spans="3:13" x14ac:dyDescent="0.3">
      <c r="C47" s="6" t="s">
        <v>75</v>
      </c>
      <c r="D47" s="7"/>
      <c r="E47" s="29">
        <f>-$E$40</f>
        <v>687.5</v>
      </c>
      <c r="F47" s="6"/>
      <c r="G47" s="7"/>
      <c r="H47" s="9"/>
      <c r="L47" s="2"/>
      <c r="M47" s="34"/>
    </row>
    <row r="48" spans="3:13" x14ac:dyDescent="0.3">
      <c r="C48" s="6" t="s">
        <v>2</v>
      </c>
      <c r="D48" s="7"/>
      <c r="E48" s="29">
        <f>$E$3</f>
        <v>15000</v>
      </c>
      <c r="F48" s="6" t="s">
        <v>26</v>
      </c>
      <c r="G48" s="7"/>
      <c r="H48" s="29">
        <f>$E$19</f>
        <v>20000</v>
      </c>
      <c r="L48" s="2"/>
      <c r="M48" s="34"/>
    </row>
    <row r="49" spans="2:12" x14ac:dyDescent="0.3">
      <c r="C49" s="6" t="s">
        <v>28</v>
      </c>
      <c r="D49" s="7"/>
      <c r="E49" s="29">
        <f>-$E$5</f>
        <v>-125</v>
      </c>
      <c r="F49" s="6" t="s">
        <v>31</v>
      </c>
      <c r="G49" s="7"/>
      <c r="H49" s="29">
        <f>$E$41</f>
        <v>-2062.5</v>
      </c>
      <c r="L49" s="2"/>
    </row>
    <row r="50" spans="2:12" x14ac:dyDescent="0.3">
      <c r="C50" s="31" t="s">
        <v>32</v>
      </c>
      <c r="D50" s="33"/>
      <c r="E50" s="32">
        <f>SUM(E44:E49)</f>
        <v>34937.5</v>
      </c>
      <c r="F50" s="31" t="s">
        <v>33</v>
      </c>
      <c r="G50" s="33"/>
      <c r="H50" s="32">
        <f>SUM(H44:H49)</f>
        <v>34937.5</v>
      </c>
    </row>
    <row r="51" spans="2:12" x14ac:dyDescent="0.3">
      <c r="C51" s="35"/>
      <c r="D51" s="35"/>
      <c r="E51" s="36"/>
      <c r="H51" s="2">
        <f>H50-E50</f>
        <v>0</v>
      </c>
      <c r="I51" s="35"/>
      <c r="J51" s="35"/>
      <c r="K51" s="36"/>
    </row>
    <row r="52" spans="2:12" x14ac:dyDescent="0.3">
      <c r="C52" s="35"/>
      <c r="D52" s="35"/>
      <c r="E52" s="36"/>
      <c r="I52" s="35"/>
      <c r="J52" s="35"/>
      <c r="K52" s="36"/>
    </row>
    <row r="53" spans="2:12" x14ac:dyDescent="0.3">
      <c r="C53" s="3" t="s">
        <v>64</v>
      </c>
    </row>
    <row r="54" spans="2:12" x14ac:dyDescent="0.3">
      <c r="C54" s="3" t="s">
        <v>63</v>
      </c>
    </row>
    <row r="55" spans="2:12" x14ac:dyDescent="0.3">
      <c r="C55" s="3"/>
    </row>
    <row r="56" spans="2:12" x14ac:dyDescent="0.3">
      <c r="B56" s="1">
        <f>B3</f>
        <v>1</v>
      </c>
      <c r="C56" s="1" t="s">
        <v>45</v>
      </c>
      <c r="E56" s="2">
        <f>-E3</f>
        <v>-15000</v>
      </c>
    </row>
    <row r="57" spans="2:12" x14ac:dyDescent="0.3">
      <c r="B57" s="1">
        <f>B6</f>
        <v>3</v>
      </c>
      <c r="C57" s="1" t="s">
        <v>72</v>
      </c>
      <c r="E57" s="2">
        <f>-E8</f>
        <v>-12000</v>
      </c>
    </row>
    <row r="58" spans="2:12" x14ac:dyDescent="0.3">
      <c r="B58" s="1">
        <f>B10</f>
        <v>4</v>
      </c>
      <c r="C58" s="1" t="s">
        <v>8</v>
      </c>
      <c r="E58" s="2">
        <f>-E10</f>
        <v>-1500</v>
      </c>
    </row>
    <row r="59" spans="2:12" x14ac:dyDescent="0.3">
      <c r="B59" s="1">
        <f>B13</f>
        <v>6</v>
      </c>
      <c r="C59" s="1" t="s">
        <v>65</v>
      </c>
      <c r="E59" s="2">
        <f>-E15</f>
        <v>-2000</v>
      </c>
    </row>
    <row r="60" spans="2:12" x14ac:dyDescent="0.3">
      <c r="B60" s="1">
        <f>B17</f>
        <v>7</v>
      </c>
      <c r="C60" s="1" t="s">
        <v>9</v>
      </c>
      <c r="E60" s="2">
        <f>-E17</f>
        <v>-3000</v>
      </c>
    </row>
    <row r="61" spans="2:12" x14ac:dyDescent="0.3">
      <c r="B61" s="1">
        <f>B19</f>
        <v>9</v>
      </c>
      <c r="C61" s="1" t="s">
        <v>35</v>
      </c>
      <c r="E61" s="2">
        <f>E19</f>
        <v>20000</v>
      </c>
    </row>
    <row r="62" spans="2:12" x14ac:dyDescent="0.3">
      <c r="B62" s="1">
        <f>B20</f>
        <v>10</v>
      </c>
      <c r="C62" s="1" t="s">
        <v>36</v>
      </c>
      <c r="E62" s="2">
        <f>E20</f>
        <v>15000</v>
      </c>
    </row>
    <row r="63" spans="2:12" x14ac:dyDescent="0.3">
      <c r="C63" s="1" t="s">
        <v>15</v>
      </c>
      <c r="E63" s="1">
        <f>-E21</f>
        <v>-125</v>
      </c>
    </row>
    <row r="64" spans="2:12" x14ac:dyDescent="0.3">
      <c r="C64" s="3" t="s">
        <v>66</v>
      </c>
      <c r="E64" s="4">
        <f>SUM(E56:E63)</f>
        <v>1375</v>
      </c>
    </row>
    <row r="67" spans="1:11" x14ac:dyDescent="0.3">
      <c r="C67" s="3" t="s">
        <v>74</v>
      </c>
    </row>
    <row r="68" spans="1:11" x14ac:dyDescent="0.3">
      <c r="B68" s="2">
        <f>E68-D68</f>
        <v>1375</v>
      </c>
      <c r="C68" s="19" t="s">
        <v>34</v>
      </c>
      <c r="D68" s="20">
        <v>0</v>
      </c>
      <c r="E68" s="28">
        <f>E88</f>
        <v>1375</v>
      </c>
      <c r="F68" s="19" t="s">
        <v>30</v>
      </c>
      <c r="G68" s="20">
        <v>0</v>
      </c>
      <c r="H68" s="30">
        <f>$E$16</f>
        <v>2000</v>
      </c>
      <c r="I68" s="2">
        <f>H68-G68</f>
        <v>2000</v>
      </c>
      <c r="J68" s="34" t="s">
        <v>69</v>
      </c>
    </row>
    <row r="69" spans="1:11" x14ac:dyDescent="0.3">
      <c r="A69" s="1" t="s">
        <v>77</v>
      </c>
      <c r="B69" s="2">
        <f t="shared" ref="B69:B73" si="0">E69-D69</f>
        <v>8000</v>
      </c>
      <c r="C69" s="6" t="s">
        <v>29</v>
      </c>
      <c r="D69" s="7">
        <v>0</v>
      </c>
      <c r="E69" s="29">
        <f>$E$11</f>
        <v>8000</v>
      </c>
      <c r="F69" s="6" t="s">
        <v>0</v>
      </c>
      <c r="G69" s="7">
        <v>0</v>
      </c>
      <c r="H69" s="29">
        <f>$E$20</f>
        <v>15000</v>
      </c>
      <c r="I69" s="2">
        <f>H69-G69</f>
        <v>15000</v>
      </c>
      <c r="J69" s="34" t="s">
        <v>69</v>
      </c>
    </row>
    <row r="70" spans="1:11" x14ac:dyDescent="0.3">
      <c r="A70" s="1" t="s">
        <v>77</v>
      </c>
      <c r="B70" s="2">
        <f t="shared" si="0"/>
        <v>10000</v>
      </c>
      <c r="C70" s="6" t="s">
        <v>27</v>
      </c>
      <c r="D70" s="7">
        <v>0</v>
      </c>
      <c r="E70" s="29">
        <f>$E$9</f>
        <v>10000</v>
      </c>
      <c r="F70" s="6"/>
      <c r="G70" s="7"/>
      <c r="H70" s="9"/>
      <c r="I70" s="2"/>
      <c r="J70" s="34"/>
    </row>
    <row r="71" spans="1:11" x14ac:dyDescent="0.3">
      <c r="A71" s="1" t="s">
        <v>77</v>
      </c>
      <c r="B71" s="2">
        <f t="shared" si="0"/>
        <v>687.5</v>
      </c>
      <c r="C71" s="6" t="s">
        <v>75</v>
      </c>
      <c r="D71" s="7">
        <v>0</v>
      </c>
      <c r="E71" s="29">
        <f>-$E$40</f>
        <v>687.5</v>
      </c>
      <c r="F71" s="6"/>
      <c r="G71" s="7"/>
      <c r="H71" s="9"/>
      <c r="I71" s="2"/>
      <c r="J71" s="34"/>
    </row>
    <row r="72" spans="1:11" x14ac:dyDescent="0.3">
      <c r="A72" s="1" t="s">
        <v>77</v>
      </c>
      <c r="B72" s="2">
        <f t="shared" si="0"/>
        <v>15000</v>
      </c>
      <c r="C72" s="6" t="s">
        <v>2</v>
      </c>
      <c r="D72" s="7">
        <v>0</v>
      </c>
      <c r="E72" s="29">
        <f>$E$3</f>
        <v>15000</v>
      </c>
      <c r="F72" s="6" t="s">
        <v>26</v>
      </c>
      <c r="G72" s="7">
        <v>0</v>
      </c>
      <c r="H72" s="29">
        <f>$E$19</f>
        <v>20000</v>
      </c>
      <c r="I72" s="2">
        <f>H72-G72</f>
        <v>20000</v>
      </c>
      <c r="J72" s="34" t="s">
        <v>69</v>
      </c>
    </row>
    <row r="73" spans="1:11" x14ac:dyDescent="0.3">
      <c r="B73" s="2">
        <f t="shared" si="0"/>
        <v>-125</v>
      </c>
      <c r="C73" s="6" t="s">
        <v>28</v>
      </c>
      <c r="D73" s="7">
        <v>0</v>
      </c>
      <c r="E73" s="29">
        <f>-$E$5</f>
        <v>-125</v>
      </c>
      <c r="F73" s="6" t="s">
        <v>31</v>
      </c>
      <c r="G73" s="7">
        <v>0</v>
      </c>
      <c r="H73" s="29">
        <f>$E$41</f>
        <v>-2062.5</v>
      </c>
      <c r="I73" s="2">
        <f>H73-G73</f>
        <v>-2062.5</v>
      </c>
    </row>
    <row r="74" spans="1:11" x14ac:dyDescent="0.3">
      <c r="C74" s="31" t="s">
        <v>32</v>
      </c>
      <c r="D74" s="33"/>
      <c r="E74" s="32">
        <f>SUM(E68:E73)</f>
        <v>34937.5</v>
      </c>
      <c r="F74" s="31" t="s">
        <v>33</v>
      </c>
      <c r="G74" s="33"/>
      <c r="H74" s="32">
        <f>SUM(H68:H73)</f>
        <v>34937.5</v>
      </c>
    </row>
    <row r="75" spans="1:11" x14ac:dyDescent="0.3">
      <c r="C75" s="35"/>
      <c r="D75" s="35"/>
      <c r="E75" s="36"/>
      <c r="H75" s="2">
        <f>H74-E74</f>
        <v>0</v>
      </c>
      <c r="I75" s="35"/>
      <c r="J75" s="35"/>
      <c r="K75" s="36"/>
    </row>
    <row r="77" spans="1:11" x14ac:dyDescent="0.3">
      <c r="C77" s="3" t="s">
        <v>67</v>
      </c>
    </row>
    <row r="78" spans="1:11" x14ac:dyDescent="0.3">
      <c r="C78" s="3" t="s">
        <v>68</v>
      </c>
    </row>
    <row r="79" spans="1:11" x14ac:dyDescent="0.3">
      <c r="C79" s="3" t="s">
        <v>25</v>
      </c>
      <c r="D79" s="4"/>
      <c r="E79" s="4">
        <f>E41</f>
        <v>-2062.5</v>
      </c>
    </row>
    <row r="80" spans="1:11" x14ac:dyDescent="0.3">
      <c r="C80" s="1" t="s">
        <v>70</v>
      </c>
      <c r="D80" s="2"/>
      <c r="E80" s="2">
        <f>-E32</f>
        <v>125</v>
      </c>
    </row>
    <row r="81" spans="3:5" x14ac:dyDescent="0.3">
      <c r="C81" s="1" t="s">
        <v>29</v>
      </c>
      <c r="D81" s="2"/>
      <c r="E81" s="2">
        <f>-E69</f>
        <v>-8000</v>
      </c>
    </row>
    <row r="82" spans="3:5" x14ac:dyDescent="0.3">
      <c r="C82" s="1" t="s">
        <v>27</v>
      </c>
      <c r="D82" s="2"/>
      <c r="E82" s="2">
        <f>-E70</f>
        <v>-10000</v>
      </c>
    </row>
    <row r="83" spans="3:5" x14ac:dyDescent="0.3">
      <c r="C83" s="1" t="s">
        <v>75</v>
      </c>
      <c r="D83" s="2"/>
      <c r="E83" s="2">
        <f>-E71</f>
        <v>-687.5</v>
      </c>
    </row>
    <row r="84" spans="3:5" x14ac:dyDescent="0.3">
      <c r="C84" s="1" t="s">
        <v>2</v>
      </c>
      <c r="D84" s="2"/>
      <c r="E84" s="2">
        <f>-E72</f>
        <v>-15000</v>
      </c>
    </row>
    <row r="85" spans="3:5" x14ac:dyDescent="0.3">
      <c r="C85" s="1" t="s">
        <v>30</v>
      </c>
      <c r="D85" s="2"/>
      <c r="E85" s="2">
        <f>H68</f>
        <v>2000</v>
      </c>
    </row>
    <row r="86" spans="3:5" x14ac:dyDescent="0.3">
      <c r="C86" s="1" t="s">
        <v>0</v>
      </c>
      <c r="D86" s="2"/>
      <c r="E86" s="2">
        <f>H69</f>
        <v>15000</v>
      </c>
    </row>
    <row r="87" spans="3:5" x14ac:dyDescent="0.3">
      <c r="C87" s="1" t="s">
        <v>71</v>
      </c>
      <c r="D87" s="2"/>
      <c r="E87" s="2">
        <f>H72</f>
        <v>20000</v>
      </c>
    </row>
    <row r="88" spans="3:5" x14ac:dyDescent="0.3">
      <c r="C88" s="3" t="s">
        <v>66</v>
      </c>
      <c r="D88" s="4"/>
      <c r="E88" s="4">
        <f>SUM(E79:E87)</f>
        <v>1375</v>
      </c>
    </row>
    <row r="91" spans="3:5" x14ac:dyDescent="0.3">
      <c r="C91" s="1" t="s">
        <v>78</v>
      </c>
      <c r="E91" s="2">
        <f>SUM(E79:E83,E85)</f>
        <v>-18625</v>
      </c>
    </row>
    <row r="92" spans="3:5" x14ac:dyDescent="0.3">
      <c r="C92" s="1" t="s">
        <v>79</v>
      </c>
      <c r="E92" s="2">
        <f>E84</f>
        <v>-15000</v>
      </c>
    </row>
    <row r="93" spans="3:5" x14ac:dyDescent="0.3">
      <c r="C93" s="1" t="s">
        <v>80</v>
      </c>
      <c r="E93" s="2">
        <f>E86+E87</f>
        <v>35000</v>
      </c>
    </row>
    <row r="94" spans="3:5" x14ac:dyDescent="0.3">
      <c r="E94" s="4">
        <f>SUM(E91:E93)</f>
        <v>1375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 #1 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</dc:creator>
  <cp:lastModifiedBy>Gabriela Sequeira</cp:lastModifiedBy>
  <dcterms:created xsi:type="dcterms:W3CDTF">2016-08-08T16:41:05Z</dcterms:created>
  <dcterms:modified xsi:type="dcterms:W3CDTF">2017-08-05T02:18:12Z</dcterms:modified>
</cp:coreProperties>
</file>